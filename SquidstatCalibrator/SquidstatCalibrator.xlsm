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2" tabRatio="898" activeTab="11" xr2:uid="{2094D447-8632-4827-8F34-41D135BAA0DE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Calibrate" sheetId="21" r:id="rId12"/>
    <sheet name="Hardware Data" sheetId="22" r:id="rId13"/>
    <sheet name="Internal" sheetId="11" r:id="rId14"/>
  </sheets>
  <definedNames>
    <definedName name="CUR_RNG_R0">Internal!$F$3</definedName>
    <definedName name="CUR_RNG_R1">Internal!$F$4</definedName>
    <definedName name="CUR_RNG_R2">Internal!$F$5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1">Calibrate!$L$1:$L$61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2">Voltage!$L$1:$O$22</definedName>
    <definedName name="ExternalData_10" localSheetId="11">Calibrate!$L$1:$L$61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2">Voltage!$L$1:$O$22</definedName>
    <definedName name="ExternalData_101" localSheetId="2">Voltage!$L$1:$O$22</definedName>
    <definedName name="ExternalData_102" localSheetId="2">Voltage!$L$1:$O$22</definedName>
    <definedName name="ExternalData_103" localSheetId="2">Voltage!$L$1:$O$22</definedName>
    <definedName name="ExternalData_104" localSheetId="2">Voltage!$L$1:$O$22</definedName>
    <definedName name="ExternalData_105" localSheetId="2">Voltage!$L$1:$O$22</definedName>
    <definedName name="ExternalData_106" localSheetId="2">Voltage!$L$1:$O$22</definedName>
    <definedName name="ExternalData_107" localSheetId="2">Voltage!$L$1:$O$22</definedName>
    <definedName name="ExternalData_108" localSheetId="2">Voltage!$L$1:$O$22</definedName>
    <definedName name="ExternalData_109" localSheetId="2">Voltage!$L$1:$O$22</definedName>
    <definedName name="ExternalData_11" localSheetId="11">Calibrate!$L$1:$L$61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10" localSheetId="2">Voltage!$L$1:$O$22</definedName>
    <definedName name="ExternalData_111" localSheetId="2">Voltage!$L$1:$O$22</definedName>
    <definedName name="ExternalData_112" localSheetId="2">Voltage!$L$1:$O$22</definedName>
    <definedName name="ExternalData_113" localSheetId="2">Voltage!$L$1:$O$22</definedName>
    <definedName name="ExternalData_12" localSheetId="11">Calibrate!$L$1:$L$61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3" localSheetId="11">Calibrate!$L$1:$L$61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4" localSheetId="11">Calibrate!$L$1:$L$61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5" localSheetId="11">Calibrate!$L$1:$L$61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6" localSheetId="11">Calibrate!$L$1:$L$61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7" localSheetId="11">Calibrate!$L$1:$L$61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11">Calibrate!$L$1:$L$61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11">Calibrate!$L$1:$L$61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1">Calibrate!$L$1:$L$61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2">Voltage!$L$1:$O$22</definedName>
    <definedName name="ExternalData_20" localSheetId="11">Calibrate!$L$1:$L$61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11">Calibrate!$L$1:$L$61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1">Calibrate!$L$1:$L$61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2">Voltage!$L$1:$O$22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3">'Range 0'!$L$1:$M$22</definedName>
    <definedName name="ExternalData_32" localSheetId="4">'Range 1'!$L$1:$M$22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3">'Range 0'!$L$1:$M$22</definedName>
    <definedName name="ExternalData_33" localSheetId="4">'Range 1'!$L$1:$M$22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3">'Range 0'!$L$1:$M$22</definedName>
    <definedName name="ExternalData_34" localSheetId="4">'Range 1'!$L$1:$M$22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3">'Range 0'!$L$1:$M$22</definedName>
    <definedName name="ExternalData_35" localSheetId="4">'Range 1'!$L$1:$M$22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3">'Range 0'!$L$1:$M$22</definedName>
    <definedName name="ExternalData_36" localSheetId="4">'Range 1'!$L$1:$M$22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3">'Range 0'!$L$1:$M$22</definedName>
    <definedName name="ExternalData_37" localSheetId="4">'Range 1'!$L$1:$M$22</definedName>
    <definedName name="ExternalData_37" localSheetId="5">'Range 2'!$L$1:$M$22</definedName>
    <definedName name="ExternalData_37" localSheetId="6">'Range 3'!$L$1:$M$22</definedName>
    <definedName name="ExternalData_37" localSheetId="2">Voltage!$L$1:$O$22</definedName>
    <definedName name="ExternalData_38" localSheetId="3">'Range 0'!$L$1:$M$22</definedName>
    <definedName name="ExternalData_38" localSheetId="4">'Range 1'!$L$1:$M$22</definedName>
    <definedName name="ExternalData_38" localSheetId="5">'Range 2'!$L$1:$M$22</definedName>
    <definedName name="ExternalData_38" localSheetId="6">'Range 3'!$L$1:$M$22</definedName>
    <definedName name="ExternalData_38" localSheetId="2">Voltage!$L$1:$O$22</definedName>
    <definedName name="ExternalData_39" localSheetId="3">'Range 0'!$L$1:$M$22</definedName>
    <definedName name="ExternalData_39" localSheetId="4">'Range 1'!$L$1:$M$22</definedName>
    <definedName name="ExternalData_39" localSheetId="5">'Range 2'!$L$1:$M$22</definedName>
    <definedName name="ExternalData_39" localSheetId="6">'Range 3'!$L$1:$M$22</definedName>
    <definedName name="ExternalData_39" localSheetId="2">Voltage!$L$1:$O$22</definedName>
    <definedName name="ExternalData_4" localSheetId="11">Calibrate!$L$1:$L$61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2">Voltage!$L$1:$O$22</definedName>
    <definedName name="ExternalData_40" localSheetId="3">'Range 0'!$L$1:$M$22</definedName>
    <definedName name="ExternalData_40" localSheetId="4">'Range 1'!$L$1:$M$22</definedName>
    <definedName name="ExternalData_40" localSheetId="5">'Range 2'!$L$1:$M$22</definedName>
    <definedName name="ExternalData_40" localSheetId="6">'Range 3'!$L$1:$M$22</definedName>
    <definedName name="ExternalData_40" localSheetId="2">Voltage!$L$1:$O$22</definedName>
    <definedName name="ExternalData_41" localSheetId="3">'Range 0'!$L$1:$M$22</definedName>
    <definedName name="ExternalData_41" localSheetId="4">'Range 1'!$L$1:$M$22</definedName>
    <definedName name="ExternalData_41" localSheetId="5">'Range 2'!$L$1:$M$22</definedName>
    <definedName name="ExternalData_41" localSheetId="6">'Range 3'!$L$1:$M$22</definedName>
    <definedName name="ExternalData_41" localSheetId="2">Voltage!$L$1:$O$22</definedName>
    <definedName name="ExternalData_42" localSheetId="3">'Range 0'!$L$1:$M$22</definedName>
    <definedName name="ExternalData_42" localSheetId="5">'Range 2'!$L$1:$M$22</definedName>
    <definedName name="ExternalData_42" localSheetId="6">'Range 3'!$L$1:$M$22</definedName>
    <definedName name="ExternalData_42" localSheetId="2">Voltage!$L$1:$O$22</definedName>
    <definedName name="ExternalData_43" localSheetId="3">'Range 0'!$L$1:$M$22</definedName>
    <definedName name="ExternalData_43" localSheetId="5">'Range 2'!$L$1:$M$22</definedName>
    <definedName name="ExternalData_43" localSheetId="6">'Range 3'!$L$1:$M$22</definedName>
    <definedName name="ExternalData_43" localSheetId="2">Voltage!$L$1:$O$22</definedName>
    <definedName name="ExternalData_44" localSheetId="3">'Range 0'!$L$1:$M$22</definedName>
    <definedName name="ExternalData_44" localSheetId="5">'Range 2'!$L$1:$M$22</definedName>
    <definedName name="ExternalData_44" localSheetId="6">'Range 3'!$L$1:$M$22</definedName>
    <definedName name="ExternalData_44" localSheetId="2">Voltage!$L$1:$M$22</definedName>
    <definedName name="ExternalData_45" localSheetId="3">'Range 0'!$L$1:$M$22</definedName>
    <definedName name="ExternalData_45" localSheetId="5">'Range 2'!$L$1:$M$22</definedName>
    <definedName name="ExternalData_45" localSheetId="6">'Range 3'!$L$1:$M$22</definedName>
    <definedName name="ExternalData_45" localSheetId="2">Voltage!$L$1:$O$22</definedName>
    <definedName name="ExternalData_46" localSheetId="3">'Range 0'!$L$1:$M$22</definedName>
    <definedName name="ExternalData_46" localSheetId="5">'Range 2'!$L$1:$M$22</definedName>
    <definedName name="ExternalData_46" localSheetId="6">'Range 3'!$L$1:$M$22</definedName>
    <definedName name="ExternalData_46" localSheetId="2">Voltage!$L$1:$O$22</definedName>
    <definedName name="ExternalData_47" localSheetId="3">'Range 0'!$L$1:$M$22</definedName>
    <definedName name="ExternalData_47" localSheetId="6">'Range 3'!$L$1:$M$22</definedName>
    <definedName name="ExternalData_47" localSheetId="2">Voltage!$L$1:$O$22</definedName>
    <definedName name="ExternalData_48" localSheetId="3">'Range 0'!$L$1:$M$22</definedName>
    <definedName name="ExternalData_48" localSheetId="6">'Range 3'!$L$1:$M$22</definedName>
    <definedName name="ExternalData_48" localSheetId="2">Voltage!$L$1:$O$22</definedName>
    <definedName name="ExternalData_49" localSheetId="3">'Range 0'!$L$1:$M$22</definedName>
    <definedName name="ExternalData_49" localSheetId="6">'Range 3'!$L$1:$M$22</definedName>
    <definedName name="ExternalData_49" localSheetId="2">Voltage!$L$1:$O$22</definedName>
    <definedName name="ExternalData_5" localSheetId="11">Calibrate!$L$1:$L$61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2">Voltage!$L$1:$O$22</definedName>
    <definedName name="ExternalData_50" localSheetId="3">'Range 0'!$L$1:$M$22</definedName>
    <definedName name="ExternalData_50" localSheetId="6">'Range 3'!$L$1:$M$22</definedName>
    <definedName name="ExternalData_50" localSheetId="2">Voltage!$L$1:$O$22</definedName>
    <definedName name="ExternalData_51" localSheetId="3">'Range 0'!$L$1:$M$22</definedName>
    <definedName name="ExternalData_51" localSheetId="6">'Range 3'!$L$1:$M$22</definedName>
    <definedName name="ExternalData_51" localSheetId="2">Voltage!$L$1:$O$22</definedName>
    <definedName name="ExternalData_52" localSheetId="3">'Range 0'!$L$1:$M$22</definedName>
    <definedName name="ExternalData_52" localSheetId="6">'Range 3'!$L$1:$M$22</definedName>
    <definedName name="ExternalData_52" localSheetId="2">Voltage!$L$1:$O$22</definedName>
    <definedName name="ExternalData_53" localSheetId="3">'Range 0'!$L$1:$M$22</definedName>
    <definedName name="ExternalData_53" localSheetId="6">'Range 3'!$L$1:$M$22</definedName>
    <definedName name="ExternalData_53" localSheetId="2">Voltage!$L$1:$O$22</definedName>
    <definedName name="ExternalData_54" localSheetId="3">'Range 0'!$L$1:$M$22</definedName>
    <definedName name="ExternalData_54" localSheetId="6">'Range 3'!$L$1:$M$22</definedName>
    <definedName name="ExternalData_54" localSheetId="2">Voltage!$L$1:$O$22</definedName>
    <definedName name="ExternalData_55" localSheetId="3">'Range 0'!$L$1:$M$22</definedName>
    <definedName name="ExternalData_55" localSheetId="6">'Range 3'!$L$1:$M$22</definedName>
    <definedName name="ExternalData_55" localSheetId="2">Voltage!$L$1:$O$22</definedName>
    <definedName name="ExternalData_56" localSheetId="3">'Range 0'!$L$1:$M$22</definedName>
    <definedName name="ExternalData_56" localSheetId="6">'Range 3'!$L$1:$M$22</definedName>
    <definedName name="ExternalData_56" localSheetId="2">Voltage!$L$1:$O$22</definedName>
    <definedName name="ExternalData_57" localSheetId="3">'Range 0'!$L$1:$M$22</definedName>
    <definedName name="ExternalData_57" localSheetId="6">'Range 3'!$L$1:$M$22</definedName>
    <definedName name="ExternalData_57" localSheetId="2">Voltage!$L$1:$O$22</definedName>
    <definedName name="ExternalData_58" localSheetId="3">'Range 0'!$L$1:$M$22</definedName>
    <definedName name="ExternalData_58" localSheetId="6">'Range 3'!$L$1:$M$22</definedName>
    <definedName name="ExternalData_58" localSheetId="2">Voltage!$L$1:$O$22</definedName>
    <definedName name="ExternalData_59" localSheetId="3">'Range 0'!$L$1:$M$22</definedName>
    <definedName name="ExternalData_59" localSheetId="6">'Range 3'!$L$1:$M$22</definedName>
    <definedName name="ExternalData_59" localSheetId="2">Voltage!$L$1:$O$22</definedName>
    <definedName name="ExternalData_6" localSheetId="11">Calibrate!$L$1:$L$61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2">Voltage!$L$1:$O$22</definedName>
    <definedName name="ExternalData_60" localSheetId="3">'Range 0'!$L$1:$M$22</definedName>
    <definedName name="ExternalData_60" localSheetId="6">'Range 3'!$L$1:$M$22</definedName>
    <definedName name="ExternalData_60" localSheetId="2">Voltage!$L$1:$O$22</definedName>
    <definedName name="ExternalData_61" localSheetId="3">'Range 0'!$L$1:$M$22</definedName>
    <definedName name="ExternalData_61" localSheetId="6">'Range 3'!$L$1:$M$22</definedName>
    <definedName name="ExternalData_61" localSheetId="2">Voltage!$L$1:$O$22</definedName>
    <definedName name="ExternalData_62" localSheetId="3">'Range 0'!$L$1:$M$22</definedName>
    <definedName name="ExternalData_62" localSheetId="6">'Range 3'!$L$1:$M$22</definedName>
    <definedName name="ExternalData_62" localSheetId="2">Voltage!$L$1:$O$22</definedName>
    <definedName name="ExternalData_63" localSheetId="3">'Range 0'!$L$1:$M$22</definedName>
    <definedName name="ExternalData_63" localSheetId="2">Voltage!$L$1:$O$22</definedName>
    <definedName name="ExternalData_64" localSheetId="3">'Range 0'!$L$1:$M$22</definedName>
    <definedName name="ExternalData_64" localSheetId="2">Voltage!$L$1:$O$22</definedName>
    <definedName name="ExternalData_65" localSheetId="3">'Range 0'!$L$1:$M$22</definedName>
    <definedName name="ExternalData_65" localSheetId="2">Voltage!$L$1:$O$22</definedName>
    <definedName name="ExternalData_66" localSheetId="3">'Range 0'!$L$1:$M$22</definedName>
    <definedName name="ExternalData_66" localSheetId="2">Voltage!$L$1:$O$22</definedName>
    <definedName name="ExternalData_67" localSheetId="2">Voltage!$L$1:$O$22</definedName>
    <definedName name="ExternalData_68" localSheetId="2">Voltage!$L$1:$O$22</definedName>
    <definedName name="ExternalData_69" localSheetId="2">Voltage!$L$1:$O$22</definedName>
    <definedName name="ExternalData_7" localSheetId="11">Calibrate!$L$1:$L$61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2">Voltage!$L$1:$O$22</definedName>
    <definedName name="ExternalData_71" localSheetId="2">Voltage!$L$1:$O$22</definedName>
    <definedName name="ExternalData_72" localSheetId="2">Voltage!$L$1:$O$22</definedName>
    <definedName name="ExternalData_73" localSheetId="2">Voltage!$L$1:$O$22</definedName>
    <definedName name="ExternalData_74" localSheetId="2">Voltage!$L$1:$O$22</definedName>
    <definedName name="ExternalData_75" localSheetId="2">Voltage!$L$1:$O$22</definedName>
    <definedName name="ExternalData_76" localSheetId="2">Voltage!$L$1:$O$22</definedName>
    <definedName name="ExternalData_77" localSheetId="2">Voltage!$L$1:$O$22</definedName>
    <definedName name="ExternalData_78" localSheetId="2">Voltage!$L$1:$O$22</definedName>
    <definedName name="ExternalData_79" localSheetId="2">Voltage!$L$1:$O$22</definedName>
    <definedName name="ExternalData_8" localSheetId="11">Calibrate!$L$1:$L$61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2">Voltage!$L$1:$O$22</definedName>
    <definedName name="ExternalData_81" localSheetId="2">Voltage!$L$1:$O$22</definedName>
    <definedName name="ExternalData_82" localSheetId="2">Voltage!$L$1:$O$22</definedName>
    <definedName name="ExternalData_83" localSheetId="2">Voltage!$L$1:$O$22</definedName>
    <definedName name="ExternalData_84" localSheetId="2">Voltage!$L$1:$O$22</definedName>
    <definedName name="ExternalData_85" localSheetId="2">Voltage!$L$1:$O$22</definedName>
    <definedName name="ExternalData_86" localSheetId="2">Voltage!$L$1:$O$22</definedName>
    <definedName name="ExternalData_87" localSheetId="2">Voltage!$L$1:$O$22</definedName>
    <definedName name="ExternalData_88" localSheetId="2">Voltage!$L$1:$O$22</definedName>
    <definedName name="ExternalData_89" localSheetId="2">Voltage!$L$1:$O$22</definedName>
    <definedName name="ExternalData_9" localSheetId="11">Calibrate!$L$1:$L$61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2">Voltage!$L$1:$O$22</definedName>
    <definedName name="ExternalData_91" localSheetId="2">Voltage!$L$1:$O$22</definedName>
    <definedName name="ExternalData_92" localSheetId="2">Voltage!$L$1:$O$22</definedName>
    <definedName name="ExternalData_93" localSheetId="2">Voltage!$L$1:$O$22</definedName>
    <definedName name="ExternalData_94" localSheetId="2">Voltage!$L$1:$O$22</definedName>
    <definedName name="ExternalData_95" localSheetId="2">Voltage!$L$1:$O$22</definedName>
    <definedName name="ExternalData_96" localSheetId="2">Voltage!$L$1:$O$22</definedName>
    <definedName name="ExternalData_97" localSheetId="2">Voltage!$L$1:$O$22</definedName>
    <definedName name="ExternalData_98" localSheetId="2">Voltage!$L$1:$O$22</definedName>
    <definedName name="ExternalData_99" localSheetId="2">Voltage!$L$1:$O$22</definedName>
    <definedName name="INT16_MAX">Internal!$L$3</definedName>
    <definedName name="INT16_MIN">Internal!$L$2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21" l="1"/>
  <c r="B41" i="21"/>
  <c r="B34" i="21"/>
  <c r="B26" i="21"/>
  <c r="B25" i="21"/>
  <c r="C7" i="22" l="1"/>
  <c r="C2" i="21" l="1"/>
  <c r="B2" i="21" l="1"/>
  <c r="B1" i="22"/>
  <c r="B2" i="22"/>
  <c r="AZ22" i="1"/>
  <c r="BA22" i="1" s="1"/>
  <c r="BB22" i="1" s="1"/>
  <c r="AZ21" i="1"/>
  <c r="BA21" i="1" s="1"/>
  <c r="BB21" i="1" s="1"/>
  <c r="AZ20" i="1"/>
  <c r="BA20" i="1" s="1"/>
  <c r="BB20" i="1" s="1"/>
  <c r="BA19" i="1"/>
  <c r="BB19" i="1" s="1"/>
  <c r="AZ19" i="1"/>
  <c r="AZ18" i="1"/>
  <c r="BA18" i="1" s="1"/>
  <c r="BB18" i="1" s="1"/>
  <c r="AZ17" i="1"/>
  <c r="BA17" i="1" s="1"/>
  <c r="BB17" i="1" s="1"/>
  <c r="AZ16" i="1"/>
  <c r="BA16" i="1" s="1"/>
  <c r="BB16" i="1" s="1"/>
  <c r="BA15" i="1"/>
  <c r="BB15" i="1" s="1"/>
  <c r="AZ15" i="1"/>
  <c r="AZ14" i="1"/>
  <c r="BA14" i="1" s="1"/>
  <c r="BB14" i="1" s="1"/>
  <c r="AZ13" i="1"/>
  <c r="BA13" i="1" s="1"/>
  <c r="BB13" i="1" s="1"/>
  <c r="AZ12" i="1"/>
  <c r="BA12" i="1" s="1"/>
  <c r="BB12" i="1" s="1"/>
  <c r="BA11" i="1"/>
  <c r="BB11" i="1" s="1"/>
  <c r="AZ11" i="1"/>
  <c r="AZ10" i="1"/>
  <c r="BA10" i="1" s="1"/>
  <c r="BB10" i="1" s="1"/>
  <c r="BA9" i="1"/>
  <c r="BB9" i="1" s="1"/>
  <c r="AZ9" i="1"/>
  <c r="AZ8" i="1"/>
  <c r="BA8" i="1" s="1"/>
  <c r="BB8" i="1" s="1"/>
  <c r="BA7" i="1"/>
  <c r="BB7" i="1" s="1"/>
  <c r="AZ7" i="1"/>
  <c r="AZ6" i="1"/>
  <c r="BA6" i="1" s="1"/>
  <c r="BB6" i="1" s="1"/>
  <c r="BA5" i="1"/>
  <c r="BB5" i="1" s="1"/>
  <c r="AZ5" i="1"/>
  <c r="AZ4" i="1"/>
  <c r="BA4" i="1" s="1"/>
  <c r="BB4" i="1" s="1"/>
  <c r="BA3" i="1"/>
  <c r="BB3" i="1" s="1"/>
  <c r="AZ3" i="1"/>
  <c r="AZ2" i="1"/>
  <c r="BA2" i="1" s="1"/>
  <c r="BB2" i="1" s="1"/>
  <c r="AU22" i="1"/>
  <c r="AV22" i="1" s="1"/>
  <c r="AW22" i="1" s="1"/>
  <c r="AU21" i="1"/>
  <c r="AV21" i="1" s="1"/>
  <c r="AW21" i="1" s="1"/>
  <c r="AU20" i="1"/>
  <c r="AV20" i="1" s="1"/>
  <c r="AW20" i="1" s="1"/>
  <c r="AV19" i="1"/>
  <c r="AW19" i="1" s="1"/>
  <c r="AU19" i="1"/>
  <c r="AU18" i="1"/>
  <c r="AV18" i="1" s="1"/>
  <c r="AW18" i="1" s="1"/>
  <c r="AU17" i="1"/>
  <c r="AV17" i="1" s="1"/>
  <c r="AW17" i="1" s="1"/>
  <c r="AU16" i="1"/>
  <c r="AV16" i="1" s="1"/>
  <c r="AW16" i="1" s="1"/>
  <c r="AV15" i="1"/>
  <c r="AW15" i="1" s="1"/>
  <c r="AU15" i="1"/>
  <c r="AU14" i="1"/>
  <c r="AV14" i="1" s="1"/>
  <c r="AW14" i="1" s="1"/>
  <c r="AU13" i="1"/>
  <c r="AV13" i="1" s="1"/>
  <c r="AW13" i="1" s="1"/>
  <c r="AU12" i="1"/>
  <c r="AV12" i="1" s="1"/>
  <c r="AW12" i="1" s="1"/>
  <c r="AV11" i="1"/>
  <c r="AW11" i="1" s="1"/>
  <c r="AU11" i="1"/>
  <c r="AU10" i="1"/>
  <c r="AV10" i="1" s="1"/>
  <c r="AW10" i="1" s="1"/>
  <c r="AV9" i="1"/>
  <c r="AW9" i="1" s="1"/>
  <c r="AU9" i="1"/>
  <c r="AU8" i="1"/>
  <c r="AV8" i="1" s="1"/>
  <c r="AW8" i="1" s="1"/>
  <c r="AV7" i="1"/>
  <c r="AW7" i="1" s="1"/>
  <c r="AU7" i="1"/>
  <c r="AU6" i="1"/>
  <c r="AV6" i="1" s="1"/>
  <c r="AW6" i="1" s="1"/>
  <c r="AV5" i="1"/>
  <c r="AW5" i="1" s="1"/>
  <c r="AU5" i="1"/>
  <c r="AU4" i="1"/>
  <c r="AV4" i="1" s="1"/>
  <c r="AW4" i="1" s="1"/>
  <c r="AV3" i="1"/>
  <c r="AW3" i="1" s="1"/>
  <c r="AU3" i="1"/>
  <c r="AU2" i="1"/>
  <c r="AV2" i="1" s="1"/>
  <c r="AW2" i="1" s="1"/>
  <c r="AP22" i="1"/>
  <c r="AQ22" i="1" s="1"/>
  <c r="AR22" i="1" s="1"/>
  <c r="AP21" i="1"/>
  <c r="AQ21" i="1" s="1"/>
  <c r="AR21" i="1" s="1"/>
  <c r="AP20" i="1"/>
  <c r="AQ20" i="1" s="1"/>
  <c r="AR20" i="1" s="1"/>
  <c r="AP19" i="1"/>
  <c r="AQ19" i="1" s="1"/>
  <c r="AR19" i="1" s="1"/>
  <c r="AP18" i="1"/>
  <c r="AQ18" i="1" s="1"/>
  <c r="AR18" i="1" s="1"/>
  <c r="AP17" i="1"/>
  <c r="AQ17" i="1" s="1"/>
  <c r="AR17" i="1" s="1"/>
  <c r="AP16" i="1"/>
  <c r="AQ16" i="1" s="1"/>
  <c r="AR16" i="1" s="1"/>
  <c r="AP15" i="1"/>
  <c r="AQ15" i="1" s="1"/>
  <c r="AR15" i="1" s="1"/>
  <c r="AP14" i="1"/>
  <c r="AQ14" i="1" s="1"/>
  <c r="AR14" i="1" s="1"/>
  <c r="AP13" i="1"/>
  <c r="AQ13" i="1" s="1"/>
  <c r="AR13" i="1" s="1"/>
  <c r="AP12" i="1"/>
  <c r="AQ12" i="1" s="1"/>
  <c r="AR12" i="1" s="1"/>
  <c r="AP11" i="1"/>
  <c r="AQ11" i="1" s="1"/>
  <c r="AR11" i="1" s="1"/>
  <c r="AP10" i="1"/>
  <c r="AQ10" i="1" s="1"/>
  <c r="AR10" i="1" s="1"/>
  <c r="AP9" i="1"/>
  <c r="AQ9" i="1" s="1"/>
  <c r="AR9" i="1" s="1"/>
  <c r="AP8" i="1"/>
  <c r="AQ8" i="1" s="1"/>
  <c r="AR8" i="1" s="1"/>
  <c r="AP7" i="1"/>
  <c r="AQ7" i="1" s="1"/>
  <c r="AR7" i="1" s="1"/>
  <c r="AP6" i="1"/>
  <c r="AQ6" i="1" s="1"/>
  <c r="AR6" i="1" s="1"/>
  <c r="AP5" i="1"/>
  <c r="AQ5" i="1" s="1"/>
  <c r="AR5" i="1" s="1"/>
  <c r="AP4" i="1"/>
  <c r="AQ4" i="1" s="1"/>
  <c r="AR4" i="1" s="1"/>
  <c r="AP3" i="1"/>
  <c r="AQ3" i="1" s="1"/>
  <c r="AR3" i="1" s="1"/>
  <c r="AP2" i="1"/>
  <c r="AQ2" i="1" s="1"/>
  <c r="AR2" i="1" s="1"/>
  <c r="F4" i="11" l="1"/>
  <c r="F5" i="11"/>
  <c r="F6" i="11"/>
  <c r="F7" i="11"/>
  <c r="F8" i="11"/>
  <c r="F9" i="11"/>
  <c r="F10" i="11"/>
  <c r="F3" i="11"/>
  <c r="D6" i="11"/>
  <c r="D5" i="11"/>
  <c r="D4" i="11"/>
  <c r="T2" i="1"/>
  <c r="U2" i="1"/>
  <c r="Y2" i="1"/>
  <c r="Z2" i="1"/>
  <c r="AD2" i="1"/>
  <c r="AE2" i="1"/>
  <c r="D3" i="11"/>
  <c r="C9" i="21"/>
  <c r="C10" i="21"/>
  <c r="C11" i="21"/>
  <c r="C12" i="21"/>
  <c r="F29" i="1" s="1"/>
  <c r="C13" i="21"/>
  <c r="F26" i="1" s="1"/>
  <c r="C14" i="21"/>
  <c r="F32" i="1" s="1"/>
  <c r="C15" i="21"/>
  <c r="H29" i="1" s="1"/>
  <c r="C16" i="21"/>
  <c r="H26" i="1" s="1"/>
  <c r="C17" i="21"/>
  <c r="H32" i="1" s="1"/>
  <c r="C18" i="21"/>
  <c r="L29" i="1" s="1"/>
  <c r="C19" i="21"/>
  <c r="L26" i="1" s="1"/>
  <c r="C20" i="21"/>
  <c r="L32" i="1" s="1"/>
  <c r="C21" i="21"/>
  <c r="Q29" i="1" s="1"/>
  <c r="C22" i="21"/>
  <c r="V29" i="1" s="1"/>
  <c r="C23" i="21"/>
  <c r="AA29" i="1" s="1"/>
  <c r="C24" i="21"/>
  <c r="AF29" i="1" s="1"/>
  <c r="C25" i="21"/>
  <c r="AK29" i="1" s="1"/>
  <c r="C26" i="21"/>
  <c r="AP29" i="1" s="1"/>
  <c r="C27" i="21"/>
  <c r="AU29" i="1" s="1"/>
  <c r="C28" i="21"/>
  <c r="AZ29" i="1" s="1"/>
  <c r="C29" i="21"/>
  <c r="Q26" i="1" s="1"/>
  <c r="C30" i="21"/>
  <c r="V26" i="1" s="1"/>
  <c r="C31" i="21"/>
  <c r="AA26" i="1" s="1"/>
  <c r="C32" i="21"/>
  <c r="AF26" i="1" s="1"/>
  <c r="C33" i="21"/>
  <c r="AK26" i="1" s="1"/>
  <c r="C34" i="21"/>
  <c r="AP26" i="1" s="1"/>
  <c r="C35" i="21"/>
  <c r="AU26" i="1" s="1"/>
  <c r="C36" i="21"/>
  <c r="AZ26" i="1" s="1"/>
  <c r="C37" i="21"/>
  <c r="Q32" i="1" s="1"/>
  <c r="C38" i="21"/>
  <c r="V32" i="1" s="1"/>
  <c r="C39" i="21"/>
  <c r="AA32" i="1" s="1"/>
  <c r="C40" i="21"/>
  <c r="AF32" i="1" s="1"/>
  <c r="C41" i="21"/>
  <c r="AK32" i="1" s="1"/>
  <c r="AK12" i="1" s="1"/>
  <c r="AL12" i="1" s="1"/>
  <c r="AM12" i="1" s="1"/>
  <c r="C42" i="21"/>
  <c r="AP32" i="1" s="1"/>
  <c r="C43" i="21"/>
  <c r="AU32" i="1" s="1"/>
  <c r="C44" i="21"/>
  <c r="AZ32" i="1" s="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8" i="21"/>
  <c r="AK11" i="1" l="1"/>
  <c r="AL11" i="1" s="1"/>
  <c r="AM11" i="1" s="1"/>
  <c r="AK7" i="1"/>
  <c r="AL7" i="1" s="1"/>
  <c r="AM7" i="1" s="1"/>
  <c r="AK3" i="1"/>
  <c r="AL3" i="1" s="1"/>
  <c r="AM3" i="1" s="1"/>
  <c r="AK10" i="1"/>
  <c r="AL10" i="1" s="1"/>
  <c r="AM10" i="1" s="1"/>
  <c r="AK6" i="1"/>
  <c r="AL6" i="1" s="1"/>
  <c r="AM6" i="1" s="1"/>
  <c r="AK2" i="1"/>
  <c r="AL2" i="1" s="1"/>
  <c r="AM2" i="1" s="1"/>
  <c r="AK9" i="1"/>
  <c r="AL9" i="1" s="1"/>
  <c r="AM9" i="1" s="1"/>
  <c r="AK5" i="1"/>
  <c r="AL5" i="1" s="1"/>
  <c r="AM5" i="1" s="1"/>
  <c r="AK8" i="1"/>
  <c r="AL8" i="1" s="1"/>
  <c r="AM8" i="1" s="1"/>
  <c r="AK4" i="1"/>
  <c r="AL4" i="1" s="1"/>
  <c r="AM4" i="1" s="1"/>
  <c r="AK17" i="1"/>
  <c r="AL17" i="1" s="1"/>
  <c r="AM17" i="1" s="1"/>
  <c r="AK14" i="1"/>
  <c r="AL14" i="1" s="1"/>
  <c r="AM14" i="1" s="1"/>
  <c r="AK20" i="1"/>
  <c r="AL20" i="1" s="1"/>
  <c r="AM20" i="1" s="1"/>
  <c r="AK13" i="1"/>
  <c r="AL13" i="1" s="1"/>
  <c r="AM13" i="1" s="1"/>
  <c r="AK22" i="1"/>
  <c r="AL22" i="1" s="1"/>
  <c r="AM22" i="1" s="1"/>
  <c r="AK19" i="1"/>
  <c r="AL19" i="1" s="1"/>
  <c r="AM19" i="1" s="1"/>
  <c r="AK16" i="1"/>
  <c r="AL16" i="1" s="1"/>
  <c r="AM16" i="1" s="1"/>
  <c r="AK21" i="1"/>
  <c r="AL21" i="1" s="1"/>
  <c r="AM21" i="1" s="1"/>
  <c r="AK18" i="1"/>
  <c r="AL18" i="1" s="1"/>
  <c r="AM18" i="1" s="1"/>
  <c r="AK15" i="1"/>
  <c r="AL15" i="1" s="1"/>
  <c r="AM15" i="1" s="1"/>
  <c r="V2" i="1"/>
  <c r="W2" i="1" s="1"/>
  <c r="X2" i="1" s="1"/>
  <c r="AA2" i="1"/>
  <c r="AB2" i="1" s="1"/>
  <c r="AC2" i="1" s="1"/>
  <c r="AF2" i="1"/>
  <c r="AG2" i="1" s="1"/>
  <c r="AH2" i="1" s="1"/>
  <c r="U2" i="2" l="1"/>
  <c r="T2" i="2"/>
  <c r="S2" i="2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" i="1"/>
  <c r="O26" i="1" l="1"/>
  <c r="T29" i="1"/>
  <c r="T32" i="1"/>
  <c r="T26" i="1"/>
  <c r="AD26" i="1"/>
  <c r="Y32" i="1"/>
  <c r="Y29" i="1"/>
  <c r="Y26" i="1"/>
  <c r="AD29" i="1"/>
  <c r="AD32" i="1"/>
  <c r="O32" i="1"/>
  <c r="O29" i="1"/>
  <c r="P3" i="2"/>
  <c r="P22" i="2"/>
  <c r="P18" i="2"/>
  <c r="P14" i="2"/>
  <c r="P10" i="2"/>
  <c r="P6" i="2"/>
  <c r="P5" i="2"/>
  <c r="P20" i="2"/>
  <c r="P16" i="2"/>
  <c r="P12" i="2"/>
  <c r="P8" i="2"/>
  <c r="P4" i="2"/>
  <c r="P21" i="2"/>
  <c r="P17" i="2"/>
  <c r="P13" i="2"/>
  <c r="P9" i="2"/>
  <c r="P2" i="2"/>
  <c r="P19" i="2"/>
  <c r="P15" i="2"/>
  <c r="P11" i="2"/>
  <c r="P7" i="2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AX23" i="1" l="1"/>
  <c r="AS23" i="1"/>
  <c r="AN23" i="1"/>
  <c r="AI23" i="1"/>
  <c r="AD23" i="1"/>
  <c r="Y23" i="1"/>
  <c r="T23" i="1"/>
  <c r="O23" i="1"/>
  <c r="D23" i="1"/>
  <c r="AE3" i="1" l="1"/>
  <c r="AF3" i="1" s="1"/>
  <c r="AG3" i="1" s="1"/>
  <c r="AH3" i="1" s="1"/>
  <c r="AE4" i="1"/>
  <c r="AF4" i="1" s="1"/>
  <c r="AG4" i="1" s="1"/>
  <c r="AH4" i="1" s="1"/>
  <c r="AE5" i="1"/>
  <c r="AF5" i="1" s="1"/>
  <c r="AG5" i="1" s="1"/>
  <c r="AH5" i="1" s="1"/>
  <c r="AE6" i="1"/>
  <c r="AF6" i="1" s="1"/>
  <c r="AG6" i="1" s="1"/>
  <c r="AH6" i="1" s="1"/>
  <c r="AE7" i="1"/>
  <c r="AF7" i="1" s="1"/>
  <c r="AG7" i="1" s="1"/>
  <c r="AH7" i="1" s="1"/>
  <c r="AE8" i="1"/>
  <c r="AF8" i="1" s="1"/>
  <c r="AG8" i="1" s="1"/>
  <c r="AH8" i="1" s="1"/>
  <c r="AE9" i="1"/>
  <c r="AF9" i="1" s="1"/>
  <c r="AG9" i="1" s="1"/>
  <c r="AH9" i="1" s="1"/>
  <c r="AE10" i="1"/>
  <c r="AF10" i="1" s="1"/>
  <c r="AG10" i="1" s="1"/>
  <c r="AH10" i="1" s="1"/>
  <c r="AE11" i="1"/>
  <c r="AF11" i="1" s="1"/>
  <c r="AG11" i="1" s="1"/>
  <c r="AH11" i="1" s="1"/>
  <c r="AE12" i="1"/>
  <c r="AF12" i="1" s="1"/>
  <c r="AG12" i="1" s="1"/>
  <c r="AH12" i="1" s="1"/>
  <c r="AE13" i="1"/>
  <c r="AF13" i="1" s="1"/>
  <c r="AG13" i="1" s="1"/>
  <c r="AH13" i="1" s="1"/>
  <c r="AE14" i="1"/>
  <c r="AF14" i="1" s="1"/>
  <c r="AG14" i="1" s="1"/>
  <c r="AH14" i="1" s="1"/>
  <c r="AE15" i="1"/>
  <c r="AF15" i="1" s="1"/>
  <c r="AG15" i="1" s="1"/>
  <c r="AH15" i="1" s="1"/>
  <c r="AE16" i="1"/>
  <c r="AF16" i="1" s="1"/>
  <c r="AG16" i="1" s="1"/>
  <c r="AH16" i="1" s="1"/>
  <c r="AE17" i="1"/>
  <c r="AF17" i="1" s="1"/>
  <c r="AG17" i="1" s="1"/>
  <c r="AH17" i="1" s="1"/>
  <c r="AE18" i="1"/>
  <c r="AF18" i="1" s="1"/>
  <c r="AG18" i="1" s="1"/>
  <c r="AH18" i="1" s="1"/>
  <c r="AE19" i="1"/>
  <c r="AF19" i="1" s="1"/>
  <c r="AG19" i="1" s="1"/>
  <c r="AH19" i="1" s="1"/>
  <c r="AE20" i="1"/>
  <c r="AF20" i="1" s="1"/>
  <c r="AG20" i="1" s="1"/>
  <c r="AH20" i="1" s="1"/>
  <c r="AE21" i="1"/>
  <c r="AF21" i="1" s="1"/>
  <c r="AG21" i="1" s="1"/>
  <c r="AH21" i="1" s="1"/>
  <c r="AE22" i="1"/>
  <c r="AF22" i="1" s="1"/>
  <c r="AG22" i="1" s="1"/>
  <c r="AH22" i="1" s="1"/>
  <c r="D2" i="1"/>
  <c r="U3" i="1"/>
  <c r="V3" i="1" s="1"/>
  <c r="W3" i="1" s="1"/>
  <c r="X3" i="1" s="1"/>
  <c r="Z3" i="1"/>
  <c r="AA3" i="1" s="1"/>
  <c r="AB3" i="1" s="1"/>
  <c r="AC3" i="1" s="1"/>
  <c r="U4" i="1"/>
  <c r="V4" i="1" s="1"/>
  <c r="W4" i="1" s="1"/>
  <c r="X4" i="1" s="1"/>
  <c r="Z4" i="1"/>
  <c r="AA4" i="1" s="1"/>
  <c r="AB4" i="1" s="1"/>
  <c r="AC4" i="1" s="1"/>
  <c r="U5" i="1"/>
  <c r="V5" i="1" s="1"/>
  <c r="W5" i="1" s="1"/>
  <c r="X5" i="1" s="1"/>
  <c r="Z5" i="1"/>
  <c r="AA5" i="1" s="1"/>
  <c r="AB5" i="1" s="1"/>
  <c r="AC5" i="1" s="1"/>
  <c r="U6" i="1"/>
  <c r="V6" i="1" s="1"/>
  <c r="W6" i="1" s="1"/>
  <c r="X6" i="1" s="1"/>
  <c r="Z6" i="1"/>
  <c r="AA6" i="1" s="1"/>
  <c r="AB6" i="1" s="1"/>
  <c r="AC6" i="1" s="1"/>
  <c r="U7" i="1"/>
  <c r="V7" i="1" s="1"/>
  <c r="W7" i="1" s="1"/>
  <c r="X7" i="1" s="1"/>
  <c r="Z7" i="1"/>
  <c r="AA7" i="1" s="1"/>
  <c r="AB7" i="1" s="1"/>
  <c r="AC7" i="1" s="1"/>
  <c r="U8" i="1"/>
  <c r="V8" i="1" s="1"/>
  <c r="W8" i="1" s="1"/>
  <c r="X8" i="1" s="1"/>
  <c r="Z8" i="1"/>
  <c r="AA8" i="1" s="1"/>
  <c r="AB8" i="1" s="1"/>
  <c r="AC8" i="1" s="1"/>
  <c r="U9" i="1"/>
  <c r="V9" i="1" s="1"/>
  <c r="W9" i="1" s="1"/>
  <c r="X9" i="1" s="1"/>
  <c r="Z9" i="1"/>
  <c r="AA9" i="1" s="1"/>
  <c r="AB9" i="1" s="1"/>
  <c r="AC9" i="1" s="1"/>
  <c r="U10" i="1"/>
  <c r="V10" i="1" s="1"/>
  <c r="W10" i="1" s="1"/>
  <c r="X10" i="1" s="1"/>
  <c r="Z10" i="1"/>
  <c r="AA10" i="1" s="1"/>
  <c r="AB10" i="1" s="1"/>
  <c r="AC10" i="1" s="1"/>
  <c r="U11" i="1"/>
  <c r="V11" i="1" s="1"/>
  <c r="W11" i="1" s="1"/>
  <c r="X11" i="1" s="1"/>
  <c r="Z11" i="1"/>
  <c r="AA11" i="1" s="1"/>
  <c r="AB11" i="1" s="1"/>
  <c r="AC11" i="1" s="1"/>
  <c r="U12" i="1"/>
  <c r="V12" i="1" s="1"/>
  <c r="W12" i="1" s="1"/>
  <c r="X12" i="1" s="1"/>
  <c r="Z12" i="1"/>
  <c r="AA12" i="1" s="1"/>
  <c r="AB12" i="1" s="1"/>
  <c r="AC12" i="1" s="1"/>
  <c r="U13" i="1"/>
  <c r="V13" i="1" s="1"/>
  <c r="W13" i="1" s="1"/>
  <c r="X13" i="1" s="1"/>
  <c r="Z13" i="1"/>
  <c r="AA13" i="1" s="1"/>
  <c r="AB13" i="1" s="1"/>
  <c r="AC13" i="1" s="1"/>
  <c r="U14" i="1"/>
  <c r="V14" i="1" s="1"/>
  <c r="W14" i="1" s="1"/>
  <c r="X14" i="1" s="1"/>
  <c r="Z14" i="1"/>
  <c r="AA14" i="1" s="1"/>
  <c r="AB14" i="1" s="1"/>
  <c r="AC14" i="1" s="1"/>
  <c r="U15" i="1"/>
  <c r="V15" i="1" s="1"/>
  <c r="W15" i="1" s="1"/>
  <c r="X15" i="1" s="1"/>
  <c r="Z15" i="1"/>
  <c r="AA15" i="1" s="1"/>
  <c r="AB15" i="1" s="1"/>
  <c r="AC15" i="1" s="1"/>
  <c r="U16" i="1"/>
  <c r="V16" i="1" s="1"/>
  <c r="W16" i="1" s="1"/>
  <c r="X16" i="1" s="1"/>
  <c r="Z16" i="1"/>
  <c r="AA16" i="1" s="1"/>
  <c r="AB16" i="1" s="1"/>
  <c r="AC16" i="1" s="1"/>
  <c r="U17" i="1"/>
  <c r="V17" i="1" s="1"/>
  <c r="W17" i="1" s="1"/>
  <c r="X17" i="1" s="1"/>
  <c r="Z17" i="1"/>
  <c r="AA17" i="1" s="1"/>
  <c r="AB17" i="1" s="1"/>
  <c r="AC17" i="1" s="1"/>
  <c r="U18" i="1"/>
  <c r="V18" i="1" s="1"/>
  <c r="W18" i="1" s="1"/>
  <c r="X18" i="1" s="1"/>
  <c r="Z18" i="1"/>
  <c r="AA18" i="1" s="1"/>
  <c r="AB18" i="1" s="1"/>
  <c r="AC18" i="1" s="1"/>
  <c r="U19" i="1"/>
  <c r="V19" i="1" s="1"/>
  <c r="W19" i="1" s="1"/>
  <c r="X19" i="1" s="1"/>
  <c r="Z19" i="1"/>
  <c r="AA19" i="1" s="1"/>
  <c r="AB19" i="1" s="1"/>
  <c r="AC19" i="1" s="1"/>
  <c r="U20" i="1"/>
  <c r="V20" i="1" s="1"/>
  <c r="W20" i="1" s="1"/>
  <c r="X20" i="1" s="1"/>
  <c r="Z20" i="1"/>
  <c r="AA20" i="1" s="1"/>
  <c r="AB20" i="1" s="1"/>
  <c r="AC20" i="1" s="1"/>
  <c r="U21" i="1"/>
  <c r="V21" i="1" s="1"/>
  <c r="W21" i="1" s="1"/>
  <c r="X21" i="1" s="1"/>
  <c r="Z21" i="1"/>
  <c r="AA21" i="1" s="1"/>
  <c r="AB21" i="1" s="1"/>
  <c r="AC21" i="1" s="1"/>
  <c r="U22" i="1"/>
  <c r="V22" i="1" s="1"/>
  <c r="W22" i="1" s="1"/>
  <c r="X22" i="1" s="1"/>
  <c r="Z22" i="1"/>
  <c r="AA22" i="1" s="1"/>
  <c r="AB22" i="1" s="1"/>
  <c r="AC22" i="1" s="1"/>
  <c r="AS32" i="1"/>
  <c r="B67" i="21" s="1"/>
  <c r="AI32" i="1"/>
  <c r="B65" i="2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" i="1"/>
  <c r="Q2" i="1" s="1"/>
  <c r="R2" i="1" s="1"/>
  <c r="S2" i="1" s="1"/>
  <c r="D3" i="1"/>
  <c r="E3" i="1"/>
  <c r="G3" i="1"/>
  <c r="H3" i="1" s="1"/>
  <c r="K3" i="1"/>
  <c r="L3" i="1" s="1"/>
  <c r="D4" i="1"/>
  <c r="E4" i="1"/>
  <c r="G4" i="1"/>
  <c r="H4" i="1" s="1"/>
  <c r="K4" i="1"/>
  <c r="L4" i="1" s="1"/>
  <c r="D5" i="1"/>
  <c r="E5" i="1"/>
  <c r="G5" i="1"/>
  <c r="H5" i="1" s="1"/>
  <c r="K5" i="1"/>
  <c r="L5" i="1" s="1"/>
  <c r="D6" i="1"/>
  <c r="E6" i="1"/>
  <c r="G6" i="1"/>
  <c r="H6" i="1" s="1"/>
  <c r="K6" i="1"/>
  <c r="L6" i="1" s="1"/>
  <c r="D7" i="1"/>
  <c r="E7" i="1"/>
  <c r="G7" i="1"/>
  <c r="H7" i="1" s="1"/>
  <c r="K7" i="1"/>
  <c r="L7" i="1" s="1"/>
  <c r="D8" i="1"/>
  <c r="E8" i="1"/>
  <c r="G8" i="1"/>
  <c r="H8" i="1" s="1"/>
  <c r="K8" i="1"/>
  <c r="L8" i="1" s="1"/>
  <c r="D9" i="1"/>
  <c r="E9" i="1"/>
  <c r="G9" i="1"/>
  <c r="H9" i="1" s="1"/>
  <c r="K9" i="1"/>
  <c r="L9" i="1" s="1"/>
  <c r="D10" i="1"/>
  <c r="E10" i="1"/>
  <c r="G10" i="1"/>
  <c r="H10" i="1" s="1"/>
  <c r="K10" i="1"/>
  <c r="L10" i="1" s="1"/>
  <c r="D11" i="1"/>
  <c r="E11" i="1"/>
  <c r="G11" i="1"/>
  <c r="H11" i="1" s="1"/>
  <c r="K11" i="1"/>
  <c r="L11" i="1" s="1"/>
  <c r="D12" i="1"/>
  <c r="E12" i="1"/>
  <c r="G12" i="1"/>
  <c r="H12" i="1" s="1"/>
  <c r="K12" i="1"/>
  <c r="L12" i="1" s="1"/>
  <c r="D13" i="1"/>
  <c r="E13" i="1"/>
  <c r="G13" i="1"/>
  <c r="H13" i="1" s="1"/>
  <c r="K13" i="1"/>
  <c r="L13" i="1" s="1"/>
  <c r="D14" i="1"/>
  <c r="E14" i="1"/>
  <c r="G14" i="1"/>
  <c r="H14" i="1" s="1"/>
  <c r="K14" i="1"/>
  <c r="L14" i="1" s="1"/>
  <c r="D15" i="1"/>
  <c r="E15" i="1"/>
  <c r="G15" i="1"/>
  <c r="H15" i="1" s="1"/>
  <c r="K15" i="1"/>
  <c r="L15" i="1" s="1"/>
  <c r="D16" i="1"/>
  <c r="E16" i="1"/>
  <c r="G16" i="1"/>
  <c r="H16" i="1" s="1"/>
  <c r="K16" i="1"/>
  <c r="L16" i="1" s="1"/>
  <c r="D17" i="1"/>
  <c r="E17" i="1"/>
  <c r="G17" i="1"/>
  <c r="H17" i="1" s="1"/>
  <c r="K17" i="1"/>
  <c r="L17" i="1" s="1"/>
  <c r="D18" i="1"/>
  <c r="E18" i="1"/>
  <c r="G18" i="1"/>
  <c r="H18" i="1" s="1"/>
  <c r="K18" i="1"/>
  <c r="L18" i="1" s="1"/>
  <c r="D19" i="1"/>
  <c r="E19" i="1"/>
  <c r="G19" i="1"/>
  <c r="H19" i="1" s="1"/>
  <c r="K19" i="1"/>
  <c r="L19" i="1" s="1"/>
  <c r="D20" i="1"/>
  <c r="E20" i="1"/>
  <c r="G20" i="1"/>
  <c r="H20" i="1" s="1"/>
  <c r="K20" i="1"/>
  <c r="L20" i="1" s="1"/>
  <c r="D21" i="1"/>
  <c r="E21" i="1"/>
  <c r="G21" i="1"/>
  <c r="H21" i="1" s="1"/>
  <c r="K21" i="1"/>
  <c r="L21" i="1" s="1"/>
  <c r="D22" i="1"/>
  <c r="E22" i="1"/>
  <c r="G22" i="1"/>
  <c r="H22" i="1" s="1"/>
  <c r="K22" i="1"/>
  <c r="L22" i="1" s="1"/>
  <c r="E2" i="1"/>
  <c r="G2" i="1"/>
  <c r="H2" i="1" s="1"/>
  <c r="K2" i="1"/>
  <c r="L2" i="1" s="1"/>
  <c r="I2" i="1" l="1"/>
  <c r="Q12" i="1"/>
  <c r="R12" i="1" s="1"/>
  <c r="S12" i="1" s="1"/>
  <c r="M12" i="1"/>
  <c r="N12" i="1" s="1"/>
  <c r="Q19" i="1"/>
  <c r="R19" i="1" s="1"/>
  <c r="S19" i="1" s="1"/>
  <c r="Q3" i="1"/>
  <c r="R3" i="1" s="1"/>
  <c r="S3" i="1" s="1"/>
  <c r="Q22" i="1"/>
  <c r="R22" i="1" s="1"/>
  <c r="S22" i="1" s="1"/>
  <c r="Q18" i="1"/>
  <c r="R18" i="1" s="1"/>
  <c r="S18" i="1" s="1"/>
  <c r="Q14" i="1"/>
  <c r="R14" i="1" s="1"/>
  <c r="S14" i="1" s="1"/>
  <c r="Q10" i="1"/>
  <c r="R10" i="1" s="1"/>
  <c r="S10" i="1" s="1"/>
  <c r="Q6" i="1"/>
  <c r="R6" i="1" s="1"/>
  <c r="S6" i="1" s="1"/>
  <c r="Q11" i="1"/>
  <c r="R11" i="1" s="1"/>
  <c r="S11" i="1" s="1"/>
  <c r="Q21" i="1"/>
  <c r="R21" i="1" s="1"/>
  <c r="S21" i="1" s="1"/>
  <c r="Q17" i="1"/>
  <c r="R17" i="1" s="1"/>
  <c r="S17" i="1" s="1"/>
  <c r="Q13" i="1"/>
  <c r="R13" i="1" s="1"/>
  <c r="S13" i="1" s="1"/>
  <c r="Q9" i="1"/>
  <c r="R9" i="1" s="1"/>
  <c r="S9" i="1" s="1"/>
  <c r="Q5" i="1"/>
  <c r="R5" i="1" s="1"/>
  <c r="S5" i="1" s="1"/>
  <c r="Q15" i="1"/>
  <c r="R15" i="1" s="1"/>
  <c r="S15" i="1" s="1"/>
  <c r="Q7" i="1"/>
  <c r="R7" i="1" s="1"/>
  <c r="S7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M3" i="1"/>
  <c r="N3" i="1" s="1"/>
  <c r="Q20" i="1"/>
  <c r="R20" i="1" s="1"/>
  <c r="S20" i="1" s="1"/>
  <c r="Q16" i="1"/>
  <c r="R16" i="1" s="1"/>
  <c r="S16" i="1" s="1"/>
  <c r="Q8" i="1"/>
  <c r="R8" i="1" s="1"/>
  <c r="S8" i="1" s="1"/>
  <c r="Q4" i="1"/>
  <c r="R4" i="1" s="1"/>
  <c r="S4" i="1" s="1"/>
  <c r="M2" i="1"/>
  <c r="N2" i="1" s="1"/>
  <c r="I20" i="1"/>
  <c r="J20" i="1" s="1"/>
  <c r="I19" i="1"/>
  <c r="J19" i="1" s="1"/>
  <c r="I15" i="1"/>
  <c r="J15" i="1" s="1"/>
  <c r="I12" i="1"/>
  <c r="J12" i="1" s="1"/>
  <c r="I11" i="1"/>
  <c r="J11" i="1" s="1"/>
  <c r="I8" i="1"/>
  <c r="J8" i="1" s="1"/>
  <c r="I7" i="1"/>
  <c r="J7" i="1" s="1"/>
  <c r="I4" i="1"/>
  <c r="J4" i="1" s="1"/>
  <c r="I3" i="1"/>
  <c r="J3" i="1" s="1"/>
  <c r="I16" i="1"/>
  <c r="J16" i="1" s="1"/>
  <c r="J2" i="1"/>
  <c r="I21" i="1"/>
  <c r="J21" i="1" s="1"/>
  <c r="I18" i="1"/>
  <c r="J18" i="1" s="1"/>
  <c r="I14" i="1"/>
  <c r="J14" i="1" s="1"/>
  <c r="I13" i="1"/>
  <c r="J13" i="1" s="1"/>
  <c r="I10" i="1"/>
  <c r="J10" i="1" s="1"/>
  <c r="I9" i="1"/>
  <c r="J9" i="1" s="1"/>
  <c r="I6" i="1"/>
  <c r="J6" i="1" s="1"/>
  <c r="I5" i="1"/>
  <c r="J5" i="1" s="1"/>
  <c r="I22" i="1"/>
  <c r="J22" i="1" s="1"/>
  <c r="I17" i="1"/>
  <c r="J17" i="1" s="1"/>
  <c r="G29" i="1"/>
  <c r="G26" i="1"/>
  <c r="B16" i="21" s="1"/>
  <c r="P29" i="1"/>
  <c r="B21" i="21" s="1"/>
  <c r="G36" i="1"/>
  <c r="D26" i="1"/>
  <c r="AJ32" i="1"/>
  <c r="AJ26" i="1"/>
  <c r="B33" i="21" s="1"/>
  <c r="AT32" i="1"/>
  <c r="B43" i="21" s="1"/>
  <c r="AT26" i="1"/>
  <c r="B35" i="21" s="1"/>
  <c r="AJ29" i="1"/>
  <c r="AY29" i="1"/>
  <c r="B28" i="21" s="1"/>
  <c r="Z29" i="1"/>
  <c r="B23" i="21" s="1"/>
  <c r="AE29" i="1"/>
  <c r="B24" i="21" s="1"/>
  <c r="AT29" i="1"/>
  <c r="B27" i="21" s="1"/>
  <c r="Z32" i="1"/>
  <c r="B39" i="21" s="1"/>
  <c r="Z26" i="1"/>
  <c r="B31" i="21" s="1"/>
  <c r="AY32" i="1"/>
  <c r="B44" i="21" s="1"/>
  <c r="AY26" i="1"/>
  <c r="B36" i="21" s="1"/>
  <c r="AE26" i="1"/>
  <c r="B32" i="21" s="1"/>
  <c r="AE32" i="1"/>
  <c r="B40" i="21" s="1"/>
  <c r="U29" i="1"/>
  <c r="B22" i="21" s="1"/>
  <c r="U32" i="1"/>
  <c r="B38" i="21" s="1"/>
  <c r="U26" i="1"/>
  <c r="B30" i="21" s="1"/>
  <c r="P32" i="1"/>
  <c r="B37" i="21" s="1"/>
  <c r="P26" i="1"/>
  <c r="B29" i="21" s="1"/>
  <c r="D32" i="1"/>
  <c r="B11" i="21" s="1"/>
  <c r="D29" i="1"/>
  <c r="B9" i="21" s="1"/>
  <c r="AX29" i="1"/>
  <c r="B52" i="21" s="1"/>
  <c r="AX26" i="1"/>
  <c r="B60" i="21" s="1"/>
  <c r="AS26" i="1"/>
  <c r="B59" i="21" s="1"/>
  <c r="AN29" i="1"/>
  <c r="B50" i="21" s="1"/>
  <c r="AI26" i="1"/>
  <c r="B57" i="21" s="1"/>
  <c r="AI29" i="1"/>
  <c r="B49" i="21" s="1"/>
  <c r="B47" i="21"/>
  <c r="B48" i="21"/>
  <c r="K29" i="1"/>
  <c r="B18" i="21" s="1"/>
  <c r="G32" i="1"/>
  <c r="B17" i="21" s="1"/>
  <c r="K26" i="1"/>
  <c r="B19" i="21" s="1"/>
  <c r="E32" i="1"/>
  <c r="B14" i="21" s="1"/>
  <c r="E29" i="1"/>
  <c r="B12" i="21" s="1"/>
  <c r="K32" i="1"/>
  <c r="B20" i="21" s="1"/>
  <c r="E26" i="1"/>
  <c r="B13" i="21" s="1"/>
  <c r="B45" i="21"/>
  <c r="B61" i="21"/>
  <c r="B53" i="21"/>
  <c r="AS29" i="1"/>
  <c r="B51" i="21" s="1"/>
  <c r="AN26" i="1"/>
  <c r="B58" i="21" s="1"/>
  <c r="AN32" i="1"/>
  <c r="B66" i="21" s="1"/>
  <c r="B64" i="21"/>
  <c r="B46" i="21"/>
  <c r="AX32" i="1"/>
  <c r="B68" i="21" s="1"/>
  <c r="B56" i="21"/>
  <c r="B55" i="21"/>
  <c r="B63" i="21"/>
  <c r="B62" i="21"/>
  <c r="B54" i="21"/>
  <c r="D38" i="1" l="1"/>
  <c r="B15" i="21"/>
  <c r="B1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E1" authorId="0" shapeId="0" xr:uid="{2AE3F6F0-5B0E-45D1-8376-AE33FCF77509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" xr16:uid="{00000000-0015-0000-FFFF-FFFF01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" xr16:uid="{00000000-0015-0000-FFFF-FFFF03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5" xr16:uid="{00000000-0015-0000-FFFF-FFFF04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6" xr16:uid="{00000000-0015-0000-FFFF-FFFF05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" xr16:uid="{00000000-0015-0000-FFFF-FFFF06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8" xr16:uid="{00000000-0015-0000-FFFF-FFFF07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1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0" xr16:uid="{0E2116BA-326A-4640-83E7-F1B61AAE5D54}" name="cal_rsp1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2BA431D0-A536-4C0E-8B3B-D4440A663D55}" name="cal_rsp1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00000000-0015-0000-FFFF-FFFF09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00000000-0015-0000-FFFF-FFFF0A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14" xr16:uid="{00000000-0015-0000-FFFF-FFFF0B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00000000-0015-0000-FFFF-FFFF0C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6" xr16:uid="{00000000-0015-0000-FFFF-FFFF0D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7" xr16:uid="{00000000-0015-0000-FFFF-FFFF0E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8" xr16:uid="{00000000-0015-0000-FFFF-FFFF0F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9" xr16:uid="{00000000-0015-0000-FFFF-FFFF10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0" xr16:uid="{00000000-0015-0000-FFFF-FFFF11000000}" name="cal1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1" xr16:uid="{00000000-0015-0000-FFFF-FFFF12000000}" name="cal2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2" xr16:uid="{00000000-0015-0000-FFFF-FFFF13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23" xr16:uid="{00000000-0015-0000-FFFF-FFFF14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24" xr16:uid="{00000000-0015-0000-FFFF-FFFF15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25" xr16:uid="{00000000-0015-0000-FFFF-FFFF16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26" xr16:uid="{00000000-0015-0000-FFFF-FFFF17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7" xr16:uid="{00000000-0015-0000-FFFF-FFFF18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8" xr16:uid="{00000000-0015-0000-FFFF-FFFF19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9" xr16:uid="{00000000-0015-0000-FFFF-FFFF1A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0" xr16:uid="{00000000-0015-0000-FFFF-FFFF1B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1" xr16:uid="{00000000-0015-0000-FFFF-FFFF1C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2" xr16:uid="{00000000-0015-0000-FFFF-FFFF1D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3" xr16:uid="{00000000-0015-0000-FFFF-FFFF1E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4" xr16:uid="{00000000-0015-0000-FFFF-FFFF1F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5" xr16:uid="{00000000-0015-0000-FFFF-FFFF20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36" xr16:uid="{00000000-0015-0000-FFFF-FFFF21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37" xr16:uid="{00000000-0015-0000-FFFF-FFFF22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38" xr16:uid="{00000000-0015-0000-FFFF-FFFF23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39" xr16:uid="{00000000-0015-0000-FFFF-FFFF24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40" xr16:uid="{00000000-0015-0000-FFFF-FFFF25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41" xr16:uid="{00000000-0015-0000-FFFF-FFFF26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2" xr16:uid="{00000000-0015-0000-FFFF-FFFF27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3" xr16:uid="{00000000-0015-0000-FFFF-FFFF28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4" xr16:uid="{00000000-0015-0000-FFFF-FFFF29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5" xr16:uid="{00000000-0015-0000-FFFF-FFFF2A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6" xr16:uid="{00000000-0015-0000-FFFF-FFFF2B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47" xr16:uid="{00000000-0015-0000-FFFF-FFFF2C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48" xr16:uid="{00000000-0015-0000-FFFF-FFFF2D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9" xr16:uid="{00000000-0015-0000-FFFF-FFFF2E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0" xr16:uid="{00000000-0015-0000-FFFF-FFFF2F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1" xr16:uid="{00000000-0015-0000-FFFF-FFFF30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2" xr16:uid="{00000000-0015-0000-FFFF-FFFF31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3" xr16:uid="{00000000-0015-0000-FFFF-FFFF32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54" xr16:uid="{00000000-0015-0000-FFFF-FFFF33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5" xr16:uid="{00000000-0015-0000-FFFF-FFFF34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6" xr16:uid="{00000000-0015-0000-FFFF-FFFF35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7" xr16:uid="{00000000-0015-0000-FFFF-FFFF36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8" xr16:uid="{00000000-0015-0000-FFFF-FFFF37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59" xr16:uid="{00000000-0015-0000-FFFF-FFFF38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0" xr16:uid="{00000000-0015-0000-FFFF-FFFF39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1" xr16:uid="{00000000-0015-0000-FFFF-FFFF3A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2" xr16:uid="{00000000-0015-0000-FFFF-FFFF3B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3" xr16:uid="{00000000-0015-0000-FFFF-FFFF3C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4" xr16:uid="{00000000-0015-0000-FFFF-FFFF3D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5" xr16:uid="{00000000-0015-0000-FFFF-FFFF3E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6" xr16:uid="{00000000-0015-0000-FFFF-FFFF3F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7" xr16:uid="{00000000-0015-0000-FFFF-FFFF40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8" xr16:uid="{00000000-0015-0000-FFFF-FFFF41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9" xr16:uid="{00000000-0015-0000-FFFF-FFFF42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70" xr16:uid="{00000000-0015-0000-FFFF-FFFF43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1" xr16:uid="{00000000-0015-0000-FFFF-FFFF44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2" xr16:uid="{00000000-0015-0000-FFFF-FFFF45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73" xr16:uid="{00000000-0015-0000-FFFF-FFFF46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74" xr16:uid="{00000000-0015-0000-FFFF-FFFF47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5" xr16:uid="{00000000-0015-0000-FFFF-FFFF48000000}" name="r05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6" xr16:uid="{00000000-0015-0000-FFFF-FFFF49000000}" name="r05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7" xr16:uid="{00000000-0015-0000-FFFF-FFFF4A000000}" name="r05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8" xr16:uid="{00000000-0015-0000-FFFF-FFFF4B000000}" name="r05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9" xr16:uid="{00000000-0015-0000-FFFF-FFFF4C000000}" name="r05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0" xr16:uid="{00000000-0015-0000-FFFF-FFFF4D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81" xr16:uid="{00000000-0015-0000-FFFF-FFFF4E000000}" name="r06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2" xr16:uid="{00000000-0015-0000-FFFF-FFFF4F000000}" name="r06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3" xr16:uid="{00000000-0015-0000-FFFF-FFFF50000000}" name="r06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4" xr16:uid="{00000000-0015-0000-FFFF-FFFF51000000}" name="r06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5" xr16:uid="{00000000-0015-0000-FFFF-FFFF52000000}" name="r06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6" xr16:uid="{00000000-0015-0000-FFFF-FFFF53000000}" name="r06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7" xr16:uid="{00000000-0015-0000-FFFF-FFFF54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8" xr16:uid="{00000000-0015-0000-FFFF-FFFF55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9" xr16:uid="{00000000-0015-0000-FFFF-FFFF56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0" xr16:uid="{00000000-0015-0000-FFFF-FFFF57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91" xr16:uid="{00000000-0015-0000-FFFF-FFFF58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92" xr16:uid="{00000000-0015-0000-FFFF-FFFF59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93" xr16:uid="{00000000-0015-0000-FFFF-FFFF5A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4" xr16:uid="{00000000-0015-0000-FFFF-FFFF5B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5" xr16:uid="{00000000-0015-0000-FFFF-FFFF5C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96" xr16:uid="{00000000-0015-0000-FFFF-FFFF5D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97" xr16:uid="{00000000-0015-0000-FFFF-FFFF5E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98" xr16:uid="{00000000-0015-0000-FFFF-FFFF5F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99" xr16:uid="{00000000-0015-0000-FFFF-FFFF60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100" xr16:uid="{00000000-0015-0000-FFFF-FFFF61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1" xr16:uid="{00000000-0015-0000-FFFF-FFFF62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2" xr16:uid="{00000000-0015-0000-FFFF-FFFF63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3" xr16:uid="{00000000-0015-0000-FFFF-FFFF64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04" xr16:uid="{00000000-0015-0000-FFFF-FFFF65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105" xr16:uid="{00000000-0015-0000-FFFF-FFFF66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6" xr16:uid="{00000000-0015-0000-FFFF-FFFF67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7" xr16:uid="{00000000-0015-0000-FFFF-FFFF68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8" xr16:uid="{00000000-0015-0000-FFFF-FFFF69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9" xr16:uid="{00000000-0015-0000-FFFF-FFFF6A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0" xr16:uid="{00000000-0015-0000-FFFF-FFFF6B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1" xr16:uid="{00000000-0015-0000-FFFF-FFFF6C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12" xr16:uid="{00000000-0015-0000-FFFF-FFFF6D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13" xr16:uid="{00000000-0015-0000-FFFF-FFFF6E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4" xr16:uid="{00000000-0015-0000-FFFF-FFFF6F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15" xr16:uid="{00000000-0015-0000-FFFF-FFFF70000000}" name="r13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6" xr16:uid="{00000000-0015-0000-FFFF-FFFF71000000}" name="r13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7" xr16:uid="{00000000-0015-0000-FFFF-FFFF72000000}" name="r13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8" xr16:uid="{00000000-0015-0000-FFFF-FFFF73000000}" name="r13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9" xr16:uid="{00000000-0015-0000-FFFF-FFFF74000000}" name="r13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0" xr16:uid="{00000000-0015-0000-FFFF-FFFF75000000}" name="r13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1" xr16:uid="{00000000-0015-0000-FFFF-FFFF76000000}" name="r13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2" xr16:uid="{00000000-0015-0000-FFFF-FFFF77000000}" name="r13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3" xr16:uid="{00000000-0015-0000-FFFF-FFFF78000000}" name="r13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4" xr16:uid="{00000000-0015-0000-FFFF-FFFF79000000}" name="r13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5" xr16:uid="{00000000-0015-0000-FFFF-FFFF7A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26" xr16:uid="{00000000-0015-0000-FFFF-FFFF7B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7" xr16:uid="{00000000-0015-0000-FFFF-FFFF7C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8" xr16:uid="{00000000-0015-0000-FFFF-FFFF7D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9" xr16:uid="{00000000-0015-0000-FFFF-FFFF7E00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0" xr16:uid="{00000000-0015-0000-FFFF-FFFF7F00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1" xr16:uid="{00000000-0015-0000-FFFF-FFFF8000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32" xr16:uid="{00000000-0015-0000-FFFF-FFFF8100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33" xr16:uid="{00000000-0015-0000-FFFF-FFFF8200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34" xr16:uid="{00000000-0015-0000-FFFF-FFFF8300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35" xr16:uid="{00000000-0015-0000-FFFF-FFFF8400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6" xr16:uid="{00000000-0015-0000-FFFF-FFFF8500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7" xr16:uid="{00000000-0015-0000-FFFF-FFFF8600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8" xr16:uid="{00000000-0015-0000-FFFF-FFFF8700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9" xr16:uid="{00000000-0015-0000-FFFF-FFFF8800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40" xr16:uid="{00000000-0015-0000-FFFF-FFFF8900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141" xr16:uid="{00000000-0015-0000-FFFF-FFFF8A00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42" xr16:uid="{00000000-0015-0000-FFFF-FFFF8B00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143" xr16:uid="{00000000-0015-0000-FFFF-FFFF8C00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144" xr16:uid="{00000000-0015-0000-FFFF-FFFF8D00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45" xr16:uid="{00000000-0015-0000-FFFF-FFFF8E00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46" xr16:uid="{00000000-0015-0000-FFFF-FFFF8F00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47" xr16:uid="{00000000-0015-0000-FFFF-FFFF9000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48" xr16:uid="{00000000-0015-0000-FFFF-FFFF9100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149" xr16:uid="{00000000-0015-0000-FFFF-FFFF9200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0" xr16:uid="{00000000-0015-0000-FFFF-FFFF9300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1" xr16:uid="{00000000-0015-0000-FFFF-FFFF9400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2" xr16:uid="{00000000-0015-0000-FFFF-FFFF9500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3" xr16:uid="{00000000-0015-0000-FFFF-FFFF9600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4" xr16:uid="{00000000-0015-0000-FFFF-FFFF9700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5" xr16:uid="{00000000-0015-0000-FFFF-FFFF9800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6" xr16:uid="{00000000-0015-0000-FFFF-FFFF9900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57" xr16:uid="{00000000-0015-0000-FFFF-FFFF9A00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58" xr16:uid="{00000000-0015-0000-FFFF-FFFF9B00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59" xr16:uid="{00000000-0015-0000-FFFF-FFFF9C00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0" xr16:uid="{00000000-0015-0000-FFFF-FFFF9D000000}" name="r23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1" xr16:uid="{00000000-0015-0000-FFFF-FFFF9E000000}" name="r23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2" xr16:uid="{00000000-0015-0000-FFFF-FFFF9F000000}" name="r23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3" xr16:uid="{00000000-0015-0000-FFFF-FFFFA0000000}" name="r23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4" xr16:uid="{00000000-0015-0000-FFFF-FFFFA1000000}" name="r23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5" xr16:uid="{00000000-0015-0000-FFFF-FFFFA2000000}" name="r23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6" xr16:uid="{00000000-0015-0000-FFFF-FFFFA3000000}" name="r23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7" xr16:uid="{00000000-0015-0000-FFFF-FFFFA400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8" xr16:uid="{00000000-0015-0000-FFFF-FFFFA5000000}" name="r24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9" xr16:uid="{00000000-0015-0000-FFFF-FFFFA6000000}" name="r24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0" xr16:uid="{00000000-0015-0000-FFFF-FFFFA7000000}" name="r24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1" xr16:uid="{00000000-0015-0000-FFFF-FFFFA800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2" xr16:uid="{00000000-0015-0000-FFFF-FFFFA900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3" xr16:uid="{00000000-0015-0000-FFFF-FFFFAA00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4" xr16:uid="{00000000-0015-0000-FFFF-FFFFAB00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5" xr16:uid="{00000000-0015-0000-FFFF-FFFFAC00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6" xr16:uid="{00000000-0015-0000-FFFF-FFFFAD00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77" xr16:uid="{00000000-0015-0000-FFFF-FFFFAE00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178" xr16:uid="{00000000-0015-0000-FFFF-FFFFAF00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79" xr16:uid="{00000000-0015-0000-FFFF-FFFFB000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0" xr16:uid="{00000000-0015-0000-FFFF-FFFFB100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1" xr16:uid="{00000000-0015-0000-FFFF-FFFFB200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2" xr16:uid="{00000000-0015-0000-FFFF-FFFFB300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3" xr16:uid="{00000000-0015-0000-FFFF-FFFFB400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4" xr16:uid="{00000000-0015-0000-FFFF-FFFFB500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5" xr16:uid="{00000000-0015-0000-FFFF-FFFFB600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6" xr16:uid="{00000000-0015-0000-FFFF-FFFFB700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7" xr16:uid="{00000000-0015-0000-FFFF-FFFFB800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8" xr16:uid="{00000000-0015-0000-FFFF-FFFFB900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9" xr16:uid="{00000000-0015-0000-FFFF-FFFFBA00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0" xr16:uid="{00000000-0015-0000-FFFF-FFFFBB00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1" xr16:uid="{00000000-0015-0000-FFFF-FFFFBC00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2" xr16:uid="{00000000-0015-0000-FFFF-FFFFBD00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3" xr16:uid="{00000000-0015-0000-FFFF-FFFFBE00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4" xr16:uid="{00000000-0015-0000-FFFF-FFFFBF00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5" xr16:uid="{00000000-0015-0000-FFFF-FFFFC000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6" xr16:uid="{00000000-0015-0000-FFFF-FFFFC100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7" xr16:uid="{00000000-0015-0000-FFFF-FFFFC200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98" xr16:uid="{00000000-0015-0000-FFFF-FFFFC300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99" xr16:uid="{00000000-0015-0000-FFFF-FFFFC400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0" xr16:uid="{00000000-0015-0000-FFFF-FFFFC500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1" xr16:uid="{00000000-0015-0000-FFFF-FFFFC600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2" xr16:uid="{00000000-0015-0000-FFFF-FFFFC700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3" xr16:uid="{00000000-0015-0000-FFFF-FFFFC800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4" xr16:uid="{00000000-0015-0000-FFFF-FFFFC900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5" xr16:uid="{00000000-0015-0000-FFFF-FFFFCA00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06" xr16:uid="{00000000-0015-0000-FFFF-FFFFCB00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07" xr16:uid="{00000000-0015-0000-FFFF-FFFFCC00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08" xr16:uid="{00000000-0015-0000-FFFF-FFFFCD00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209" xr16:uid="{00000000-0015-0000-FFFF-FFFFCE00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10" xr16:uid="{00000000-0015-0000-FFFF-FFFFCF00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211" xr16:uid="{00000000-0015-0000-FFFF-FFFFD000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2" xr16:uid="{00000000-0015-0000-FFFF-FFFFD100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213" xr16:uid="{00000000-0015-0000-FFFF-FFFFD200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4" xr16:uid="{00000000-0015-0000-FFFF-FFFFD300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5" xr16:uid="{00000000-0015-0000-FFFF-FFFFD400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6" xr16:uid="{00000000-0015-0000-FFFF-FFFFD500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217" xr16:uid="{00000000-0015-0000-FFFF-FFFFD600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8" xr16:uid="{00000000-0015-0000-FFFF-FFFFD700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9" xr16:uid="{00000000-0015-0000-FFFF-FFFFD800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0" xr16:uid="{00000000-0015-0000-FFFF-FFFFD900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21" xr16:uid="{00000000-0015-0000-FFFF-FFFFDA00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22" xr16:uid="{00000000-0015-0000-FFFF-FFFFDB00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23" xr16:uid="{00000000-0015-0000-FFFF-FFFFDC00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4" xr16:uid="{00000000-0015-0000-FFFF-FFFFDD000000}" name="r35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5" xr16:uid="{00000000-0015-0000-FFFF-FFFFDE000000}" name="r35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6" xr16:uid="{00000000-0015-0000-FFFF-FFFFDF000000}" name="r35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7" xr16:uid="{00000000-0015-0000-FFFF-FFFFE0000000}" name="r35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8" xr16:uid="{00000000-0015-0000-FFFF-FFFFE1000000}" name="r35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9" xr16:uid="{00000000-0015-0000-FFFF-FFFFE2000000}" name="r35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0" xr16:uid="{00000000-0015-0000-FFFF-FFFFE3000000}" name="r35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1" xr16:uid="{00000000-0015-0000-FFFF-FFFFE4000000}" name="r35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2" xr16:uid="{00000000-0015-0000-FFFF-FFFFE5000000}" name="r35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3" xr16:uid="{00000000-0015-0000-FFFF-FFFFE600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4" xr16:uid="{00000000-0015-0000-FFFF-FFFFE700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5" xr16:uid="{00000000-0015-0000-FFFF-FFFFE800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6" xr16:uid="{00000000-0015-0000-FFFF-FFFFE900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7" xr16:uid="{00000000-0015-0000-FFFF-FFFFEA00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8" xr16:uid="{00000000-0015-0000-FFFF-FFFFEB00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39" xr16:uid="{00000000-0015-0000-FFFF-FFFFEC00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40" xr16:uid="{00000000-0015-0000-FFFF-FFFFED00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1" xr16:uid="{00000000-0015-0000-FFFF-FFFFEE000000}" name="v10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2" xr16:uid="{00000000-0015-0000-FFFF-FFFFEF000000}" name="v10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3" xr16:uid="{00000000-0015-0000-FFFF-FFFFF000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4" xr16:uid="{00000000-0015-0000-FFFF-FFFFF100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45" xr16:uid="{00000000-0015-0000-FFFF-FFFFF200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6" xr16:uid="{00000000-0015-0000-FFFF-FFFFF300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7" xr16:uid="{00000000-0015-0000-FFFF-FFFFF400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8" xr16:uid="{00000000-0015-0000-FFFF-FFFFF500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9" xr16:uid="{00000000-0015-0000-FFFF-FFFFF600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50" xr16:uid="{00000000-0015-0000-FFFF-FFFFF700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51" xr16:uid="{00000000-0015-0000-FFFF-FFFFF800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2" xr16:uid="{00000000-0015-0000-FFFF-FFFFF900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53" xr16:uid="{00000000-0015-0000-FFFF-FFFFFA00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4" xr16:uid="{00000000-0015-0000-FFFF-FFFFFB00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5" xr16:uid="{00000000-0015-0000-FFFF-FFFFFC00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56" xr16:uid="{00000000-0015-0000-FFFF-FFFFFD00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7" xr16:uid="{00000000-0015-0000-FFFF-FFFFFE00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8" xr16:uid="{00000000-0015-0000-FFFF-FFFFFF00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9" xr16:uid="{00000000-0015-0000-FFFF-FFFF0001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0" xr16:uid="{00000000-0015-0000-FFFF-FFFF0101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1" xr16:uid="{00000000-0015-0000-FFFF-FFFF0201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2" xr16:uid="{00000000-0015-0000-FFFF-FFFF0301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3" xr16:uid="{00000000-0015-0000-FFFF-FFFF0401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64" xr16:uid="{00000000-0015-0000-FFFF-FFFF0501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5" xr16:uid="{00000000-0015-0000-FFFF-FFFF0601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6" xr16:uid="{00000000-0015-0000-FFFF-FFFF0701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67" xr16:uid="{00000000-0015-0000-FFFF-FFFF0801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8" xr16:uid="{00000000-0015-0000-FFFF-FFFF0901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9" xr16:uid="{00000000-0015-0000-FFFF-FFFF0A01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0" xr16:uid="{00000000-0015-0000-FFFF-FFFF0B01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1" xr16:uid="{00000000-0015-0000-FFFF-FFFF0C01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2" xr16:uid="{00000000-0015-0000-FFFF-FFFF0D01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3" xr16:uid="{00000000-0015-0000-FFFF-FFFF0E01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4" xr16:uid="{00000000-0015-0000-FFFF-FFFF0F01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5" xr16:uid="{00000000-0015-0000-FFFF-FFFF1001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6" xr16:uid="{00000000-0015-0000-FFFF-FFFF1101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7" xr16:uid="{00000000-0015-0000-FFFF-FFFF1201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8" xr16:uid="{00000000-0015-0000-FFFF-FFFF1301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9" xr16:uid="{00000000-0015-0000-FFFF-FFFF1401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280" xr16:uid="{00000000-0015-0000-FFFF-FFFF1501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281" xr16:uid="{00000000-0015-0000-FFFF-FFFF1601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282" xr16:uid="{00000000-0015-0000-FFFF-FFFF1701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283" xr16:uid="{00000000-0015-0000-FFFF-FFFF1801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284" xr16:uid="{00000000-0015-0000-FFFF-FFFF1901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285" xr16:uid="{00000000-0015-0000-FFFF-FFFF1A01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86" xr16:uid="{00000000-0015-0000-FFFF-FFFF1B010000}" name="v50" type="6" refreshedVersion="6" background="1" saveData="1">
    <textPr prompt="0" codePage="936" sourceFile="C:\Users\mattc\Documents\v.csv" comma="1">
      <textFields>
        <textField/>
      </textFields>
    </textPr>
  </connection>
  <connection id="287" xr16:uid="{00000000-0015-0000-FFFF-FFFF1C01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8" xr16:uid="{00000000-0015-0000-FFFF-FFFF1D01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89" xr16:uid="{00000000-0015-0000-FFFF-FFFF1E01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0" xr16:uid="{00000000-0015-0000-FFFF-FFFF1F01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1" xr16:uid="{00000000-0015-0000-FFFF-FFFF2001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2" xr16:uid="{00000000-0015-0000-FFFF-FFFF2101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3" xr16:uid="{00000000-0015-0000-FFFF-FFFF2201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294" xr16:uid="{00000000-0015-0000-FFFF-FFFF2301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5" xr16:uid="{00000000-0015-0000-FFFF-FFFF2401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6" xr16:uid="{00000000-0015-0000-FFFF-FFFF2501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97" xr16:uid="{00000000-0015-0000-FFFF-FFFF2601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8" xr16:uid="{00000000-0015-0000-FFFF-FFFF2701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9" xr16:uid="{00000000-0015-0000-FFFF-FFFF2801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00" xr16:uid="{00000000-0015-0000-FFFF-FFFF2901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1" xr16:uid="{00000000-0015-0000-FFFF-FFFF2A01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2" xr16:uid="{00000000-0015-0000-FFFF-FFFF2B01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3" xr16:uid="{00000000-0015-0000-FFFF-FFFF2C01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4" xr16:uid="{00000000-0015-0000-FFFF-FFFF2D01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5" xr16:uid="{00000000-0015-0000-FFFF-FFFF2E01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6" xr16:uid="{00000000-0015-0000-FFFF-FFFF2F01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7" xr16:uid="{00000000-0015-0000-FFFF-FFFF3001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08" xr16:uid="{00000000-0015-0000-FFFF-FFFF3101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9" xr16:uid="{00000000-0015-0000-FFFF-FFFF3201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310" xr16:uid="{00000000-0015-0000-FFFF-FFFF3301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11" xr16:uid="{00000000-0015-0000-FFFF-FFFF3401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12" xr16:uid="{00000000-0015-0000-FFFF-FFFF3501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3" xr16:uid="{00000000-0015-0000-FFFF-FFFF3601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4" xr16:uid="{00000000-0015-0000-FFFF-FFFF3701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15" xr16:uid="{00000000-0015-0000-FFFF-FFFF3801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16" xr16:uid="{00000000-0015-0000-FFFF-FFFF3901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17" xr16:uid="{00000000-0015-0000-FFFF-FFFF3A01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18" xr16:uid="{00000000-0015-0000-FFFF-FFFF3B01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9" xr16:uid="{00000000-0015-0000-FFFF-FFFF3C01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0" xr16:uid="{00000000-0015-0000-FFFF-FFFF3D01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1" xr16:uid="{00000000-0015-0000-FFFF-FFFF3E01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22" xr16:uid="{00000000-0015-0000-FFFF-FFFF3F01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3" xr16:uid="{00000000-0015-0000-FFFF-FFFF4001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24" xr16:uid="{00000000-0015-0000-FFFF-FFFF4101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25" xr16:uid="{00000000-0015-0000-FFFF-FFFF4201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6" xr16:uid="{00000000-0015-0000-FFFF-FFFF4301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7" xr16:uid="{00000000-0015-0000-FFFF-FFFF4401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8" xr16:uid="{00000000-0015-0000-FFFF-FFFF45010000}" name="v8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9" xr16:uid="{00000000-0015-0000-FFFF-FFFF4601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30" xr16:uid="{00000000-0015-0000-FFFF-FFFF47010000}" name="v9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1" xr16:uid="{00000000-0015-0000-FFFF-FFFF48010000}" name="v9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2" xr16:uid="{00000000-0015-0000-FFFF-FFFF49010000}" name="v9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3" xr16:uid="{00000000-0015-0000-FFFF-FFFF4A010000}" name="v9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4" xr16:uid="{00000000-0015-0000-FFFF-FFFF4B010000}" name="v9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5" xr16:uid="{00000000-0015-0000-FFFF-FFFF4C010000}" name="v9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6" xr16:uid="{00000000-0015-0000-FFFF-FFFF4D010000}" name="v9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7" xr16:uid="{00000000-0015-0000-FFFF-FFFF4E010000}" name="v9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8" xr16:uid="{00000000-0015-0000-FFFF-FFFF4F010000}" name="v9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9" xr16:uid="{00000000-0015-0000-FFFF-FFFF50010000}" name="v9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0" xr16:uid="{00000000-0015-0000-FFFF-FFFF5101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<sst xmlns="http://schemas.openxmlformats.org/spreadsheetml/2006/main" count="428" uniqueCount="208">
  <si>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</si>
  <si>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</si>
  <si>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</si>
  <si>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</si>
  <si>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</si>
  <si>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</si>
  <si>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</si>
  <si>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</si>
  <si>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</si>
  <si>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</si>
  <si>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</si>
  <si>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</si>
  <si>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</si>
  <si>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</si>
  <si>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</si>
  <si>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</si>
  <si>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</si>
  <si>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</si>
  <si>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</si>
  <si>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</si>
  <si>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</si>
  <si>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</si>
  <si>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</si>
  <si>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</si>
  <si>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</si>
  <si>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</si>
  <si>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</si>
  <si>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</si>
  <si>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</si>
  <si>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</si>
  <si>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</si>
  <si>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</si>
  <si>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</si>
  <si>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</si>
  <si>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</si>
  <si>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</si>
  <si>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</si>
  <si>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</si>
  <si>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</si>
  <si>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</si>
  <si>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</si>
  <si>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</si>
  <si>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</si>
  <si>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</si>
  <si>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</si>
  <si>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</si>
  <si>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</si>
  <si>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</si>
  <si>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</si>
  <si>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</si>
  <si>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</si>
  <si>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</si>
  <si>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Received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</si>
  <si>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</si>
  <si>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</si>
  <si>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</si>
  <si>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</si>
  <si>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</si>
  <si>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</si>
  <si>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</si>
  <si>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</si>
  <si>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</si>
  <si>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</si>
  <si>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</si>
  <si>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</si>
  <si>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</si>
  <si>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</si>
  <si>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</si>
  <si>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</si>
  <si>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</si>
  <si>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</si>
  <si>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</si>
  <si>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</si>
  <si>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</si>
  <si>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</si>
  <si>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</si>
  <si>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</si>
  <si>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</si>
  <si>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</si>
  <si>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</si>
  <si>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</si>
  <si>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</si>
  <si>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</si>
  <si>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</si>
  <si>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</si>
  <si>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</si>
  <si>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</si>
  <si>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</si>
  <si>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</si>
  <si>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</si>
  <si>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</si>
  <si>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</si>
  <si>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</si>
  <si>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</si>
  <si>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</si>
  <si>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</si>
  <si>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</si>
  <si>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</si>
  <si>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</si>
  <si>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</si>
  <si>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</si>
  <si>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</si>
  <si>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</si>
  <si>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</si>
  <si>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</si>
  <si>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</si>
  <si>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</si>
  <si>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</si>
  <si>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</si>
  <si>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</si>
  <si>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</si>
  <si>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</si>
  <si>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</si>
  <si>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</si>
  <si>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</si>
  <si>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</si>
  <si>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</si>
  <si>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</si>
  <si>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</si>
  <si>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</si>
  <si>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</si>
  <si>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</si>
  <si>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</si>
  <si>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</si>
  <si>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</si>
  <si>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</si>
  <si>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</si>
  <si>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</si>
  <si>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</si>
  <si>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</si>
  <si>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</si>
  <si>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</si>
  <si>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</si>
  <si>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</si>
  <si>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</si>
  <si>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</si>
  <si>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</si>
  <si>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</si>
  <si>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</si>
  <si>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</si>
  <si>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</si>
  <si>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</si>
  <si>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</si>
  <si>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</si>
  <si>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</si>
  <si>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</si>
  <si>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</si>
  <si>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</si>
  <si>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</si>
  <si>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</si>
  <si>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</si>
  <si>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</si>
  <si>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err ewe (mV)</t>
  </si>
  <si>
    <t>err ece (mV)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</si>
  <si>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</si>
  <si>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</si>
  <si>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</si>
  <si>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</si>
  <si>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</si>
  <si>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</si>
  <si>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</si>
  <si>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</si>
  <si>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</si>
  <si>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</si>
  <si>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</si>
  <si>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</si>
  <si>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General Text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</si>
  <si>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</si>
  <si>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</si>
  <si>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</si>
  <si>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</si>
  <si>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</si>
  <si>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</si>
  <si>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</si>
  <si>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</si>
  <si>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</si>
  <si>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</si>
  <si>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</si>
  <si>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</si>
  <si>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</si>
  <si>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</si>
  <si>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</si>
  <si>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</si>
  <si>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</si>
  <si>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</si>
  <si>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</si>
  <si>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</si>
  <si>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</si>
  <si>
    <t>COM31</t>
  </si>
  <si>
    <t>COM32</t>
  </si>
  <si>
    <t>COM33</t>
  </si>
  <si>
    <t>COM34</t>
  </si>
  <si>
    <t>COM35</t>
  </si>
  <si>
    <t>COM36</t>
  </si>
  <si>
    <t>COM37</t>
  </si>
  <si>
    <t>COM38</t>
  </si>
  <si>
    <t>COM39</t>
  </si>
  <si>
    <t>COM40</t>
  </si>
  <si>
    <t>Squidstat models</t>
  </si>
  <si>
    <t>EDGE</t>
  </si>
  <si>
    <t>PICO</t>
  </si>
  <si>
    <t>SOLO</t>
  </si>
  <si>
    <t>PLUS</t>
  </si>
  <si>
    <t>PLUS_2_0</t>
  </si>
  <si>
    <t>SOLO_2_0</t>
  </si>
  <si>
    <t>PRIME_2_0</t>
  </si>
  <si>
    <t>Plus proto</t>
  </si>
  <si>
    <t>Test hardware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</si>
</sst>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0" fontId="12" fillId="4" borderId="0" xfId="1" applyNumberFormat="1" applyFont="1" applyFill="1"/>
    <xf numFmtId="10" fontId="12" fillId="4" borderId="3" xfId="1" applyNumberFormat="1" applyFont="1" applyFill="1" applyBorder="1"/>
    <xf numFmtId="10" fontId="12" fillId="4" borderId="2" xfId="1" applyNumberFormat="1" applyFont="1" applyFill="1" applyBorder="1"/>
    <xf numFmtId="10" fontId="12" fillId="6" borderId="0" xfId="1" applyNumberFormat="1" applyFont="1" applyFill="1"/>
    <xf numFmtId="10" fontId="12" fillId="6" borderId="3" xfId="1" applyNumberFormat="1" applyFont="1" applyFill="1" applyBorder="1"/>
    <xf numFmtId="10" fontId="12" fillId="6" borderId="2" xfId="1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8" fontId="12" fillId="6" borderId="0" xfId="1" applyNumberFormat="1" applyFont="1" applyFill="1"/>
    <xf numFmtId="168" fontId="12" fillId="6" borderId="3" xfId="1" applyNumberFormat="1" applyFont="1" applyFill="1" applyBorder="1"/>
    <xf numFmtId="168" fontId="12" fillId="6" borderId="2" xfId="1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Data!$D$2:$D$12</c:f>
              <c:numCache>
                <c:formatCode>General</c:formatCode>
                <c:ptCount val="11"/>
                <c:pt idx="0">
                  <c:v>-8.9930371999999998</c:v>
                </c:pt>
                <c:pt idx="1">
                  <c:v>-7.9926836000000003</c:v>
                </c:pt>
                <c:pt idx="2">
                  <c:v>-6.9928371</c:v>
                </c:pt>
                <c:pt idx="3">
                  <c:v>-5.9933002999999996</c:v>
                </c:pt>
                <c:pt idx="4">
                  <c:v>-4.9930953999999996</c:v>
                </c:pt>
                <c:pt idx="5">
                  <c:v>-3.9933272999999998</c:v>
                </c:pt>
                <c:pt idx="6">
                  <c:v>-2.9940069999999999</c:v>
                </c:pt>
                <c:pt idx="7">
                  <c:v>-1.9946183</c:v>
                </c:pt>
                <c:pt idx="8">
                  <c:v>-0.99468825999999999</c:v>
                </c:pt>
                <c:pt idx="9">
                  <c:v>-0.45316775999999998</c:v>
                </c:pt>
                <c:pt idx="10">
                  <c:v>4.40881E-3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-29475</c:v>
                </c:pt>
                <c:pt idx="1">
                  <c:v>-26200</c:v>
                </c:pt>
                <c:pt idx="2">
                  <c:v>-22925</c:v>
                </c:pt>
                <c:pt idx="3">
                  <c:v>-19650</c:v>
                </c:pt>
                <c:pt idx="4">
                  <c:v>-16375</c:v>
                </c:pt>
                <c:pt idx="5">
                  <c:v>-13100</c:v>
                </c:pt>
                <c:pt idx="6">
                  <c:v>-9825</c:v>
                </c:pt>
                <c:pt idx="7">
                  <c:v>-6550</c:v>
                </c:pt>
                <c:pt idx="8">
                  <c:v>-3275</c:v>
                </c:pt>
                <c:pt idx="9">
                  <c:v>-1500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Data!$D$12:$D$22</c:f>
              <c:numCache>
                <c:formatCode>General</c:formatCode>
                <c:ptCount val="11"/>
                <c:pt idx="0">
                  <c:v>4.40881E-3</c:v>
                </c:pt>
                <c:pt idx="1">
                  <c:v>0.46183099</c:v>
                </c:pt>
                <c:pt idx="2">
                  <c:v>1.0034130999999999</c:v>
                </c:pt>
                <c:pt idx="3">
                  <c:v>2.0036247999999999</c:v>
                </c:pt>
                <c:pt idx="4">
                  <c:v>3.0032896999999998</c:v>
                </c:pt>
                <c:pt idx="5">
                  <c:v>4.0031353000000003</c:v>
                </c:pt>
                <c:pt idx="6">
                  <c:v>5.0038476999999997</c:v>
                </c:pt>
                <c:pt idx="7">
                  <c:v>6.0033650999999999</c:v>
                </c:pt>
                <c:pt idx="8">
                  <c:v>7.0031800999999998</c:v>
                </c:pt>
                <c:pt idx="9">
                  <c:v>8.0028092999999991</c:v>
                </c:pt>
                <c:pt idx="10">
                  <c:v>9.0025078999999995</c:v>
                </c:pt>
              </c:numCache>
            </c:numRef>
          </c:xVal>
          <c:yVal>
            <c:numRef>
              <c:f>Data!$C$12:$C$22</c:f>
              <c:numCache>
                <c:formatCode>General</c:formatCode>
                <c:ptCount val="11"/>
                <c:pt idx="0">
                  <c:v>0</c:v>
                </c:pt>
                <c:pt idx="1">
                  <c:v>1500</c:v>
                </c:pt>
                <c:pt idx="2">
                  <c:v>3275</c:v>
                </c:pt>
                <c:pt idx="3">
                  <c:v>6550</c:v>
                </c:pt>
                <c:pt idx="4">
                  <c:v>9825</c:v>
                </c:pt>
                <c:pt idx="5">
                  <c:v>13100</c:v>
                </c:pt>
                <c:pt idx="6">
                  <c:v>16375</c:v>
                </c:pt>
                <c:pt idx="7">
                  <c:v>19650</c:v>
                </c:pt>
                <c:pt idx="8">
                  <c:v>22925</c:v>
                </c:pt>
                <c:pt idx="9">
                  <c:v>26200</c:v>
                </c:pt>
                <c:pt idx="10">
                  <c:v>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-8.9930371999999998</c:v>
                </c:pt>
                <c:pt idx="1">
                  <c:v>-7.9926836000000003</c:v>
                </c:pt>
                <c:pt idx="2">
                  <c:v>-6.9928371</c:v>
                </c:pt>
                <c:pt idx="3">
                  <c:v>-5.9933002999999996</c:v>
                </c:pt>
                <c:pt idx="4">
                  <c:v>-4.9930953999999996</c:v>
                </c:pt>
                <c:pt idx="5">
                  <c:v>-3.9933272999999998</c:v>
                </c:pt>
                <c:pt idx="6">
                  <c:v>-2.9940069999999999</c:v>
                </c:pt>
                <c:pt idx="7">
                  <c:v>-1.9946183</c:v>
                </c:pt>
                <c:pt idx="8">
                  <c:v>-0.99468825999999999</c:v>
                </c:pt>
                <c:pt idx="9">
                  <c:v>-0.45316775999999998</c:v>
                </c:pt>
                <c:pt idx="10">
                  <c:v>4.40881E-3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4.40881E-3</c:v>
                </c:pt>
                <c:pt idx="1">
                  <c:v>0.46183099</c:v>
                </c:pt>
                <c:pt idx="2">
                  <c:v>1.0034130999999999</c:v>
                </c:pt>
                <c:pt idx="3">
                  <c:v>2.0036247999999999</c:v>
                </c:pt>
                <c:pt idx="4">
                  <c:v>3.0032896999999998</c:v>
                </c:pt>
                <c:pt idx="5">
                  <c:v>4.0031353000000003</c:v>
                </c:pt>
                <c:pt idx="6">
                  <c:v>5.0038476999999997</c:v>
                </c:pt>
                <c:pt idx="7">
                  <c:v>6.0033650999999999</c:v>
                </c:pt>
                <c:pt idx="8">
                  <c:v>7.0031800999999998</c:v>
                </c:pt>
                <c:pt idx="9">
                  <c:v>8.0028092999999991</c:v>
                </c:pt>
                <c:pt idx="10">
                  <c:v>9.0025078999999995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Data!$G$2:$G$12</c:f>
              <c:numCache>
                <c:formatCode>General</c:formatCode>
                <c:ptCount val="11"/>
                <c:pt idx="0">
                  <c:v>-29531</c:v>
                </c:pt>
                <c:pt idx="1">
                  <c:v>-26247</c:v>
                </c:pt>
                <c:pt idx="2">
                  <c:v>-22964</c:v>
                </c:pt>
                <c:pt idx="3">
                  <c:v>-19682</c:v>
                </c:pt>
                <c:pt idx="4">
                  <c:v>-16399</c:v>
                </c:pt>
                <c:pt idx="5">
                  <c:v>-13116</c:v>
                </c:pt>
                <c:pt idx="6">
                  <c:v>-9836</c:v>
                </c:pt>
                <c:pt idx="7">
                  <c:v>-6555</c:v>
                </c:pt>
                <c:pt idx="8">
                  <c:v>-3272</c:v>
                </c:pt>
                <c:pt idx="9">
                  <c:v>-1494</c:v>
                </c:pt>
                <c:pt idx="10">
                  <c:v>6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-8.9930371999999998</c:v>
                </c:pt>
                <c:pt idx="1">
                  <c:v>-7.9926836000000003</c:v>
                </c:pt>
                <c:pt idx="2">
                  <c:v>-6.9928371</c:v>
                </c:pt>
                <c:pt idx="3">
                  <c:v>-5.9933002999999996</c:v>
                </c:pt>
                <c:pt idx="4">
                  <c:v>-4.9930953999999996</c:v>
                </c:pt>
                <c:pt idx="5">
                  <c:v>-3.9933272999999998</c:v>
                </c:pt>
                <c:pt idx="6">
                  <c:v>-2.9940069999999999</c:v>
                </c:pt>
                <c:pt idx="7">
                  <c:v>-1.9946183</c:v>
                </c:pt>
                <c:pt idx="8">
                  <c:v>-0.99468825999999999</c:v>
                </c:pt>
                <c:pt idx="9">
                  <c:v>-0.45316775999999998</c:v>
                </c:pt>
                <c:pt idx="10">
                  <c:v>4.40881E-3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Data!$G$12:$G$22</c:f>
              <c:numCache>
                <c:formatCode>General</c:formatCode>
                <c:ptCount val="11"/>
                <c:pt idx="0">
                  <c:v>6</c:v>
                </c:pt>
                <c:pt idx="1">
                  <c:v>1507</c:v>
                </c:pt>
                <c:pt idx="2">
                  <c:v>3285</c:v>
                </c:pt>
                <c:pt idx="3">
                  <c:v>6569</c:v>
                </c:pt>
                <c:pt idx="4">
                  <c:v>9851</c:v>
                </c:pt>
                <c:pt idx="5">
                  <c:v>13133</c:v>
                </c:pt>
                <c:pt idx="6">
                  <c:v>16419</c:v>
                </c:pt>
                <c:pt idx="7">
                  <c:v>19700</c:v>
                </c:pt>
                <c:pt idx="8">
                  <c:v>22982</c:v>
                </c:pt>
                <c:pt idx="9">
                  <c:v>26264</c:v>
                </c:pt>
                <c:pt idx="10">
                  <c:v>29546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4.40881E-3</c:v>
                </c:pt>
                <c:pt idx="1">
                  <c:v>0.46183099</c:v>
                </c:pt>
                <c:pt idx="2">
                  <c:v>1.0034130999999999</c:v>
                </c:pt>
                <c:pt idx="3">
                  <c:v>2.0036247999999999</c:v>
                </c:pt>
                <c:pt idx="4">
                  <c:v>3.0032896999999998</c:v>
                </c:pt>
                <c:pt idx="5">
                  <c:v>4.0031353000000003</c:v>
                </c:pt>
                <c:pt idx="6">
                  <c:v>5.0038476999999997</c:v>
                </c:pt>
                <c:pt idx="7">
                  <c:v>6.0033650999999999</c:v>
                </c:pt>
                <c:pt idx="8">
                  <c:v>7.0031800999999998</c:v>
                </c:pt>
                <c:pt idx="9">
                  <c:v>8.0028092999999991</c:v>
                </c:pt>
                <c:pt idx="10">
                  <c:v>9.0025078999999995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Data!$K$2:$K$12</c:f>
              <c:numCache>
                <c:formatCode>General</c:formatCode>
                <c:ptCount val="11"/>
                <c:pt idx="0">
                  <c:v>-29529</c:v>
                </c:pt>
                <c:pt idx="1">
                  <c:v>-26245</c:v>
                </c:pt>
                <c:pt idx="2">
                  <c:v>-22962</c:v>
                </c:pt>
                <c:pt idx="3">
                  <c:v>-19680</c:v>
                </c:pt>
                <c:pt idx="4">
                  <c:v>-16396</c:v>
                </c:pt>
                <c:pt idx="5">
                  <c:v>-13114</c:v>
                </c:pt>
                <c:pt idx="6">
                  <c:v>-9833</c:v>
                </c:pt>
                <c:pt idx="7">
                  <c:v>-6552</c:v>
                </c:pt>
                <c:pt idx="8">
                  <c:v>-3269</c:v>
                </c:pt>
                <c:pt idx="9">
                  <c:v>-1491</c:v>
                </c:pt>
                <c:pt idx="10">
                  <c:v>9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-8.9930371999999998</c:v>
                </c:pt>
                <c:pt idx="1">
                  <c:v>-7.9926836000000003</c:v>
                </c:pt>
                <c:pt idx="2">
                  <c:v>-6.9928371</c:v>
                </c:pt>
                <c:pt idx="3">
                  <c:v>-5.9933002999999996</c:v>
                </c:pt>
                <c:pt idx="4">
                  <c:v>-4.9930953999999996</c:v>
                </c:pt>
                <c:pt idx="5">
                  <c:v>-3.9933272999999998</c:v>
                </c:pt>
                <c:pt idx="6">
                  <c:v>-2.9940069999999999</c:v>
                </c:pt>
                <c:pt idx="7">
                  <c:v>-1.9946183</c:v>
                </c:pt>
                <c:pt idx="8">
                  <c:v>-0.99468825999999999</c:v>
                </c:pt>
                <c:pt idx="9">
                  <c:v>-0.45316775999999998</c:v>
                </c:pt>
                <c:pt idx="10">
                  <c:v>4.40881E-3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Data!$K$12:$K$22</c:f>
              <c:numCache>
                <c:formatCode>General</c:formatCode>
                <c:ptCount val="11"/>
                <c:pt idx="0">
                  <c:v>9</c:v>
                </c:pt>
                <c:pt idx="1">
                  <c:v>1510</c:v>
                </c:pt>
                <c:pt idx="2">
                  <c:v>3288</c:v>
                </c:pt>
                <c:pt idx="3">
                  <c:v>6572</c:v>
                </c:pt>
                <c:pt idx="4">
                  <c:v>9854</c:v>
                </c:pt>
                <c:pt idx="5">
                  <c:v>13137</c:v>
                </c:pt>
                <c:pt idx="6">
                  <c:v>16422</c:v>
                </c:pt>
                <c:pt idx="7">
                  <c:v>19703</c:v>
                </c:pt>
                <c:pt idx="8">
                  <c:v>22986</c:v>
                </c:pt>
                <c:pt idx="9">
                  <c:v>26268</c:v>
                </c:pt>
                <c:pt idx="10">
                  <c:v>29550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4.40881E-3</c:v>
                </c:pt>
                <c:pt idx="1">
                  <c:v>0.46183099</c:v>
                </c:pt>
                <c:pt idx="2">
                  <c:v>1.0034130999999999</c:v>
                </c:pt>
                <c:pt idx="3">
                  <c:v>2.0036247999999999</c:v>
                </c:pt>
                <c:pt idx="4">
                  <c:v>3.0032896999999998</c:v>
                </c:pt>
                <c:pt idx="5">
                  <c:v>4.0031353000000003</c:v>
                </c:pt>
                <c:pt idx="6">
                  <c:v>5.0038476999999997</c:v>
                </c:pt>
                <c:pt idx="7">
                  <c:v>6.0033650999999999</c:v>
                </c:pt>
                <c:pt idx="8">
                  <c:v>7.0031800999999998</c:v>
                </c:pt>
                <c:pt idx="9">
                  <c:v>8.0028092999999991</c:v>
                </c:pt>
                <c:pt idx="10">
                  <c:v>9.0025078999999995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267301638841537"/>
                  <c:y val="-0.1604989352746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Data!$O$2:$O$12</c:f>
              <c:numCache>
                <c:formatCode>General</c:formatCode>
                <c:ptCount val="11"/>
                <c:pt idx="0" formatCode="0.00E+00">
                  <c:v>-99.496392999999998</c:v>
                </c:pt>
                <c:pt idx="1">
                  <c:v>-89.517392999999998</c:v>
                </c:pt>
                <c:pt idx="2">
                  <c:v>-79.530425000000008</c:v>
                </c:pt>
                <c:pt idx="3">
                  <c:v>-69.549019000000001</c:v>
                </c:pt>
                <c:pt idx="4">
                  <c:v>-59.552619</c:v>
                </c:pt>
                <c:pt idx="5">
                  <c:v>-49.562086999999998</c:v>
                </c:pt>
                <c:pt idx="6">
                  <c:v>-39.589331999999999</c:v>
                </c:pt>
                <c:pt idx="7">
                  <c:v>-29.598962999999998</c:v>
                </c:pt>
                <c:pt idx="8">
                  <c:v>-19.603636999999999</c:v>
                </c:pt>
                <c:pt idx="9">
                  <c:v>-9.6081216999999999</c:v>
                </c:pt>
                <c:pt idx="10">
                  <c:v>0.39627620000000002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9195137218726314E-2"/>
                  <c:y val="-0.243023665002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Data!$O$12:$O$22</c:f>
              <c:numCache>
                <c:formatCode>General</c:formatCode>
                <c:ptCount val="11"/>
                <c:pt idx="0">
                  <c:v>0.39627620000000002</c:v>
                </c:pt>
                <c:pt idx="1">
                  <c:v>10.389802</c:v>
                </c:pt>
                <c:pt idx="2">
                  <c:v>20.373004000000002</c:v>
                </c:pt>
                <c:pt idx="3">
                  <c:v>30.365667999999999</c:v>
                </c:pt>
                <c:pt idx="4">
                  <c:v>40.348697000000001</c:v>
                </c:pt>
                <c:pt idx="5">
                  <c:v>50.334572000000001</c:v>
                </c:pt>
                <c:pt idx="6">
                  <c:v>60.306621999999997</c:v>
                </c:pt>
                <c:pt idx="7">
                  <c:v>70.305945999999992</c:v>
                </c:pt>
                <c:pt idx="8">
                  <c:v>80.288223000000002</c:v>
                </c:pt>
                <c:pt idx="9">
                  <c:v>90.279026000000002</c:v>
                </c:pt>
                <c:pt idx="10">
                  <c:v>100.22791000000001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188515138536553"/>
                  <c:y val="-1.33235698301182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Data!$P$2:$P$12</c:f>
              <c:numCache>
                <c:formatCode>General</c:formatCode>
                <c:ptCount val="11"/>
                <c:pt idx="0">
                  <c:v>-27331</c:v>
                </c:pt>
                <c:pt idx="1">
                  <c:v>-24628</c:v>
                </c:pt>
                <c:pt idx="2">
                  <c:v>-21888</c:v>
                </c:pt>
                <c:pt idx="3">
                  <c:v>-19144</c:v>
                </c:pt>
                <c:pt idx="4">
                  <c:v>-16395</c:v>
                </c:pt>
                <c:pt idx="5">
                  <c:v>-13647</c:v>
                </c:pt>
                <c:pt idx="6">
                  <c:v>-10904</c:v>
                </c:pt>
                <c:pt idx="7">
                  <c:v>-8156</c:v>
                </c:pt>
                <c:pt idx="8">
                  <c:v>-5406</c:v>
                </c:pt>
                <c:pt idx="9">
                  <c:v>-2657</c:v>
                </c:pt>
                <c:pt idx="10">
                  <c:v>92</c:v>
                </c:pt>
              </c:numCache>
            </c:numRef>
          </c:xVal>
          <c:yVal>
            <c:numRef>
              <c:f>Data!$O$2:$O$12</c:f>
              <c:numCache>
                <c:formatCode>General</c:formatCode>
                <c:ptCount val="11"/>
                <c:pt idx="0" formatCode="0.00E+00">
                  <c:v>-99.496392999999998</c:v>
                </c:pt>
                <c:pt idx="1">
                  <c:v>-89.517392999999998</c:v>
                </c:pt>
                <c:pt idx="2">
                  <c:v>-79.530425000000008</c:v>
                </c:pt>
                <c:pt idx="3">
                  <c:v>-69.549019000000001</c:v>
                </c:pt>
                <c:pt idx="4">
                  <c:v>-59.552619</c:v>
                </c:pt>
                <c:pt idx="5">
                  <c:v>-49.562086999999998</c:v>
                </c:pt>
                <c:pt idx="6">
                  <c:v>-39.589331999999999</c:v>
                </c:pt>
                <c:pt idx="7">
                  <c:v>-29.598962999999998</c:v>
                </c:pt>
                <c:pt idx="8">
                  <c:v>-19.603636999999999</c:v>
                </c:pt>
                <c:pt idx="9">
                  <c:v>-9.6081216999999999</c:v>
                </c:pt>
                <c:pt idx="10">
                  <c:v>0.39627620000000002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4209139129576"/>
                  <c:y val="-0.2700147711295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Data!$P$12:$P$22</c:f>
              <c:numCache>
                <c:formatCode>General</c:formatCode>
                <c:ptCount val="11"/>
                <c:pt idx="0">
                  <c:v>92</c:v>
                </c:pt>
                <c:pt idx="1">
                  <c:v>2839</c:v>
                </c:pt>
                <c:pt idx="2">
                  <c:v>5581</c:v>
                </c:pt>
                <c:pt idx="3">
                  <c:v>8324</c:v>
                </c:pt>
                <c:pt idx="4">
                  <c:v>11065</c:v>
                </c:pt>
                <c:pt idx="5">
                  <c:v>13807</c:v>
                </c:pt>
                <c:pt idx="6">
                  <c:v>16546</c:v>
                </c:pt>
                <c:pt idx="7">
                  <c:v>19293</c:v>
                </c:pt>
                <c:pt idx="8">
                  <c:v>22034</c:v>
                </c:pt>
                <c:pt idx="9">
                  <c:v>24771</c:v>
                </c:pt>
                <c:pt idx="10">
                  <c:v>27463</c:v>
                </c:pt>
              </c:numCache>
            </c:numRef>
          </c:xVal>
          <c:yVal>
            <c:numRef>
              <c:f>Data!$O$12:$O$22</c:f>
              <c:numCache>
                <c:formatCode>General</c:formatCode>
                <c:ptCount val="11"/>
                <c:pt idx="0">
                  <c:v>0.39627620000000002</c:v>
                </c:pt>
                <c:pt idx="1">
                  <c:v>10.389802</c:v>
                </c:pt>
                <c:pt idx="2">
                  <c:v>20.373004000000002</c:v>
                </c:pt>
                <c:pt idx="3">
                  <c:v>30.365667999999999</c:v>
                </c:pt>
                <c:pt idx="4">
                  <c:v>40.348697000000001</c:v>
                </c:pt>
                <c:pt idx="5">
                  <c:v>50.334572000000001</c:v>
                </c:pt>
                <c:pt idx="6">
                  <c:v>60.306621999999997</c:v>
                </c:pt>
                <c:pt idx="7">
                  <c:v>70.305945999999992</c:v>
                </c:pt>
                <c:pt idx="8">
                  <c:v>80.288223000000002</c:v>
                </c:pt>
                <c:pt idx="9">
                  <c:v>90.279026000000002</c:v>
                </c:pt>
                <c:pt idx="10">
                  <c:v>100.22791000000001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Data!$T$2:$T$12</c:f>
              <c:numCache>
                <c:formatCode>General</c:formatCode>
                <c:ptCount val="11"/>
                <c:pt idx="0" formatCode="0.00E+00">
                  <c:v>-5.0619170000000002</c:v>
                </c:pt>
                <c:pt idx="1">
                  <c:v>-4.5545456</c:v>
                </c:pt>
                <c:pt idx="2">
                  <c:v>-4.0466940999999998</c:v>
                </c:pt>
                <c:pt idx="3">
                  <c:v>-3.5390277000000001</c:v>
                </c:pt>
                <c:pt idx="4">
                  <c:v>-3.0307697999999998</c:v>
                </c:pt>
                <c:pt idx="5">
                  <c:v>-2.522745</c:v>
                </c:pt>
                <c:pt idx="6">
                  <c:v>-2.0156364</c:v>
                </c:pt>
                <c:pt idx="7">
                  <c:v>-1.5076872000000001</c:v>
                </c:pt>
                <c:pt idx="8">
                  <c:v>-0.99959329999999991</c:v>
                </c:pt>
                <c:pt idx="9">
                  <c:v>-0.49144870000000002</c:v>
                </c:pt>
                <c:pt idx="10">
                  <c:v>1.7178500000000003E-2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Data!$T$12:$T$22</c:f>
              <c:numCache>
                <c:formatCode>General</c:formatCode>
                <c:ptCount val="11"/>
                <c:pt idx="0">
                  <c:v>1.7178500000000003E-2</c:v>
                </c:pt>
                <c:pt idx="1">
                  <c:v>0.52529049999999999</c:v>
                </c:pt>
                <c:pt idx="2">
                  <c:v>1.0328364999999999</c:v>
                </c:pt>
                <c:pt idx="3">
                  <c:v>1.5408423</c:v>
                </c:pt>
                <c:pt idx="4">
                  <c:v>2.0484523000000001</c:v>
                </c:pt>
                <c:pt idx="5">
                  <c:v>2.5561867999999999</c:v>
                </c:pt>
                <c:pt idx="6">
                  <c:v>3.0631624</c:v>
                </c:pt>
                <c:pt idx="7">
                  <c:v>3.5716076999999999</c:v>
                </c:pt>
                <c:pt idx="8">
                  <c:v>4.0792837999999998</c:v>
                </c:pt>
                <c:pt idx="9">
                  <c:v>4.5873638000000003</c:v>
                </c:pt>
                <c:pt idx="10">
                  <c:v>5.0945429000000004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Data!$U$2:$U$12</c:f>
              <c:numCache>
                <c:formatCode>General</c:formatCode>
                <c:ptCount val="11"/>
                <c:pt idx="0">
                  <c:v>-27566</c:v>
                </c:pt>
                <c:pt idx="1">
                  <c:v>-24849</c:v>
                </c:pt>
                <c:pt idx="2">
                  <c:v>-22087</c:v>
                </c:pt>
                <c:pt idx="3">
                  <c:v>-19320</c:v>
                </c:pt>
                <c:pt idx="4">
                  <c:v>-16548</c:v>
                </c:pt>
                <c:pt idx="5">
                  <c:v>-13777</c:v>
                </c:pt>
                <c:pt idx="6">
                  <c:v>-11011</c:v>
                </c:pt>
                <c:pt idx="7">
                  <c:v>-8239</c:v>
                </c:pt>
                <c:pt idx="8">
                  <c:v>-5467</c:v>
                </c:pt>
                <c:pt idx="9">
                  <c:v>-2695</c:v>
                </c:pt>
                <c:pt idx="10">
                  <c:v>78</c:v>
                </c:pt>
              </c:numCache>
            </c:numRef>
          </c:xVal>
          <c:yVal>
            <c:numRef>
              <c:f>Data!$T$2:$T$12</c:f>
              <c:numCache>
                <c:formatCode>General</c:formatCode>
                <c:ptCount val="11"/>
                <c:pt idx="0" formatCode="0.00E+00">
                  <c:v>-5.0619170000000002</c:v>
                </c:pt>
                <c:pt idx="1">
                  <c:v>-4.5545456</c:v>
                </c:pt>
                <c:pt idx="2">
                  <c:v>-4.0466940999999998</c:v>
                </c:pt>
                <c:pt idx="3">
                  <c:v>-3.5390277000000001</c:v>
                </c:pt>
                <c:pt idx="4">
                  <c:v>-3.0307697999999998</c:v>
                </c:pt>
                <c:pt idx="5">
                  <c:v>-2.522745</c:v>
                </c:pt>
                <c:pt idx="6">
                  <c:v>-2.0156364</c:v>
                </c:pt>
                <c:pt idx="7">
                  <c:v>-1.5076872000000001</c:v>
                </c:pt>
                <c:pt idx="8">
                  <c:v>-0.99959329999999991</c:v>
                </c:pt>
                <c:pt idx="9">
                  <c:v>-0.49144870000000002</c:v>
                </c:pt>
                <c:pt idx="10">
                  <c:v>1.7178500000000003E-2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Data!$U$12:$U$22</c:f>
              <c:numCache>
                <c:formatCode>General</c:formatCode>
                <c:ptCount val="11"/>
                <c:pt idx="0">
                  <c:v>78</c:v>
                </c:pt>
                <c:pt idx="1">
                  <c:v>2847</c:v>
                </c:pt>
                <c:pt idx="2">
                  <c:v>5611</c:v>
                </c:pt>
                <c:pt idx="3">
                  <c:v>8377</c:v>
                </c:pt>
                <c:pt idx="4">
                  <c:v>11141</c:v>
                </c:pt>
                <c:pt idx="5">
                  <c:v>13906</c:v>
                </c:pt>
                <c:pt idx="6">
                  <c:v>16668</c:v>
                </c:pt>
                <c:pt idx="7">
                  <c:v>19437</c:v>
                </c:pt>
                <c:pt idx="8">
                  <c:v>22201</c:v>
                </c:pt>
                <c:pt idx="9">
                  <c:v>24960</c:v>
                </c:pt>
                <c:pt idx="10">
                  <c:v>27666</c:v>
                </c:pt>
              </c:numCache>
            </c:numRef>
          </c:xVal>
          <c:yVal>
            <c:numRef>
              <c:f>Data!$T$12:$T$22</c:f>
              <c:numCache>
                <c:formatCode>General</c:formatCode>
                <c:ptCount val="11"/>
                <c:pt idx="0">
                  <c:v>1.7178500000000003E-2</c:v>
                </c:pt>
                <c:pt idx="1">
                  <c:v>0.52529049999999999</c:v>
                </c:pt>
                <c:pt idx="2">
                  <c:v>1.0328364999999999</c:v>
                </c:pt>
                <c:pt idx="3">
                  <c:v>1.5408423</c:v>
                </c:pt>
                <c:pt idx="4">
                  <c:v>2.0484523000000001</c:v>
                </c:pt>
                <c:pt idx="5">
                  <c:v>2.5561867999999999</c:v>
                </c:pt>
                <c:pt idx="6">
                  <c:v>3.0631624</c:v>
                </c:pt>
                <c:pt idx="7">
                  <c:v>3.5716076999999999</c:v>
                </c:pt>
                <c:pt idx="8">
                  <c:v>4.0792837999999998</c:v>
                </c:pt>
                <c:pt idx="9">
                  <c:v>4.5873638000000003</c:v>
                </c:pt>
                <c:pt idx="10">
                  <c:v>5.0945429000000004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-27591</c:v>
                </c:pt>
                <c:pt idx="1">
                  <c:v>-24862</c:v>
                </c:pt>
                <c:pt idx="2">
                  <c:v>-22098</c:v>
                </c:pt>
                <c:pt idx="3">
                  <c:v>-19329</c:v>
                </c:pt>
                <c:pt idx="4">
                  <c:v>-16556</c:v>
                </c:pt>
                <c:pt idx="5">
                  <c:v>-13783</c:v>
                </c:pt>
                <c:pt idx="6">
                  <c:v>-11015</c:v>
                </c:pt>
                <c:pt idx="7">
                  <c:v>-8243</c:v>
                </c:pt>
                <c:pt idx="8">
                  <c:v>-5470</c:v>
                </c:pt>
                <c:pt idx="9">
                  <c:v>-2696</c:v>
                </c:pt>
                <c:pt idx="10">
                  <c:v>78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78</c:v>
                </c:pt>
                <c:pt idx="1">
                  <c:v>2850</c:v>
                </c:pt>
                <c:pt idx="2">
                  <c:v>5614</c:v>
                </c:pt>
                <c:pt idx="3">
                  <c:v>8382</c:v>
                </c:pt>
                <c:pt idx="4">
                  <c:v>11147</c:v>
                </c:pt>
                <c:pt idx="5">
                  <c:v>13913</c:v>
                </c:pt>
                <c:pt idx="6">
                  <c:v>16676</c:v>
                </c:pt>
                <c:pt idx="7">
                  <c:v>19447</c:v>
                </c:pt>
                <c:pt idx="8">
                  <c:v>22212</c:v>
                </c:pt>
                <c:pt idx="9">
                  <c:v>24973</c:v>
                </c:pt>
                <c:pt idx="10">
                  <c:v>27688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</a:t>
                </a:r>
                <a:r>
                  <a:rPr lang="en-US" b="1"/>
                  <a:t>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-27591</c:v>
                </c:pt>
                <c:pt idx="1">
                  <c:v>-24862</c:v>
                </c:pt>
                <c:pt idx="2">
                  <c:v>-22098</c:v>
                </c:pt>
                <c:pt idx="3">
                  <c:v>-19329</c:v>
                </c:pt>
                <c:pt idx="4">
                  <c:v>-16556</c:v>
                </c:pt>
                <c:pt idx="5">
                  <c:v>-13783</c:v>
                </c:pt>
                <c:pt idx="6">
                  <c:v>-11015</c:v>
                </c:pt>
                <c:pt idx="7">
                  <c:v>-8243</c:v>
                </c:pt>
                <c:pt idx="8">
                  <c:v>-5470</c:v>
                </c:pt>
                <c:pt idx="9">
                  <c:v>-2696</c:v>
                </c:pt>
                <c:pt idx="10">
                  <c:v>78</c:v>
                </c:pt>
              </c:numCache>
            </c:numRef>
          </c:xVal>
          <c:yVal>
            <c:numRef>
              <c:f>Data!$Y$2:$Y$12</c:f>
              <c:numCache>
                <c:formatCode>General</c:formatCode>
                <c:ptCount val="11"/>
                <c:pt idx="0" formatCode="0.00E+00">
                  <c:v>-0.2452</c:v>
                </c:pt>
                <c:pt idx="1">
                  <c:v>-0.22070000000000001</c:v>
                </c:pt>
                <c:pt idx="2">
                  <c:v>-0.19600000000000001</c:v>
                </c:pt>
                <c:pt idx="3">
                  <c:v>-0.17142000000000002</c:v>
                </c:pt>
                <c:pt idx="4">
                  <c:v>-0.14684999999999998</c:v>
                </c:pt>
                <c:pt idx="5">
                  <c:v>-0.12224</c:v>
                </c:pt>
                <c:pt idx="6">
                  <c:v>-9.7670000000000007E-2</c:v>
                </c:pt>
                <c:pt idx="7">
                  <c:v>-7.3050000000000004E-2</c:v>
                </c:pt>
                <c:pt idx="8">
                  <c:v>-4.8430000000000001E-2</c:v>
                </c:pt>
                <c:pt idx="9">
                  <c:v>-2.3810000000000001E-2</c:v>
                </c:pt>
                <c:pt idx="10">
                  <c:v>8.3870000000000006E-4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78</c:v>
                </c:pt>
                <c:pt idx="1">
                  <c:v>2850</c:v>
                </c:pt>
                <c:pt idx="2">
                  <c:v>5614</c:v>
                </c:pt>
                <c:pt idx="3">
                  <c:v>8382</c:v>
                </c:pt>
                <c:pt idx="4">
                  <c:v>11147</c:v>
                </c:pt>
                <c:pt idx="5">
                  <c:v>13913</c:v>
                </c:pt>
                <c:pt idx="6">
                  <c:v>16676</c:v>
                </c:pt>
                <c:pt idx="7">
                  <c:v>19447</c:v>
                </c:pt>
                <c:pt idx="8">
                  <c:v>22212</c:v>
                </c:pt>
                <c:pt idx="9">
                  <c:v>24973</c:v>
                </c:pt>
                <c:pt idx="10">
                  <c:v>27688</c:v>
                </c:pt>
              </c:numCache>
            </c:numRef>
          </c:xVal>
          <c:yVal>
            <c:numRef>
              <c:f>Data!$Y$12:$Y$22</c:f>
              <c:numCache>
                <c:formatCode>General</c:formatCode>
                <c:ptCount val="11"/>
                <c:pt idx="0">
                  <c:v>8.3870000000000006E-4</c:v>
                </c:pt>
                <c:pt idx="1">
                  <c:v>2.5449999999999997E-2</c:v>
                </c:pt>
                <c:pt idx="2">
                  <c:v>5.0040000000000001E-2</c:v>
                </c:pt>
                <c:pt idx="3">
                  <c:v>7.4649999999999994E-2</c:v>
                </c:pt>
                <c:pt idx="4">
                  <c:v>9.9240000000000009E-2</c:v>
                </c:pt>
                <c:pt idx="5">
                  <c:v>0.12385</c:v>
                </c:pt>
                <c:pt idx="6">
                  <c:v>0.14842</c:v>
                </c:pt>
                <c:pt idx="7">
                  <c:v>0.17305999999999999</c:v>
                </c:pt>
                <c:pt idx="8">
                  <c:v>0.19765000000000002</c:v>
                </c:pt>
                <c:pt idx="9">
                  <c:v>0.22209999999999999</c:v>
                </c:pt>
                <c:pt idx="10">
                  <c:v>0.24669999999999997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-27602</c:v>
                </c:pt>
                <c:pt idx="1">
                  <c:v>-24878</c:v>
                </c:pt>
                <c:pt idx="2">
                  <c:v>-22114</c:v>
                </c:pt>
                <c:pt idx="3">
                  <c:v>-19345</c:v>
                </c:pt>
                <c:pt idx="4">
                  <c:v>-16572</c:v>
                </c:pt>
                <c:pt idx="5">
                  <c:v>-13800</c:v>
                </c:pt>
                <c:pt idx="6">
                  <c:v>-11031</c:v>
                </c:pt>
                <c:pt idx="7">
                  <c:v>-8259</c:v>
                </c:pt>
                <c:pt idx="8">
                  <c:v>-5486</c:v>
                </c:pt>
                <c:pt idx="9">
                  <c:v>-2712</c:v>
                </c:pt>
                <c:pt idx="10">
                  <c:v>62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62</c:v>
                </c:pt>
                <c:pt idx="1">
                  <c:v>2834</c:v>
                </c:pt>
                <c:pt idx="2">
                  <c:v>5598</c:v>
                </c:pt>
                <c:pt idx="3">
                  <c:v>8365</c:v>
                </c:pt>
                <c:pt idx="4">
                  <c:v>11131</c:v>
                </c:pt>
                <c:pt idx="5">
                  <c:v>13897</c:v>
                </c:pt>
                <c:pt idx="6">
                  <c:v>16660</c:v>
                </c:pt>
                <c:pt idx="7">
                  <c:v>19431</c:v>
                </c:pt>
                <c:pt idx="8">
                  <c:v>22196</c:v>
                </c:pt>
                <c:pt idx="9">
                  <c:v>24957</c:v>
                </c:pt>
                <c:pt idx="10">
                  <c:v>27670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-27602</c:v>
                </c:pt>
                <c:pt idx="1">
                  <c:v>-24878</c:v>
                </c:pt>
                <c:pt idx="2">
                  <c:v>-22114</c:v>
                </c:pt>
                <c:pt idx="3">
                  <c:v>-19345</c:v>
                </c:pt>
                <c:pt idx="4">
                  <c:v>-16572</c:v>
                </c:pt>
                <c:pt idx="5">
                  <c:v>-13800</c:v>
                </c:pt>
                <c:pt idx="6">
                  <c:v>-11031</c:v>
                </c:pt>
                <c:pt idx="7">
                  <c:v>-8259</c:v>
                </c:pt>
                <c:pt idx="8">
                  <c:v>-5486</c:v>
                </c:pt>
                <c:pt idx="9">
                  <c:v>-2712</c:v>
                </c:pt>
                <c:pt idx="10">
                  <c:v>62</c:v>
                </c:pt>
              </c:numCache>
            </c:numRef>
          </c:xVal>
          <c:yVal>
            <c:numRef>
              <c:f>Data!$AD$2:$AD$12</c:f>
              <c:numCache>
                <c:formatCode>General</c:formatCode>
                <c:ptCount val="11"/>
                <c:pt idx="0" formatCode="0.00E+00">
                  <c:v>-1.2678E-2</c:v>
                </c:pt>
                <c:pt idx="1">
                  <c:v>-1.1408E-2</c:v>
                </c:pt>
                <c:pt idx="2">
                  <c:v>-1.0135999999999999E-2</c:v>
                </c:pt>
                <c:pt idx="3">
                  <c:v>-8.8659999999999989E-3</c:v>
                </c:pt>
                <c:pt idx="4">
                  <c:v>-7.5929999999999999E-3</c:v>
                </c:pt>
                <c:pt idx="5">
                  <c:v>-6.3219999999999995E-3</c:v>
                </c:pt>
                <c:pt idx="6">
                  <c:v>-5.0529999999999993E-3</c:v>
                </c:pt>
                <c:pt idx="7">
                  <c:v>-3.7810000000000001E-3</c:v>
                </c:pt>
                <c:pt idx="8">
                  <c:v>-2.5089999999999999E-3</c:v>
                </c:pt>
                <c:pt idx="9">
                  <c:v>-1.2367999999999999E-3</c:v>
                </c:pt>
                <c:pt idx="10">
                  <c:v>3.587E-5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62</c:v>
                </c:pt>
                <c:pt idx="1">
                  <c:v>2834</c:v>
                </c:pt>
                <c:pt idx="2">
                  <c:v>5598</c:v>
                </c:pt>
                <c:pt idx="3">
                  <c:v>8365</c:v>
                </c:pt>
                <c:pt idx="4">
                  <c:v>11131</c:v>
                </c:pt>
                <c:pt idx="5">
                  <c:v>13897</c:v>
                </c:pt>
                <c:pt idx="6">
                  <c:v>16660</c:v>
                </c:pt>
                <c:pt idx="7">
                  <c:v>19431</c:v>
                </c:pt>
                <c:pt idx="8">
                  <c:v>22196</c:v>
                </c:pt>
                <c:pt idx="9">
                  <c:v>24957</c:v>
                </c:pt>
                <c:pt idx="10">
                  <c:v>27670</c:v>
                </c:pt>
              </c:numCache>
            </c:numRef>
          </c:xVal>
          <c:yVal>
            <c:numRef>
              <c:f>Data!$AD$12:$AD$22</c:f>
              <c:numCache>
                <c:formatCode>General</c:formatCode>
                <c:ptCount val="11"/>
                <c:pt idx="0">
                  <c:v>3.587E-5</c:v>
                </c:pt>
                <c:pt idx="1">
                  <c:v>1.3089E-3</c:v>
                </c:pt>
                <c:pt idx="2">
                  <c:v>2.575E-3</c:v>
                </c:pt>
                <c:pt idx="3">
                  <c:v>3.8480000000000003E-3</c:v>
                </c:pt>
                <c:pt idx="4">
                  <c:v>5.1189999999999994E-3</c:v>
                </c:pt>
                <c:pt idx="5">
                  <c:v>6.3890000000000006E-3</c:v>
                </c:pt>
                <c:pt idx="6">
                  <c:v>7.6590000000000009E-3</c:v>
                </c:pt>
                <c:pt idx="7">
                  <c:v>8.9309999999999997E-3</c:v>
                </c:pt>
                <c:pt idx="8">
                  <c:v>1.0201999999999999E-2</c:v>
                </c:pt>
                <c:pt idx="9">
                  <c:v>1.1474E-2</c:v>
                </c:pt>
                <c:pt idx="10">
                  <c:v>1.2742999999999999E-2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Data!$AI$2:$AI$12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Data!$AI$12:$AI$22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Data!$AN$2:$AN$12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Data!$AN$12:$AN$22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Data!$AS$2:$AS$12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Data!$AS$12:$AS$22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Data!$AX$2:$AX$12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Data!$AX$12:$AX$22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609600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518160</xdr:colOff>
          <xdr:row>2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0</xdr:row>
          <xdr:rowOff>68580</xdr:rowOff>
        </xdr:from>
        <xdr:to>
          <xdr:col>8</xdr:col>
          <xdr:colOff>510540</xdr:colOff>
          <xdr:row>2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99060</xdr:rowOff>
        </xdr:from>
        <xdr:to>
          <xdr:col>7</xdr:col>
          <xdr:colOff>228600</xdr:colOff>
          <xdr:row>2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6350</xdr:rowOff>
    </xdr:from>
    <xdr:to>
      <xdr:col>17</xdr:col>
      <xdr:colOff>609600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91440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0</xdr:row>
          <xdr:rowOff>99060</xdr:rowOff>
        </xdr:from>
        <xdr:to>
          <xdr:col>7</xdr:col>
          <xdr:colOff>251460</xdr:colOff>
          <xdr:row>2</xdr:row>
          <xdr:rowOff>91440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0</xdr:row>
          <xdr:rowOff>91440</xdr:rowOff>
        </xdr:from>
        <xdr:to>
          <xdr:col>9</xdr:col>
          <xdr:colOff>403860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0</xdr:row>
          <xdr:rowOff>106680</xdr:rowOff>
        </xdr:from>
        <xdr:to>
          <xdr:col>7</xdr:col>
          <xdr:colOff>251460</xdr:colOff>
          <xdr:row>2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25400</xdr:colOff>
      <xdr:row>3</xdr:row>
      <xdr:rowOff>6350</xdr:rowOff>
    </xdr:from>
    <xdr:to>
      <xdr:col>18</xdr:col>
      <xdr:colOff>6350</xdr:colOff>
      <xdr:row>24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0</xdr:row>
          <xdr:rowOff>99060</xdr:rowOff>
        </xdr:from>
        <xdr:to>
          <xdr:col>9</xdr:col>
          <xdr:colOff>396240</xdr:colOff>
          <xdr:row>2</xdr:row>
          <xdr:rowOff>83820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0</xdr:row>
          <xdr:rowOff>60960</xdr:rowOff>
        </xdr:from>
        <xdr:to>
          <xdr:col>9</xdr:col>
          <xdr:colOff>373380</xdr:colOff>
          <xdr:row>2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1</xdr:col>
          <xdr:colOff>701040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2</xdr:row>
          <xdr:rowOff>99060</xdr:rowOff>
        </xdr:from>
        <xdr:to>
          <xdr:col>7</xdr:col>
          <xdr:colOff>472440</xdr:colOff>
          <xdr:row>4</xdr:row>
          <xdr:rowOff>83820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2</xdr:row>
          <xdr:rowOff>99060</xdr:rowOff>
        </xdr:from>
        <xdr:to>
          <xdr:col>3</xdr:col>
          <xdr:colOff>434340</xdr:colOff>
          <xdr:row>4</xdr:row>
          <xdr:rowOff>83820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2</xdr:row>
          <xdr:rowOff>106680</xdr:rowOff>
        </xdr:from>
        <xdr:to>
          <xdr:col>1</xdr:col>
          <xdr:colOff>2849880</xdr:colOff>
          <xdr:row>4</xdr:row>
          <xdr:rowOff>99060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</xdr:row>
          <xdr:rowOff>114300</xdr:rowOff>
        </xdr:from>
        <xdr:to>
          <xdr:col>6</xdr:col>
          <xdr:colOff>426720</xdr:colOff>
          <xdr:row>4</xdr:row>
          <xdr:rowOff>99060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59" xr16:uid="{00000000-0016-0000-0200-00006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38" xr16:uid="{00000000-0016-0000-0200-000067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313" xr16:uid="{00000000-0016-0000-0200-00006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70" xr16:uid="{00000000-0016-0000-0200-00006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309" xr16:uid="{00000000-0016-0000-0200-00006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76" xr16:uid="{00000000-0016-0000-0200-00006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300" xr16:uid="{00000000-0016-0000-0200-000062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68" xr16:uid="{00000000-0016-0000-0200-00006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87" xr16:uid="{00000000-0016-0000-0200-000060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75" xr16:uid="{00000000-0016-0000-0200-00005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99" xr16:uid="{00000000-0016-0000-0200-00005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60" xr16:uid="{00000000-0016-0000-0200-00005D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320" xr16:uid="{00000000-0016-0000-0200-00005C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growShrinkType="overwriteClear" connectionId="337" xr16:uid="{00000000-0016-0000-0200-00005B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82" xr16:uid="{00000000-0016-0000-0200-00005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56" xr16:uid="{00000000-0016-0000-0200-00005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39" xr16:uid="{00000000-0016-0000-0200-000058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336" xr16:uid="{00000000-0016-0000-0200-00005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305" xr16:uid="{00000000-0016-0000-0200-000056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50" xr16:uid="{00000000-0016-0000-0200-00005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334" xr16:uid="{00000000-0016-0000-0200-00005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301" xr16:uid="{00000000-0016-0000-0200-00005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330" xr16:uid="{00000000-0016-0000-0200-00005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308" xr16:uid="{00000000-0016-0000-0200-00005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62" xr16:uid="{00000000-0016-0000-0200-000050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327" xr16:uid="{00000000-0016-0000-0200-00004F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72" xr16:uid="{00000000-0016-0000-0200-00004E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64" xr16:uid="{00000000-0016-0000-0200-00004D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323" xr16:uid="{00000000-0016-0000-0200-00004C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322" xr16:uid="{00000000-0016-0000-0200-00004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growShrinkType="overwriteClear" connectionId="242" xr16:uid="{00000000-0016-0000-0200-00004A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18" xr16:uid="{00000000-0016-0000-0200-000049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335" xr16:uid="{00000000-0016-0000-0200-000048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69" xr16:uid="{00000000-0016-0000-0200-000047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319" xr16:uid="{00000000-0016-0000-0200-000046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07" xr16:uid="{00000000-0016-0000-0200-000045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297" xr16:uid="{00000000-0016-0000-0200-000044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40" xr16:uid="{00000000-0016-0000-0200-000043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49" xr16:uid="{00000000-0016-0000-0200-000042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325" xr16:uid="{00000000-0016-0000-0200-000041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29" xr16:uid="{00000000-0016-0000-0200-000040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71" xr16:uid="{00000000-0016-0000-0200-00003F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growShrinkType="overwriteClear" connectionId="338" xr16:uid="{00000000-0016-0000-0200-00003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96" xr16:uid="{00000000-0016-0000-0200-00003D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84" xr16:uid="{00000000-0016-0000-0200-00003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295" xr16:uid="{00000000-0016-0000-0200-00003B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321" xr16:uid="{00000000-0016-0000-0200-00003A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44" xr16:uid="{00000000-0016-0000-0200-000039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46" xr16:uid="{00000000-0016-0000-0200-000038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88" xr16:uid="{00000000-0016-0000-0200-000037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86" xr16:uid="{00000000-0016-0000-0200-000036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292" xr16:uid="{00000000-0016-0000-0200-000035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45" xr16:uid="{00000000-0016-0000-0200-00003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332" xr16:uid="{00000000-0016-0000-0200-000033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316" xr16:uid="{00000000-0016-0000-0200-000032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290" xr16:uid="{00000000-0016-0000-0200-000031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77" xr16:uid="{00000000-0016-0000-0200-000030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306" xr16:uid="{00000000-0016-0000-0200-00002F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79" xr16:uid="{00000000-0016-0000-0200-00002E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331" xr16:uid="{00000000-0016-0000-0200-00002D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74" xr16:uid="{00000000-0016-0000-0200-00002C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81" xr16:uid="{00000000-0016-0000-0200-00002B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52" xr16:uid="{00000000-0016-0000-0200-00002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324" xr16:uid="{00000000-0016-0000-0200-00002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growShrinkType="overwriteClear" connectionId="339" xr16:uid="{00000000-0016-0000-0200-000028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312" xr16:uid="{00000000-0016-0000-0200-000027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78" xr16:uid="{00000000-0016-0000-0200-000026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57" xr16:uid="{00000000-0016-0000-0200-000025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293" xr16:uid="{00000000-0016-0000-0200-000024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66" xr16:uid="{00000000-0016-0000-0200-000023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310" xr16:uid="{00000000-0016-0000-0200-000022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63" xr16:uid="{00000000-0016-0000-0200-000021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40" xr16:uid="{00000000-0016-0000-0200-000020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58" xr16:uid="{00000000-0016-0000-0200-00001F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85" xr16:uid="{00000000-0016-0000-0200-00001E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80" xr16:uid="{00000000-0016-0000-0200-00001D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83" xr16:uid="{00000000-0016-0000-0200-00001C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87" xr16:uid="{00000000-0016-0000-0200-00001B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328" xr16:uid="{00000000-0016-0000-0200-00001A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65" xr16:uid="{00000000-0016-0000-0200-000019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51" xr16:uid="{00000000-0016-0000-0200-000018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67" xr16:uid="{00000000-0016-0000-0200-00001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61" xr16:uid="{00000000-0016-0000-0200-000016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311" xr16:uid="{00000000-0016-0000-0200-00001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303" xr16:uid="{00000000-0016-0000-0200-000014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43" xr16:uid="{00000000-0016-0000-0200-00001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315" xr16:uid="{00000000-0016-0000-0200-000012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294" xr16:uid="{00000000-0016-0000-0200-000011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47" xr16:uid="{00000000-0016-0000-0200-000010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298" xr16:uid="{00000000-0016-0000-0200-00000F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304" xr16:uid="{00000000-0016-0000-0200-00000E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326" xr16:uid="{00000000-0016-0000-0200-00000D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48" xr16:uid="{00000000-0016-0000-0200-00000C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333" xr16:uid="{00000000-0016-0000-0200-00000B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55" xr16:uid="{00000000-0016-0000-0200-00000A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growShrinkType="overwriteClear" connectionId="241" xr16:uid="{00000000-0016-0000-0200-000009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54" xr16:uid="{00000000-0016-0000-0200-000008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317" xr16:uid="{00000000-0016-0000-0200-000007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302" xr16:uid="{00000000-0016-0000-0200-000006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53" xr16:uid="{00000000-0016-0000-0200-000005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291" xr16:uid="{00000000-0016-0000-0200-000004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9" xr16:uid="{00000000-0016-0000-0200-000003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314" xr16:uid="{00000000-0016-0000-0200-000002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89" xr16:uid="{00000000-0016-0000-0200-000001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73" xr16:uid="{00000000-0016-0000-0200-000000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37" xr16:uid="{00000000-0016-0000-0300-0000A9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45" xr16:uid="{00000000-0016-0000-0300-0000A8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41" xr16:uid="{00000000-0016-0000-0300-0000A7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34" xr16:uid="{00000000-0016-0000-0300-0000A6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82" xr16:uid="{00000000-0016-0000-0300-0000A5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5" xr16:uid="{00000000-0016-0000-0300-0000A4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89" xr16:uid="{00000000-0016-0000-0300-0000A3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42" xr16:uid="{00000000-0016-0000-0300-0000A2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6" xr16:uid="{00000000-0016-0000-0300-0000A1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9" xr16:uid="{00000000-0016-0000-0300-0000A0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88" xr16:uid="{00000000-0016-0000-0300-00009F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44" xr16:uid="{00000000-0016-0000-0300-00009E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8" xr16:uid="{00000000-0016-0000-0300-00009D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60" xr16:uid="{00000000-0016-0000-0300-00009C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63" xr16:uid="{00000000-0016-0000-0300-00009B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40" xr16:uid="{00000000-0016-0000-0300-00009A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84" xr16:uid="{00000000-0016-0000-0300-000099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52" xr16:uid="{00000000-0016-0000-0300-000098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50" xr16:uid="{00000000-0016-0000-0300-000097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59" xr16:uid="{00000000-0016-0000-0300-000096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66" xr16:uid="{00000000-0016-0000-0300-000095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74" xr16:uid="{00000000-0016-0000-0300-000094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8" xr16:uid="{00000000-0016-0000-0300-000093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6" xr16:uid="{00000000-0016-0000-0300-000092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73" xr16:uid="{00000000-0016-0000-0300-000091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2" xr16:uid="{00000000-0016-0000-0300-000090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79" xr16:uid="{00000000-0016-0000-0300-00008F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53" xr16:uid="{00000000-0016-0000-0300-00008E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5" xr16:uid="{00000000-0016-0000-0300-00008D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65" xr16:uid="{00000000-0016-0000-0300-00008C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75" xr16:uid="{00000000-0016-0000-0300-00008B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70" xr16:uid="{00000000-0016-0000-0300-00008A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56" xr16:uid="{00000000-0016-0000-0300-000089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78" xr16:uid="{00000000-0016-0000-0300-000088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48" xr16:uid="{00000000-0016-0000-0300-000087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61" xr16:uid="{00000000-0016-0000-0300-000086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71" xr16:uid="{00000000-0016-0000-0300-000085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49" xr16:uid="{00000000-0016-0000-0300-000084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43" xr16:uid="{00000000-0016-0000-0300-000083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67" xr16:uid="{00000000-0016-0000-0300-000082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1" xr16:uid="{00000000-0016-0000-0300-000081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46" xr16:uid="{00000000-0016-0000-0300-000080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77" xr16:uid="{00000000-0016-0000-0300-00007F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3" xr16:uid="{00000000-0016-0000-0300-00007E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8" xr16:uid="{00000000-0016-0000-0300-00007D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7" xr16:uid="{00000000-0016-0000-0300-00007C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76" xr16:uid="{00000000-0016-0000-0300-00007B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57" xr16:uid="{00000000-0016-0000-0300-00007A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51" xr16:uid="{00000000-0016-0000-0300-000079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68" xr16:uid="{00000000-0016-0000-0300-000078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86" xr16:uid="{00000000-0016-0000-0300-000077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72" xr16:uid="{00000000-0016-0000-0300-000076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62" xr16:uid="{00000000-0016-0000-0300-000075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80" xr16:uid="{00000000-0016-0000-0300-000074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7" xr16:uid="{00000000-0016-0000-0300-000073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4" xr16:uid="{00000000-0016-0000-0300-000072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9" xr16:uid="{00000000-0016-0000-0300-000071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85" xr16:uid="{00000000-0016-0000-0300-000070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83" xr16:uid="{00000000-0016-0000-0300-00006F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55" xr16:uid="{00000000-0016-0000-0300-00006E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33" xr16:uid="{00000000-0016-0000-0300-00006D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54" xr16:uid="{00000000-0016-0000-0300-00006C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81" xr16:uid="{00000000-0016-0000-0300-00006B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0" xr16:uid="{00000000-0016-0000-0300-00006A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64" xr16:uid="{00000000-0016-0000-0300-000069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93" xr16:uid="{00000000-0016-0000-0400-0000D2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00" xr16:uid="{00000000-0016-0000-0400-0000D1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15" xr16:uid="{00000000-0016-0000-0400-0000D0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16" xr16:uid="{00000000-0016-0000-0400-0000CF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27" xr16:uid="{00000000-0016-0000-0400-0000CE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95" xr16:uid="{00000000-0016-0000-0400-0000CD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14" xr16:uid="{00000000-0016-0000-0400-0000CC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23" xr16:uid="{00000000-0016-0000-0400-0000CB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90" xr16:uid="{00000000-0016-0000-0400-0000CA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96" xr16:uid="{00000000-0016-0000-0400-0000C9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91" xr16:uid="{00000000-0016-0000-0400-0000C8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21" xr16:uid="{00000000-0016-0000-0400-0000C7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07" xr16:uid="{00000000-0016-0000-0400-0000C6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17" xr16:uid="{00000000-0016-0000-0400-0000C5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29" xr16:uid="{00000000-0016-0000-0400-0000C4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05" xr16:uid="{00000000-0016-0000-0400-0000C3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19" xr16:uid="{00000000-0016-0000-0400-0000C2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92" xr16:uid="{00000000-0016-0000-0400-0000C1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03" xr16:uid="{00000000-0016-0000-0400-0000C0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09" xr16:uid="{00000000-0016-0000-0400-0000BF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30" xr16:uid="{00000000-0016-0000-0400-0000BE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04" xr16:uid="{00000000-0016-0000-0400-0000BD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08" xr16:uid="{00000000-0016-0000-0400-0000BC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99" xr16:uid="{00000000-0016-0000-0400-0000BB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2" xr16:uid="{00000000-0016-0000-0400-0000BA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98" xr16:uid="{00000000-0016-0000-0400-0000B9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20" xr16:uid="{00000000-0016-0000-0400-0000B8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25" xr16:uid="{00000000-0016-0000-0400-0000B7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28" xr16:uid="{00000000-0016-0000-0400-0000B6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26" xr16:uid="{00000000-0016-0000-0400-0000B5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22" xr16:uid="{00000000-0016-0000-0400-0000B4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13" xr16:uid="{00000000-0016-0000-0400-0000B3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06" xr16:uid="{00000000-0016-0000-0400-0000B2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01" xr16:uid="{00000000-0016-0000-0400-0000B1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24" xr16:uid="{00000000-0016-0000-0400-0000B0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11" xr16:uid="{00000000-0016-0000-0400-0000AF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18" xr16:uid="{00000000-0016-0000-0400-0000AE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10" xr16:uid="{00000000-0016-0000-0400-0000AD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97" xr16:uid="{00000000-0016-0000-0400-0000AC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12" xr16:uid="{00000000-0016-0000-0400-0000AB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94" xr16:uid="{00000000-0016-0000-0400-0000AA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67" xr16:uid="{00000000-0016-0000-0500-000000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46" xr16:uid="{00000000-0016-0000-0500-0000FF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45" xr16:uid="{00000000-0016-0000-0500-0000FE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32" xr16:uid="{00000000-0016-0000-0500-0000FD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65" xr16:uid="{00000000-0016-0000-0500-0000FC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40" xr16:uid="{00000000-0016-0000-0500-0000FB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53" xr16:uid="{00000000-0016-0000-0500-0000FA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73" xr16:uid="{00000000-0016-0000-0500-0000F9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41" xr16:uid="{00000000-0016-0000-0500-0000F8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75" xr16:uid="{00000000-0016-0000-0500-0000F7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59" xr16:uid="{00000000-0016-0000-0500-0000F6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66" xr16:uid="{00000000-0016-0000-0500-0000F5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31" xr16:uid="{00000000-0016-0000-0500-0000F4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98" xr16:uid="{00000000-0016-0000-0500-0000F3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36" xr16:uid="{00000000-0016-0000-0500-0000F2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49" xr16:uid="{00000000-0016-0000-0500-0000F1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33" xr16:uid="{00000000-0016-0000-0500-0000F0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44" xr16:uid="{00000000-0016-0000-0500-0000EF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56" xr16:uid="{00000000-0016-0000-0500-0000EE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35" xr16:uid="{00000000-0016-0000-0500-0000ED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38" xr16:uid="{00000000-0016-0000-0500-0000EC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43" xr16:uid="{00000000-0016-0000-0500-0000EB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34" xr16:uid="{00000000-0016-0000-0500-0000EA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37" xr16:uid="{00000000-0016-0000-0500-0000E9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57" xr16:uid="{00000000-0016-0000-0500-0000E8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64" xr16:uid="{00000000-0016-0000-0500-0000E7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54" xr16:uid="{00000000-0016-0000-0500-0000E6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70" xr16:uid="{00000000-0016-0000-0500-0000E5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39" xr16:uid="{00000000-0016-0000-0500-0000E4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50" xr16:uid="{00000000-0016-0000-0500-0000E3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42" xr16:uid="{00000000-0016-0000-0500-0000E2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55" xr16:uid="{00000000-0016-0000-0500-0000E1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52" xr16:uid="{00000000-0016-0000-0500-0000E0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51" xr16:uid="{00000000-0016-0000-0500-0000DF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60" xr16:uid="{00000000-0016-0000-0500-0000DE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74" xr16:uid="{00000000-0016-0000-0500-0000DD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47" xr16:uid="{00000000-0016-0000-0500-0000DC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58" xr16:uid="{00000000-0016-0000-0500-0000DB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06" xr16:uid="{00000000-0016-0000-0500-0000DA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61" xr16:uid="{00000000-0016-0000-0500-0000D9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62" xr16:uid="{00000000-0016-0000-0500-0000D8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63" xr16:uid="{00000000-0016-0000-0500-0000D7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72" xr16:uid="{00000000-0016-0000-0500-0000D6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68" xr16:uid="{00000000-0016-0000-0500-0000D5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69" xr16:uid="{00000000-0016-0000-0500-0000D4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48" xr16:uid="{00000000-0016-0000-0500-0000D3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97" xr16:uid="{00000000-0016-0000-0600-00003D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24" xr16:uid="{00000000-0016-0000-0600-00003C01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05" xr16:uid="{00000000-0016-0000-0600-00003B01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04" xr16:uid="{00000000-0016-0000-0600-00003A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81" xr16:uid="{00000000-0016-0000-0600-000039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88" xr16:uid="{00000000-0016-0000-0600-000038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85" xr16:uid="{00000000-0016-0000-0600-000037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09" xr16:uid="{00000000-0016-0000-0600-000036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93" xr16:uid="{00000000-0016-0000-0600-000035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33" xr16:uid="{00000000-0016-0000-0600-000034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94" xr16:uid="{00000000-0016-0000-0600-000033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87" xr16:uid="{00000000-0016-0000-0600-000032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08" xr16:uid="{00000000-0016-0000-0600-000031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20" xr16:uid="{00000000-0016-0000-0600-000030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17" xr16:uid="{00000000-0016-0000-0600-00002F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13" xr16:uid="{00000000-0016-0000-0600-00002E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80" xr16:uid="{00000000-0016-0000-0600-00002D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23" xr16:uid="{00000000-0016-0000-0600-00002C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27" xr16:uid="{00000000-0016-0000-0600-00002B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14" xr16:uid="{00000000-0016-0000-0600-00002A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19" xr16:uid="{00000000-0016-0000-0600-000029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36" xr16:uid="{00000000-0016-0000-0600-000028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95" xr16:uid="{00000000-0016-0000-0600-000027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28" xr16:uid="{00000000-0016-0000-0600-000026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30" xr16:uid="{00000000-0016-0000-0600-000025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31" xr16:uid="{00000000-0016-0000-0600-000024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37" xr16:uid="{00000000-0016-0000-0600-000023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02" xr16:uid="{00000000-0016-0000-0600-000022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84" xr16:uid="{00000000-0016-0000-0600-000021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76" xr16:uid="{00000000-0016-0000-0600-000020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34" xr16:uid="{00000000-0016-0000-0600-00001F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29" xr16:uid="{00000000-0016-0000-0600-00001E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89" xr16:uid="{00000000-0016-0000-0600-00001D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79" xr16:uid="{00000000-0016-0000-0600-00001C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96" xr16:uid="{00000000-0016-0000-0600-00001B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25" xr16:uid="{00000000-0016-0000-0600-00001A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10" xr16:uid="{00000000-0016-0000-0600-000019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78" xr16:uid="{00000000-0016-0000-0600-000018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11" xr16:uid="{00000000-0016-0000-0600-000017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77" xr16:uid="{00000000-0016-0000-0600-000016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12" xr16:uid="{00000000-0016-0000-0600-000015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92" xr16:uid="{00000000-0016-0000-0600-000014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26" xr16:uid="{00000000-0016-0000-0600-000013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03" xr16:uid="{00000000-0016-0000-0600-000012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83" xr16:uid="{00000000-0016-0000-0600-000011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91" xr16:uid="{00000000-0016-0000-0600-000010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82" xr16:uid="{00000000-0016-0000-0600-00000F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99" xr16:uid="{00000000-0016-0000-0600-00000E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71" xr16:uid="{00000000-0016-0000-0600-00000D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07" xr16:uid="{00000000-0016-0000-0600-00000C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01" xr16:uid="{00000000-0016-0000-0600-00000B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00" xr16:uid="{00000000-0016-0000-0600-00000A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16" xr16:uid="{00000000-0016-0000-0600-000009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18" xr16:uid="{00000000-0016-0000-0600-000008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90" xr16:uid="{00000000-0016-0000-0600-000007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21" xr16:uid="{00000000-0016-0000-0600-000006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86" xr16:uid="{00000000-0016-0000-0600-000005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32" xr16:uid="{00000000-0016-0000-0600-000004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22" xr16:uid="{00000000-0016-0000-0600-000003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15" xr16:uid="{00000000-0016-0000-0600-000002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35" xr16:uid="{00000000-0016-0000-0600-000001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" xr16:uid="{11F3ECEA-C08E-41DC-8BFD-61DA124DDAD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" xr16:uid="{801E819C-198B-4425-A319-F43AC25286DC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B00-000050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2" xr16:uid="{00000000-0016-0000-0B00-00004F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5" xr16:uid="{00000000-0016-0000-0B00-00004E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" xr16:uid="{00000000-0016-0000-0B00-00004D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0" xr16:uid="{00000000-0016-0000-0B00-00004C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" xr16:uid="{00000000-0016-0000-0B00-00004B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B00-00004A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1" xr16:uid="{00000000-0016-0000-0B00-000049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" xr16:uid="{00000000-0016-0000-0B00-000048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3" xr16:uid="{00000000-0016-0000-0B00-000047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9" xr16:uid="{00000000-0016-0000-0B00-000046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" xr16:uid="{00000000-0016-0000-0B00-000045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" xr16:uid="{00000000-0016-0000-0B00-000044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6" xr16:uid="{00000000-0016-0000-0B00-000043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7" xr16:uid="{00000000-0016-0000-0B00-000042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B00-000041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B00-000040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4" xr16:uid="{00000000-0016-0000-0B00-00003F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8" xr16:uid="{00000000-0016-0000-0B00-00003E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9" Type="http://schemas.openxmlformats.org/officeDocument/2006/relationships/queryTable" Target="../queryTables/queryTable24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87" Type="http://schemas.openxmlformats.org/officeDocument/2006/relationships/queryTable" Target="../queryTables/queryTable82.xml"/><Relationship Id="rId102" Type="http://schemas.openxmlformats.org/officeDocument/2006/relationships/queryTable" Target="../queryTables/queryTable97.xml"/><Relationship Id="rId110" Type="http://schemas.openxmlformats.org/officeDocument/2006/relationships/queryTable" Target="../queryTables/queryTable105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3.xml"/><Relationship Id="rId18" Type="http://schemas.openxmlformats.org/officeDocument/2006/relationships/queryTable" Target="../queryTables/queryTable118.xml"/><Relationship Id="rId26" Type="http://schemas.openxmlformats.org/officeDocument/2006/relationships/queryTable" Target="../queryTables/queryTable126.xml"/><Relationship Id="rId39" Type="http://schemas.openxmlformats.org/officeDocument/2006/relationships/queryTable" Target="../queryTables/queryTable139.xml"/><Relationship Id="rId21" Type="http://schemas.openxmlformats.org/officeDocument/2006/relationships/queryTable" Target="../queryTables/queryTable121.xml"/><Relationship Id="rId34" Type="http://schemas.openxmlformats.org/officeDocument/2006/relationships/queryTable" Target="../queryTables/queryTable134.xml"/><Relationship Id="rId42" Type="http://schemas.openxmlformats.org/officeDocument/2006/relationships/queryTable" Target="../queryTables/queryTable142.xml"/><Relationship Id="rId47" Type="http://schemas.openxmlformats.org/officeDocument/2006/relationships/queryTable" Target="../queryTables/queryTable147.xml"/><Relationship Id="rId50" Type="http://schemas.openxmlformats.org/officeDocument/2006/relationships/queryTable" Target="../queryTables/queryTable150.xml"/><Relationship Id="rId55" Type="http://schemas.openxmlformats.org/officeDocument/2006/relationships/queryTable" Target="../queryTables/queryTable155.xml"/><Relationship Id="rId63" Type="http://schemas.openxmlformats.org/officeDocument/2006/relationships/queryTable" Target="../queryTables/queryTable163.xml"/><Relationship Id="rId68" Type="http://schemas.openxmlformats.org/officeDocument/2006/relationships/queryTable" Target="../queryTables/queryTable168.xml"/><Relationship Id="rId7" Type="http://schemas.openxmlformats.org/officeDocument/2006/relationships/queryTable" Target="../queryTables/queryTable107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16.xml"/><Relationship Id="rId29" Type="http://schemas.openxmlformats.org/officeDocument/2006/relationships/queryTable" Target="../queryTables/queryTable129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06.xml"/><Relationship Id="rId11" Type="http://schemas.openxmlformats.org/officeDocument/2006/relationships/queryTable" Target="../queryTables/queryTable111.xml"/><Relationship Id="rId24" Type="http://schemas.openxmlformats.org/officeDocument/2006/relationships/queryTable" Target="../queryTables/queryTable124.xml"/><Relationship Id="rId32" Type="http://schemas.openxmlformats.org/officeDocument/2006/relationships/queryTable" Target="../queryTables/queryTable132.xml"/><Relationship Id="rId37" Type="http://schemas.openxmlformats.org/officeDocument/2006/relationships/queryTable" Target="../queryTables/queryTable137.xml"/><Relationship Id="rId40" Type="http://schemas.openxmlformats.org/officeDocument/2006/relationships/queryTable" Target="../queryTables/queryTable140.xml"/><Relationship Id="rId45" Type="http://schemas.openxmlformats.org/officeDocument/2006/relationships/queryTable" Target="../queryTables/queryTable145.xml"/><Relationship Id="rId53" Type="http://schemas.openxmlformats.org/officeDocument/2006/relationships/queryTable" Target="../queryTables/queryTable153.xml"/><Relationship Id="rId58" Type="http://schemas.openxmlformats.org/officeDocument/2006/relationships/queryTable" Target="../queryTables/queryTable158.xml"/><Relationship Id="rId66" Type="http://schemas.openxmlformats.org/officeDocument/2006/relationships/queryTable" Target="../queryTables/queryTable166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115.xml"/><Relationship Id="rId23" Type="http://schemas.openxmlformats.org/officeDocument/2006/relationships/queryTable" Target="../queryTables/queryTable123.xml"/><Relationship Id="rId28" Type="http://schemas.openxmlformats.org/officeDocument/2006/relationships/queryTable" Target="../queryTables/queryTable128.xml"/><Relationship Id="rId36" Type="http://schemas.openxmlformats.org/officeDocument/2006/relationships/queryTable" Target="../queryTables/queryTable136.xml"/><Relationship Id="rId49" Type="http://schemas.openxmlformats.org/officeDocument/2006/relationships/queryTable" Target="../queryTables/queryTable149.xml"/><Relationship Id="rId57" Type="http://schemas.openxmlformats.org/officeDocument/2006/relationships/queryTable" Target="../queryTables/queryTable157.xml"/><Relationship Id="rId61" Type="http://schemas.openxmlformats.org/officeDocument/2006/relationships/queryTable" Target="../queryTables/queryTable161.xml"/><Relationship Id="rId10" Type="http://schemas.openxmlformats.org/officeDocument/2006/relationships/queryTable" Target="../queryTables/queryTable110.xml"/><Relationship Id="rId19" Type="http://schemas.openxmlformats.org/officeDocument/2006/relationships/queryTable" Target="../queryTables/queryTable119.xml"/><Relationship Id="rId31" Type="http://schemas.openxmlformats.org/officeDocument/2006/relationships/queryTable" Target="../queryTables/queryTable131.xml"/><Relationship Id="rId44" Type="http://schemas.openxmlformats.org/officeDocument/2006/relationships/queryTable" Target="../queryTables/queryTable144.xml"/><Relationship Id="rId52" Type="http://schemas.openxmlformats.org/officeDocument/2006/relationships/queryTable" Target="../queryTables/queryTable152.xml"/><Relationship Id="rId60" Type="http://schemas.openxmlformats.org/officeDocument/2006/relationships/queryTable" Target="../queryTables/queryTable160.xml"/><Relationship Id="rId65" Type="http://schemas.openxmlformats.org/officeDocument/2006/relationships/queryTable" Target="../queryTables/queryTable165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09.xml"/><Relationship Id="rId14" Type="http://schemas.openxmlformats.org/officeDocument/2006/relationships/queryTable" Target="../queryTables/queryTable114.xml"/><Relationship Id="rId22" Type="http://schemas.openxmlformats.org/officeDocument/2006/relationships/queryTable" Target="../queryTables/queryTable122.xml"/><Relationship Id="rId27" Type="http://schemas.openxmlformats.org/officeDocument/2006/relationships/queryTable" Target="../queryTables/queryTable127.xml"/><Relationship Id="rId30" Type="http://schemas.openxmlformats.org/officeDocument/2006/relationships/queryTable" Target="../queryTables/queryTable130.xml"/><Relationship Id="rId35" Type="http://schemas.openxmlformats.org/officeDocument/2006/relationships/queryTable" Target="../queryTables/queryTable135.xml"/><Relationship Id="rId43" Type="http://schemas.openxmlformats.org/officeDocument/2006/relationships/queryTable" Target="../queryTables/queryTable143.xml"/><Relationship Id="rId48" Type="http://schemas.openxmlformats.org/officeDocument/2006/relationships/queryTable" Target="../queryTables/queryTable148.xml"/><Relationship Id="rId56" Type="http://schemas.openxmlformats.org/officeDocument/2006/relationships/queryTable" Target="../queryTables/queryTable156.xml"/><Relationship Id="rId64" Type="http://schemas.openxmlformats.org/officeDocument/2006/relationships/queryTable" Target="../queryTables/queryTable164.xml"/><Relationship Id="rId69" Type="http://schemas.openxmlformats.org/officeDocument/2006/relationships/queryTable" Target="../queryTables/queryTable169.xml"/><Relationship Id="rId8" Type="http://schemas.openxmlformats.org/officeDocument/2006/relationships/queryTable" Target="../queryTables/queryTable108.xml"/><Relationship Id="rId51" Type="http://schemas.openxmlformats.org/officeDocument/2006/relationships/queryTable" Target="../queryTables/queryTable151.xml"/><Relationship Id="rId3" Type="http://schemas.openxmlformats.org/officeDocument/2006/relationships/vmlDrawing" Target="../drawings/vmlDrawing3.vml"/><Relationship Id="rId12" Type="http://schemas.openxmlformats.org/officeDocument/2006/relationships/queryTable" Target="../queryTables/queryTable112.xml"/><Relationship Id="rId17" Type="http://schemas.openxmlformats.org/officeDocument/2006/relationships/queryTable" Target="../queryTables/queryTable117.xml"/><Relationship Id="rId25" Type="http://schemas.openxmlformats.org/officeDocument/2006/relationships/queryTable" Target="../queryTables/queryTable125.xml"/><Relationship Id="rId33" Type="http://schemas.openxmlformats.org/officeDocument/2006/relationships/queryTable" Target="../queryTables/queryTable133.xml"/><Relationship Id="rId38" Type="http://schemas.openxmlformats.org/officeDocument/2006/relationships/queryTable" Target="../queryTables/queryTable138.xml"/><Relationship Id="rId46" Type="http://schemas.openxmlformats.org/officeDocument/2006/relationships/queryTable" Target="../queryTables/queryTable146.xml"/><Relationship Id="rId59" Type="http://schemas.openxmlformats.org/officeDocument/2006/relationships/queryTable" Target="../queryTables/queryTable159.xml"/><Relationship Id="rId67" Type="http://schemas.openxmlformats.org/officeDocument/2006/relationships/queryTable" Target="../queryTables/queryTable167.xml"/><Relationship Id="rId20" Type="http://schemas.openxmlformats.org/officeDocument/2006/relationships/queryTable" Target="../queryTables/queryTable120.xml"/><Relationship Id="rId41" Type="http://schemas.openxmlformats.org/officeDocument/2006/relationships/queryTable" Target="../queryTables/queryTable141.xml"/><Relationship Id="rId54" Type="http://schemas.openxmlformats.org/officeDocument/2006/relationships/queryTable" Target="../queryTables/queryTable154.xml"/><Relationship Id="rId62" Type="http://schemas.openxmlformats.org/officeDocument/2006/relationships/queryTable" Target="../queryTables/queryTable162.xml"/><Relationship Id="rId70" Type="http://schemas.openxmlformats.org/officeDocument/2006/relationships/queryTable" Target="../queryTables/queryTable17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4.xml"/><Relationship Id="rId13" Type="http://schemas.openxmlformats.org/officeDocument/2006/relationships/queryTable" Target="../queryTables/queryTable179.xml"/><Relationship Id="rId18" Type="http://schemas.openxmlformats.org/officeDocument/2006/relationships/queryTable" Target="../queryTables/queryTable184.xml"/><Relationship Id="rId26" Type="http://schemas.openxmlformats.org/officeDocument/2006/relationships/queryTable" Target="../queryTables/queryTable192.xml"/><Relationship Id="rId39" Type="http://schemas.openxmlformats.org/officeDocument/2006/relationships/queryTable" Target="../queryTables/queryTable205.xml"/><Relationship Id="rId3" Type="http://schemas.openxmlformats.org/officeDocument/2006/relationships/ctrlProp" Target="../ctrlProps/ctrlProp5.xml"/><Relationship Id="rId21" Type="http://schemas.openxmlformats.org/officeDocument/2006/relationships/queryTable" Target="../queryTables/queryTable187.xml"/><Relationship Id="rId34" Type="http://schemas.openxmlformats.org/officeDocument/2006/relationships/queryTable" Target="../queryTables/queryTable200.xml"/><Relationship Id="rId42" Type="http://schemas.openxmlformats.org/officeDocument/2006/relationships/queryTable" Target="../queryTables/queryTable208.xml"/><Relationship Id="rId7" Type="http://schemas.openxmlformats.org/officeDocument/2006/relationships/queryTable" Target="../queryTables/queryTable173.xml"/><Relationship Id="rId12" Type="http://schemas.openxmlformats.org/officeDocument/2006/relationships/queryTable" Target="../queryTables/queryTable178.xml"/><Relationship Id="rId17" Type="http://schemas.openxmlformats.org/officeDocument/2006/relationships/queryTable" Target="../queryTables/queryTable183.xml"/><Relationship Id="rId25" Type="http://schemas.openxmlformats.org/officeDocument/2006/relationships/queryTable" Target="../queryTables/queryTable191.xml"/><Relationship Id="rId33" Type="http://schemas.openxmlformats.org/officeDocument/2006/relationships/queryTable" Target="../queryTables/queryTable199.xml"/><Relationship Id="rId38" Type="http://schemas.openxmlformats.org/officeDocument/2006/relationships/queryTable" Target="../queryTables/queryTable204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82.xml"/><Relationship Id="rId20" Type="http://schemas.openxmlformats.org/officeDocument/2006/relationships/queryTable" Target="../queryTables/queryTable186.xml"/><Relationship Id="rId29" Type="http://schemas.openxmlformats.org/officeDocument/2006/relationships/queryTable" Target="../queryTables/queryTable195.xml"/><Relationship Id="rId41" Type="http://schemas.openxmlformats.org/officeDocument/2006/relationships/queryTable" Target="../queryTables/queryTable207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172.xml"/><Relationship Id="rId11" Type="http://schemas.openxmlformats.org/officeDocument/2006/relationships/queryTable" Target="../queryTables/queryTable177.xml"/><Relationship Id="rId24" Type="http://schemas.openxmlformats.org/officeDocument/2006/relationships/queryTable" Target="../queryTables/queryTable190.xml"/><Relationship Id="rId32" Type="http://schemas.openxmlformats.org/officeDocument/2006/relationships/queryTable" Target="../queryTables/queryTable198.xml"/><Relationship Id="rId37" Type="http://schemas.openxmlformats.org/officeDocument/2006/relationships/queryTable" Target="../queryTables/queryTable203.xml"/><Relationship Id="rId40" Type="http://schemas.openxmlformats.org/officeDocument/2006/relationships/queryTable" Target="../queryTables/queryTable206.xml"/><Relationship Id="rId45" Type="http://schemas.openxmlformats.org/officeDocument/2006/relationships/queryTable" Target="../queryTables/queryTable211.xml"/><Relationship Id="rId5" Type="http://schemas.openxmlformats.org/officeDocument/2006/relationships/queryTable" Target="../queryTables/queryTable171.xml"/><Relationship Id="rId15" Type="http://schemas.openxmlformats.org/officeDocument/2006/relationships/queryTable" Target="../queryTables/queryTable181.xml"/><Relationship Id="rId23" Type="http://schemas.openxmlformats.org/officeDocument/2006/relationships/queryTable" Target="../queryTables/queryTable189.xml"/><Relationship Id="rId28" Type="http://schemas.openxmlformats.org/officeDocument/2006/relationships/queryTable" Target="../queryTables/queryTable194.xml"/><Relationship Id="rId36" Type="http://schemas.openxmlformats.org/officeDocument/2006/relationships/queryTable" Target="../queryTables/queryTable202.xml"/><Relationship Id="rId10" Type="http://schemas.openxmlformats.org/officeDocument/2006/relationships/queryTable" Target="../queryTables/queryTable176.xml"/><Relationship Id="rId19" Type="http://schemas.openxmlformats.org/officeDocument/2006/relationships/queryTable" Target="../queryTables/queryTable185.xml"/><Relationship Id="rId31" Type="http://schemas.openxmlformats.org/officeDocument/2006/relationships/queryTable" Target="../queryTables/queryTable197.xml"/><Relationship Id="rId44" Type="http://schemas.openxmlformats.org/officeDocument/2006/relationships/queryTable" Target="../queryTables/queryTable210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175.xml"/><Relationship Id="rId14" Type="http://schemas.openxmlformats.org/officeDocument/2006/relationships/queryTable" Target="../queryTables/queryTable180.xml"/><Relationship Id="rId22" Type="http://schemas.openxmlformats.org/officeDocument/2006/relationships/queryTable" Target="../queryTables/queryTable188.xml"/><Relationship Id="rId27" Type="http://schemas.openxmlformats.org/officeDocument/2006/relationships/queryTable" Target="../queryTables/queryTable193.xml"/><Relationship Id="rId30" Type="http://schemas.openxmlformats.org/officeDocument/2006/relationships/queryTable" Target="../queryTables/queryTable196.xml"/><Relationship Id="rId35" Type="http://schemas.openxmlformats.org/officeDocument/2006/relationships/queryTable" Target="../queryTables/queryTable201.xml"/><Relationship Id="rId43" Type="http://schemas.openxmlformats.org/officeDocument/2006/relationships/queryTable" Target="../queryTables/queryTable209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20.xml"/><Relationship Id="rId18" Type="http://schemas.openxmlformats.org/officeDocument/2006/relationships/queryTable" Target="../queryTables/queryTable225.xml"/><Relationship Id="rId26" Type="http://schemas.openxmlformats.org/officeDocument/2006/relationships/queryTable" Target="../queryTables/queryTable233.xml"/><Relationship Id="rId39" Type="http://schemas.openxmlformats.org/officeDocument/2006/relationships/queryTable" Target="../queryTables/queryTable246.xml"/><Relationship Id="rId3" Type="http://schemas.openxmlformats.org/officeDocument/2006/relationships/ctrlProp" Target="../ctrlProps/ctrlProp7.xml"/><Relationship Id="rId21" Type="http://schemas.openxmlformats.org/officeDocument/2006/relationships/queryTable" Target="../queryTables/queryTable228.xml"/><Relationship Id="rId34" Type="http://schemas.openxmlformats.org/officeDocument/2006/relationships/queryTable" Target="../queryTables/queryTable241.xml"/><Relationship Id="rId42" Type="http://schemas.openxmlformats.org/officeDocument/2006/relationships/queryTable" Target="../queryTables/queryTable249.xml"/><Relationship Id="rId47" Type="http://schemas.openxmlformats.org/officeDocument/2006/relationships/queryTable" Target="../queryTables/queryTable254.xml"/><Relationship Id="rId50" Type="http://schemas.openxmlformats.org/officeDocument/2006/relationships/queryTable" Target="../queryTables/queryTable257.xml"/><Relationship Id="rId7" Type="http://schemas.openxmlformats.org/officeDocument/2006/relationships/queryTable" Target="../queryTables/queryTable214.xml"/><Relationship Id="rId12" Type="http://schemas.openxmlformats.org/officeDocument/2006/relationships/queryTable" Target="../queryTables/queryTable219.xml"/><Relationship Id="rId17" Type="http://schemas.openxmlformats.org/officeDocument/2006/relationships/queryTable" Target="../queryTables/queryTable224.xml"/><Relationship Id="rId25" Type="http://schemas.openxmlformats.org/officeDocument/2006/relationships/queryTable" Target="../queryTables/queryTable232.xml"/><Relationship Id="rId33" Type="http://schemas.openxmlformats.org/officeDocument/2006/relationships/queryTable" Target="../queryTables/queryTable240.xml"/><Relationship Id="rId38" Type="http://schemas.openxmlformats.org/officeDocument/2006/relationships/queryTable" Target="../queryTables/queryTable245.xml"/><Relationship Id="rId46" Type="http://schemas.openxmlformats.org/officeDocument/2006/relationships/queryTable" Target="../queryTables/queryTable253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23.xml"/><Relationship Id="rId20" Type="http://schemas.openxmlformats.org/officeDocument/2006/relationships/queryTable" Target="../queryTables/queryTable227.xml"/><Relationship Id="rId29" Type="http://schemas.openxmlformats.org/officeDocument/2006/relationships/queryTable" Target="../queryTables/queryTable236.xml"/><Relationship Id="rId41" Type="http://schemas.openxmlformats.org/officeDocument/2006/relationships/queryTable" Target="../queryTables/queryTable248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213.xml"/><Relationship Id="rId11" Type="http://schemas.openxmlformats.org/officeDocument/2006/relationships/queryTable" Target="../queryTables/queryTable218.xml"/><Relationship Id="rId24" Type="http://schemas.openxmlformats.org/officeDocument/2006/relationships/queryTable" Target="../queryTables/queryTable231.xml"/><Relationship Id="rId32" Type="http://schemas.openxmlformats.org/officeDocument/2006/relationships/queryTable" Target="../queryTables/queryTable239.xml"/><Relationship Id="rId37" Type="http://schemas.openxmlformats.org/officeDocument/2006/relationships/queryTable" Target="../queryTables/queryTable244.xml"/><Relationship Id="rId40" Type="http://schemas.openxmlformats.org/officeDocument/2006/relationships/queryTable" Target="../queryTables/queryTable247.xml"/><Relationship Id="rId45" Type="http://schemas.openxmlformats.org/officeDocument/2006/relationships/queryTable" Target="../queryTables/queryTable252.xml"/><Relationship Id="rId5" Type="http://schemas.openxmlformats.org/officeDocument/2006/relationships/queryTable" Target="../queryTables/queryTable212.xml"/><Relationship Id="rId15" Type="http://schemas.openxmlformats.org/officeDocument/2006/relationships/queryTable" Target="../queryTables/queryTable222.xml"/><Relationship Id="rId23" Type="http://schemas.openxmlformats.org/officeDocument/2006/relationships/queryTable" Target="../queryTables/queryTable230.xml"/><Relationship Id="rId28" Type="http://schemas.openxmlformats.org/officeDocument/2006/relationships/queryTable" Target="../queryTables/queryTable235.xml"/><Relationship Id="rId36" Type="http://schemas.openxmlformats.org/officeDocument/2006/relationships/queryTable" Target="../queryTables/queryTable243.xml"/><Relationship Id="rId49" Type="http://schemas.openxmlformats.org/officeDocument/2006/relationships/queryTable" Target="../queryTables/queryTable256.xml"/><Relationship Id="rId10" Type="http://schemas.openxmlformats.org/officeDocument/2006/relationships/queryTable" Target="../queryTables/queryTable217.xml"/><Relationship Id="rId19" Type="http://schemas.openxmlformats.org/officeDocument/2006/relationships/queryTable" Target="../queryTables/queryTable226.xml"/><Relationship Id="rId31" Type="http://schemas.openxmlformats.org/officeDocument/2006/relationships/queryTable" Target="../queryTables/queryTable238.xml"/><Relationship Id="rId44" Type="http://schemas.openxmlformats.org/officeDocument/2006/relationships/queryTable" Target="../queryTables/queryTable251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216.xml"/><Relationship Id="rId14" Type="http://schemas.openxmlformats.org/officeDocument/2006/relationships/queryTable" Target="../queryTables/queryTable221.xml"/><Relationship Id="rId22" Type="http://schemas.openxmlformats.org/officeDocument/2006/relationships/queryTable" Target="../queryTables/queryTable229.xml"/><Relationship Id="rId27" Type="http://schemas.openxmlformats.org/officeDocument/2006/relationships/queryTable" Target="../queryTables/queryTable234.xml"/><Relationship Id="rId30" Type="http://schemas.openxmlformats.org/officeDocument/2006/relationships/queryTable" Target="../queryTables/queryTable237.xml"/><Relationship Id="rId35" Type="http://schemas.openxmlformats.org/officeDocument/2006/relationships/queryTable" Target="../queryTables/queryTable242.xml"/><Relationship Id="rId43" Type="http://schemas.openxmlformats.org/officeDocument/2006/relationships/queryTable" Target="../queryTables/queryTable250.xml"/><Relationship Id="rId48" Type="http://schemas.openxmlformats.org/officeDocument/2006/relationships/queryTable" Target="../queryTables/queryTable255.xml"/><Relationship Id="rId8" Type="http://schemas.openxmlformats.org/officeDocument/2006/relationships/queryTable" Target="../queryTables/queryTable215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6.xml"/><Relationship Id="rId18" Type="http://schemas.openxmlformats.org/officeDocument/2006/relationships/queryTable" Target="../queryTables/queryTable271.xml"/><Relationship Id="rId26" Type="http://schemas.openxmlformats.org/officeDocument/2006/relationships/queryTable" Target="../queryTables/queryTable279.xml"/><Relationship Id="rId39" Type="http://schemas.openxmlformats.org/officeDocument/2006/relationships/queryTable" Target="../queryTables/queryTable292.xml"/><Relationship Id="rId21" Type="http://schemas.openxmlformats.org/officeDocument/2006/relationships/queryTable" Target="../queryTables/queryTable274.xml"/><Relationship Id="rId34" Type="http://schemas.openxmlformats.org/officeDocument/2006/relationships/queryTable" Target="../queryTables/queryTable287.xml"/><Relationship Id="rId42" Type="http://schemas.openxmlformats.org/officeDocument/2006/relationships/queryTable" Target="../queryTables/queryTable295.xml"/><Relationship Id="rId47" Type="http://schemas.openxmlformats.org/officeDocument/2006/relationships/queryTable" Target="../queryTables/queryTable300.xml"/><Relationship Id="rId50" Type="http://schemas.openxmlformats.org/officeDocument/2006/relationships/queryTable" Target="../queryTables/queryTable303.xml"/><Relationship Id="rId55" Type="http://schemas.openxmlformats.org/officeDocument/2006/relationships/queryTable" Target="../queryTables/queryTable308.xml"/><Relationship Id="rId63" Type="http://schemas.openxmlformats.org/officeDocument/2006/relationships/queryTable" Target="../queryTables/queryTable316.xml"/><Relationship Id="rId7" Type="http://schemas.openxmlformats.org/officeDocument/2006/relationships/queryTable" Target="../queryTables/queryTable260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69.xml"/><Relationship Id="rId20" Type="http://schemas.openxmlformats.org/officeDocument/2006/relationships/queryTable" Target="../queryTables/queryTable273.xml"/><Relationship Id="rId29" Type="http://schemas.openxmlformats.org/officeDocument/2006/relationships/queryTable" Target="../queryTables/queryTable282.xml"/><Relationship Id="rId41" Type="http://schemas.openxmlformats.org/officeDocument/2006/relationships/queryTable" Target="../queryTables/queryTable294.xml"/><Relationship Id="rId54" Type="http://schemas.openxmlformats.org/officeDocument/2006/relationships/queryTable" Target="../queryTables/queryTable307.xml"/><Relationship Id="rId62" Type="http://schemas.openxmlformats.org/officeDocument/2006/relationships/queryTable" Target="../queryTables/queryTable315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259.xml"/><Relationship Id="rId11" Type="http://schemas.openxmlformats.org/officeDocument/2006/relationships/queryTable" Target="../queryTables/queryTable264.xml"/><Relationship Id="rId24" Type="http://schemas.openxmlformats.org/officeDocument/2006/relationships/queryTable" Target="../queryTables/queryTable277.xml"/><Relationship Id="rId32" Type="http://schemas.openxmlformats.org/officeDocument/2006/relationships/queryTable" Target="../queryTables/queryTable285.xml"/><Relationship Id="rId37" Type="http://schemas.openxmlformats.org/officeDocument/2006/relationships/queryTable" Target="../queryTables/queryTable290.xml"/><Relationship Id="rId40" Type="http://schemas.openxmlformats.org/officeDocument/2006/relationships/queryTable" Target="../queryTables/queryTable293.xml"/><Relationship Id="rId45" Type="http://schemas.openxmlformats.org/officeDocument/2006/relationships/queryTable" Target="../queryTables/queryTable298.xml"/><Relationship Id="rId53" Type="http://schemas.openxmlformats.org/officeDocument/2006/relationships/queryTable" Target="../queryTables/queryTable306.xml"/><Relationship Id="rId58" Type="http://schemas.openxmlformats.org/officeDocument/2006/relationships/queryTable" Target="../queryTables/queryTable311.xml"/><Relationship Id="rId5" Type="http://schemas.openxmlformats.org/officeDocument/2006/relationships/queryTable" Target="../queryTables/queryTable258.xml"/><Relationship Id="rId15" Type="http://schemas.openxmlformats.org/officeDocument/2006/relationships/queryTable" Target="../queryTables/queryTable268.xml"/><Relationship Id="rId23" Type="http://schemas.openxmlformats.org/officeDocument/2006/relationships/queryTable" Target="../queryTables/queryTable276.xml"/><Relationship Id="rId28" Type="http://schemas.openxmlformats.org/officeDocument/2006/relationships/queryTable" Target="../queryTables/queryTable281.xml"/><Relationship Id="rId36" Type="http://schemas.openxmlformats.org/officeDocument/2006/relationships/queryTable" Target="../queryTables/queryTable289.xml"/><Relationship Id="rId49" Type="http://schemas.openxmlformats.org/officeDocument/2006/relationships/queryTable" Target="../queryTables/queryTable302.xml"/><Relationship Id="rId57" Type="http://schemas.openxmlformats.org/officeDocument/2006/relationships/queryTable" Target="../queryTables/queryTable310.xml"/><Relationship Id="rId61" Type="http://schemas.openxmlformats.org/officeDocument/2006/relationships/queryTable" Target="../queryTables/queryTable314.xml"/><Relationship Id="rId10" Type="http://schemas.openxmlformats.org/officeDocument/2006/relationships/queryTable" Target="../queryTables/queryTable263.xml"/><Relationship Id="rId19" Type="http://schemas.openxmlformats.org/officeDocument/2006/relationships/queryTable" Target="../queryTables/queryTable272.xml"/><Relationship Id="rId31" Type="http://schemas.openxmlformats.org/officeDocument/2006/relationships/queryTable" Target="../queryTables/queryTable284.xml"/><Relationship Id="rId44" Type="http://schemas.openxmlformats.org/officeDocument/2006/relationships/queryTable" Target="../queryTables/queryTable297.xml"/><Relationship Id="rId52" Type="http://schemas.openxmlformats.org/officeDocument/2006/relationships/queryTable" Target="../queryTables/queryTable305.xml"/><Relationship Id="rId60" Type="http://schemas.openxmlformats.org/officeDocument/2006/relationships/queryTable" Target="../queryTables/queryTable313.xml"/><Relationship Id="rId65" Type="http://schemas.openxmlformats.org/officeDocument/2006/relationships/queryTable" Target="../queryTables/queryTable318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262.xml"/><Relationship Id="rId14" Type="http://schemas.openxmlformats.org/officeDocument/2006/relationships/queryTable" Target="../queryTables/queryTable267.xml"/><Relationship Id="rId22" Type="http://schemas.openxmlformats.org/officeDocument/2006/relationships/queryTable" Target="../queryTables/queryTable275.xml"/><Relationship Id="rId27" Type="http://schemas.openxmlformats.org/officeDocument/2006/relationships/queryTable" Target="../queryTables/queryTable280.xml"/><Relationship Id="rId30" Type="http://schemas.openxmlformats.org/officeDocument/2006/relationships/queryTable" Target="../queryTables/queryTable283.xml"/><Relationship Id="rId35" Type="http://schemas.openxmlformats.org/officeDocument/2006/relationships/queryTable" Target="../queryTables/queryTable288.xml"/><Relationship Id="rId43" Type="http://schemas.openxmlformats.org/officeDocument/2006/relationships/queryTable" Target="../queryTables/queryTable296.xml"/><Relationship Id="rId48" Type="http://schemas.openxmlformats.org/officeDocument/2006/relationships/queryTable" Target="../queryTables/queryTable301.xml"/><Relationship Id="rId56" Type="http://schemas.openxmlformats.org/officeDocument/2006/relationships/queryTable" Target="../queryTables/queryTable309.xml"/><Relationship Id="rId64" Type="http://schemas.openxmlformats.org/officeDocument/2006/relationships/queryTable" Target="../queryTables/queryTable317.xml"/><Relationship Id="rId8" Type="http://schemas.openxmlformats.org/officeDocument/2006/relationships/queryTable" Target="../queryTables/queryTable261.xml"/><Relationship Id="rId51" Type="http://schemas.openxmlformats.org/officeDocument/2006/relationships/queryTable" Target="../queryTables/queryTable304.xml"/><Relationship Id="rId3" Type="http://schemas.openxmlformats.org/officeDocument/2006/relationships/ctrlProp" Target="../ctrlProps/ctrlProp9.xml"/><Relationship Id="rId12" Type="http://schemas.openxmlformats.org/officeDocument/2006/relationships/queryTable" Target="../queryTables/queryTable265.xml"/><Relationship Id="rId17" Type="http://schemas.openxmlformats.org/officeDocument/2006/relationships/queryTable" Target="../queryTables/queryTable270.xml"/><Relationship Id="rId25" Type="http://schemas.openxmlformats.org/officeDocument/2006/relationships/queryTable" Target="../queryTables/queryTable278.xml"/><Relationship Id="rId33" Type="http://schemas.openxmlformats.org/officeDocument/2006/relationships/queryTable" Target="../queryTables/queryTable286.xml"/><Relationship Id="rId38" Type="http://schemas.openxmlformats.org/officeDocument/2006/relationships/queryTable" Target="../queryTables/queryTable291.xml"/><Relationship Id="rId46" Type="http://schemas.openxmlformats.org/officeDocument/2006/relationships/queryTable" Target="../queryTables/queryTable299.xml"/><Relationship Id="rId59" Type="http://schemas.openxmlformats.org/officeDocument/2006/relationships/queryTable" Target="../queryTables/queryTable3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20.xml"/><Relationship Id="rId13" Type="http://schemas.openxmlformats.org/officeDocument/2006/relationships/queryTable" Target="../queryTables/queryTable325.xml"/><Relationship Id="rId18" Type="http://schemas.openxmlformats.org/officeDocument/2006/relationships/queryTable" Target="../queryTables/queryTable330.xml"/><Relationship Id="rId26" Type="http://schemas.openxmlformats.org/officeDocument/2006/relationships/queryTable" Target="../queryTables/queryTable338.xml"/><Relationship Id="rId3" Type="http://schemas.openxmlformats.org/officeDocument/2006/relationships/vmlDrawing" Target="../drawings/vmlDrawing11.vml"/><Relationship Id="rId21" Type="http://schemas.openxmlformats.org/officeDocument/2006/relationships/queryTable" Target="../queryTables/queryTable333.xml"/><Relationship Id="rId7" Type="http://schemas.openxmlformats.org/officeDocument/2006/relationships/queryTable" Target="../queryTables/queryTable319.xml"/><Relationship Id="rId12" Type="http://schemas.openxmlformats.org/officeDocument/2006/relationships/queryTable" Target="../queryTables/queryTable324.xml"/><Relationship Id="rId17" Type="http://schemas.openxmlformats.org/officeDocument/2006/relationships/queryTable" Target="../queryTables/queryTable329.xml"/><Relationship Id="rId25" Type="http://schemas.openxmlformats.org/officeDocument/2006/relationships/queryTable" Target="../queryTables/queryTable337.xml"/><Relationship Id="rId2" Type="http://schemas.openxmlformats.org/officeDocument/2006/relationships/drawing" Target="../drawings/drawing10.xml"/><Relationship Id="rId16" Type="http://schemas.openxmlformats.org/officeDocument/2006/relationships/queryTable" Target="../queryTables/queryTable328.xml"/><Relationship Id="rId20" Type="http://schemas.openxmlformats.org/officeDocument/2006/relationships/queryTable" Target="../queryTables/queryTable3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queryTable" Target="../queryTables/queryTable323.xml"/><Relationship Id="rId24" Type="http://schemas.openxmlformats.org/officeDocument/2006/relationships/queryTable" Target="../queryTables/queryTable336.xml"/><Relationship Id="rId5" Type="http://schemas.openxmlformats.org/officeDocument/2006/relationships/ctrlProp" Target="../ctrlProps/ctrlProp20.xml"/><Relationship Id="rId15" Type="http://schemas.openxmlformats.org/officeDocument/2006/relationships/queryTable" Target="../queryTables/queryTable327.xml"/><Relationship Id="rId23" Type="http://schemas.openxmlformats.org/officeDocument/2006/relationships/queryTable" Target="../queryTables/queryTable335.xml"/><Relationship Id="rId10" Type="http://schemas.openxmlformats.org/officeDocument/2006/relationships/queryTable" Target="../queryTables/queryTable322.xml"/><Relationship Id="rId19" Type="http://schemas.openxmlformats.org/officeDocument/2006/relationships/queryTable" Target="../queryTables/queryTable331.xml"/><Relationship Id="rId4" Type="http://schemas.openxmlformats.org/officeDocument/2006/relationships/ctrlProp" Target="../ctrlProps/ctrlProp19.xml"/><Relationship Id="rId9" Type="http://schemas.openxmlformats.org/officeDocument/2006/relationships/queryTable" Target="../queryTables/queryTable321.xml"/><Relationship Id="rId14" Type="http://schemas.openxmlformats.org/officeDocument/2006/relationships/queryTable" Target="../queryTables/queryTable326.xml"/><Relationship Id="rId22" Type="http://schemas.openxmlformats.org/officeDocument/2006/relationships/queryTable" Target="../queryTables/queryTable334.xml"/><Relationship Id="rId27" Type="http://schemas.openxmlformats.org/officeDocument/2006/relationships/queryTable" Target="../queryTables/queryTable3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8D5D-418B-4733-B7D6-D554B4E83B67}">
  <sheetPr codeName="Sheet1"/>
  <dimension ref="A1:K3"/>
  <sheetViews>
    <sheetView workbookViewId="0">
      <selection activeCell="D1" sqref="D1"/>
    </sheetView>
  </sheetViews>
  <sheetFormatPr defaultColWidth="8.77734375" defaultRowHeight="14.4" x14ac:dyDescent="0.3"/>
  <cols>
    <col min="1" max="1" width="10.5546875" style="49" bestFit="1" customWidth="1"/>
    <col min="2" max="2" width="1.33203125" style="49" customWidth="1"/>
    <col min="3" max="3" width="4.21875" style="49" bestFit="1" customWidth="1"/>
    <col min="4" max="4" width="7" style="49" bestFit="1" customWidth="1"/>
    <col min="5" max="5" width="1.33203125" style="49" customWidth="1"/>
    <col min="6" max="6" width="8.77734375" style="49"/>
    <col min="7" max="7" width="2.88671875" style="49" bestFit="1" customWidth="1"/>
    <col min="8" max="8" width="1.33203125" style="49" customWidth="1"/>
    <col min="9" max="9" width="18.21875" style="49" bestFit="1" customWidth="1"/>
    <col min="10" max="10" width="2" style="51" bestFit="1" customWidth="1"/>
    <col min="11" max="16384" width="8.77734375" style="49"/>
  </cols>
  <sheetData>
    <row r="1" spans="1:11" x14ac:dyDescent="0.3">
      <c r="A1" s="3" t="s">
        <v>11</v>
      </c>
      <c r="B1" s="3"/>
      <c r="C1" s="49" t="s">
        <v>14</v>
      </c>
      <c r="D1" s="53" t="s">
        <v>75</v>
      </c>
      <c r="E1" s="3"/>
      <c r="F1" s="49" t="s">
        <v>15</v>
      </c>
      <c r="G1" s="53" t="s">
        <v>6</v>
      </c>
      <c r="H1" s="3"/>
      <c r="I1" s="50" t="s">
        <v>86</v>
      </c>
      <c r="J1" s="52">
        <v>0</v>
      </c>
      <c r="K1" s="3" t="s">
        <v>143</v>
      </c>
    </row>
    <row r="2" spans="1:11" x14ac:dyDescent="0.3">
      <c r="A2" s="3" t="s">
        <v>13</v>
      </c>
      <c r="B2" s="3"/>
      <c r="C2" s="49" t="s">
        <v>14</v>
      </c>
      <c r="D2" s="53" t="s">
        <v>147</v>
      </c>
      <c r="E2" s="3"/>
      <c r="H2" s="3"/>
    </row>
    <row r="3" spans="1:11" x14ac:dyDescent="0.3">
      <c r="A3" s="3" t="s">
        <v>12</v>
      </c>
      <c r="B3" s="3"/>
      <c r="C3" s="49" t="s">
        <v>14</v>
      </c>
      <c r="D3" s="53" t="s">
        <v>146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15DD51-81A5-45EA-BAEE-D8B43D72D1B6}">
          <x14:formula1>
            <xm:f>Internal!$A$2:$A$3</xm:f>
          </x14:formula1>
          <xm:sqref>G1</xm:sqref>
        </x14:dataValidation>
        <x14:dataValidation type="list" allowBlank="1" showInputMessage="1" showErrorMessage="1" xr:uid="{C8B68B2F-7C22-4A78-893C-DDCB3D8897DF}">
          <x14:formula1>
            <xm:f>Internal!$G$2:$G$5</xm:f>
          </x14:formula1>
          <xm:sqref>J1</xm:sqref>
        </x14:dataValidation>
        <x14:dataValidation type="list" allowBlank="1" showInputMessage="1" showErrorMessage="1" xr:uid="{D8948F9F-33EB-4889-AA66-8A7E230F36BD}">
          <x14:formula1>
            <xm:f>Internal!$H$2:$H$31</xm:f>
          </x14:formula1>
          <xm:sqref>D2:D3</xm:sqref>
        </x14:dataValidation>
        <x14:dataValidation type="list" allowBlank="1" showInputMessage="1" showErrorMessage="1" xr:uid="{A80E2825-371F-4C1C-A903-FF1BA3DA9949}">
          <x14:formula1>
            <xm:f>Internal!$H$2:$H$41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B802-58FC-4019-B2F5-E2E4833F523F}">
  <sheetPr codeName="Sheet2"/>
  <dimension ref="A1:BB40"/>
  <sheetViews>
    <sheetView topLeftCell="AB10" workbookViewId="0">
      <selection activeCell="AN26" sqref="AN26"/>
    </sheetView>
  </sheetViews>
  <sheetFormatPr defaultColWidth="12.21875" defaultRowHeight="14.4" x14ac:dyDescent="0.3"/>
  <cols>
    <col min="1" max="1" width="2.77734375" style="11" bestFit="1" customWidth="1"/>
    <col min="2" max="2" width="11.5546875" style="11" bestFit="1" customWidth="1"/>
    <col min="3" max="3" width="9.5546875" style="54" bestFit="1" customWidth="1"/>
    <col min="4" max="4" width="12.21875" style="12"/>
    <col min="5" max="6" width="12.21875" style="12" customWidth="1"/>
    <col min="7" max="7" width="12.44140625" style="12" customWidth="1"/>
    <col min="8" max="8" width="12.21875" style="95" customWidth="1"/>
    <col min="9" max="10" width="12.44140625" style="70" customWidth="1"/>
    <col min="11" max="11" width="12.21875" style="12" customWidth="1"/>
    <col min="12" max="12" width="12.21875" style="70"/>
    <col min="13" max="14" width="12.21875" style="12"/>
    <col min="15" max="16" width="12.21875" style="13"/>
    <col min="17" max="17" width="12.21875" style="77" customWidth="1"/>
    <col min="18" max="18" width="14" style="77" bestFit="1" customWidth="1"/>
    <col min="19" max="19" width="12.21875" style="77" customWidth="1"/>
    <col min="20" max="21" width="12.21875" style="14"/>
    <col min="22" max="22" width="12.21875" style="100"/>
    <col min="23" max="23" width="14" style="100" bestFit="1" customWidth="1"/>
    <col min="24" max="24" width="12.21875" style="100"/>
    <col min="25" max="26" width="12.21875" style="13"/>
    <col min="27" max="27" width="12.21875" style="77"/>
    <col min="28" max="28" width="14" style="77" bestFit="1" customWidth="1"/>
    <col min="29" max="29" width="12.21875" style="77"/>
    <col min="30" max="31" width="12.21875" style="14"/>
    <col min="32" max="32" width="12.21875" style="100"/>
    <col min="33" max="33" width="14" style="100" bestFit="1" customWidth="1"/>
    <col min="34" max="34" width="12.21875" style="100"/>
    <col min="35" max="36" width="12.21875" style="13"/>
    <col min="37" max="37" width="12.21875" style="77"/>
    <col min="38" max="38" width="14" style="13" bestFit="1" customWidth="1"/>
    <col min="39" max="39" width="12.21875" style="13"/>
    <col min="40" max="41" width="12.21875" style="14"/>
    <col min="42" max="42" width="12.21875" style="100"/>
    <col min="43" max="43" width="14" style="100" bestFit="1" customWidth="1"/>
    <col min="44" max="44" width="12.21875" style="100"/>
    <col min="45" max="46" width="12.21875" style="13"/>
    <col min="47" max="47" width="12.21875" style="77"/>
    <col min="48" max="48" width="14" style="77" bestFit="1" customWidth="1"/>
    <col min="49" max="49" width="12.21875" style="77"/>
    <col min="50" max="51" width="12.21875" style="14"/>
    <col min="52" max="52" width="12.21875" style="100"/>
    <col min="53" max="53" width="14" style="100" bestFit="1" customWidth="1"/>
    <col min="54" max="54" width="12.21875" style="100"/>
    <col min="55" max="16384" width="12.21875" style="16"/>
  </cols>
  <sheetData>
    <row r="1" spans="1:54" s="10" customFormat="1" ht="15" thickBot="1" x14ac:dyDescent="0.35">
      <c r="A1" s="6" t="s">
        <v>23</v>
      </c>
      <c r="B1" s="57" t="s">
        <v>89</v>
      </c>
      <c r="C1" s="57" t="s">
        <v>87</v>
      </c>
      <c r="D1" s="7" t="s">
        <v>51</v>
      </c>
      <c r="E1" s="7" t="s">
        <v>31</v>
      </c>
      <c r="F1" s="7"/>
      <c r="G1" s="7" t="s">
        <v>32</v>
      </c>
      <c r="H1" s="66" t="s">
        <v>154</v>
      </c>
      <c r="I1" s="66" t="s">
        <v>167</v>
      </c>
      <c r="J1" s="66" t="s">
        <v>155</v>
      </c>
      <c r="K1" s="7" t="s">
        <v>33</v>
      </c>
      <c r="L1" s="66" t="s">
        <v>168</v>
      </c>
      <c r="M1" s="66" t="s">
        <v>167</v>
      </c>
      <c r="N1" s="66" t="s">
        <v>155</v>
      </c>
      <c r="O1" s="8" t="s">
        <v>53</v>
      </c>
      <c r="P1" s="8" t="s">
        <v>46</v>
      </c>
      <c r="Q1" s="73" t="s">
        <v>160</v>
      </c>
      <c r="R1" s="73" t="s">
        <v>162</v>
      </c>
      <c r="S1" s="73" t="s">
        <v>161</v>
      </c>
      <c r="T1" s="9" t="s">
        <v>54</v>
      </c>
      <c r="U1" s="9" t="s">
        <v>16</v>
      </c>
      <c r="V1" s="99" t="s">
        <v>169</v>
      </c>
      <c r="W1" s="99" t="s">
        <v>162</v>
      </c>
      <c r="X1" s="99" t="s">
        <v>161</v>
      </c>
      <c r="Y1" s="8" t="s">
        <v>55</v>
      </c>
      <c r="Z1" s="8" t="s">
        <v>17</v>
      </c>
      <c r="AA1" s="73" t="s">
        <v>170</v>
      </c>
      <c r="AB1" s="73" t="s">
        <v>162</v>
      </c>
      <c r="AC1" s="73" t="s">
        <v>161</v>
      </c>
      <c r="AD1" s="9" t="s">
        <v>56</v>
      </c>
      <c r="AE1" s="9" t="s">
        <v>18</v>
      </c>
      <c r="AF1" s="99" t="s">
        <v>171</v>
      </c>
      <c r="AG1" s="99" t="s">
        <v>162</v>
      </c>
      <c r="AH1" s="99" t="s">
        <v>161</v>
      </c>
      <c r="AI1" s="8" t="s">
        <v>57</v>
      </c>
      <c r="AJ1" s="8" t="s">
        <v>19</v>
      </c>
      <c r="AK1" s="73" t="s">
        <v>173</v>
      </c>
      <c r="AL1" s="73" t="s">
        <v>174</v>
      </c>
      <c r="AM1" s="73" t="s">
        <v>175</v>
      </c>
      <c r="AN1" s="9" t="s">
        <v>58</v>
      </c>
      <c r="AO1" s="9" t="s">
        <v>20</v>
      </c>
      <c r="AP1" s="99" t="s">
        <v>176</v>
      </c>
      <c r="AQ1" s="99" t="s">
        <v>177</v>
      </c>
      <c r="AR1" s="99" t="s">
        <v>178</v>
      </c>
      <c r="AS1" s="8" t="s">
        <v>59</v>
      </c>
      <c r="AT1" s="8" t="s">
        <v>21</v>
      </c>
      <c r="AU1" s="73" t="s">
        <v>179</v>
      </c>
      <c r="AV1" s="73" t="s">
        <v>180</v>
      </c>
      <c r="AW1" s="73" t="s">
        <v>181</v>
      </c>
      <c r="AX1" s="9" t="s">
        <v>60</v>
      </c>
      <c r="AY1" s="9" t="s">
        <v>22</v>
      </c>
      <c r="AZ1" s="99" t="s">
        <v>182</v>
      </c>
      <c r="BA1" s="99" t="s">
        <v>183</v>
      </c>
      <c r="BB1" s="99" t="s">
        <v>184</v>
      </c>
    </row>
    <row r="2" spans="1:54" x14ac:dyDescent="0.3">
      <c r="A2" s="11">
        <v>1</v>
      </c>
      <c r="B2" s="11">
        <v>-5000</v>
      </c>
      <c r="C2" s="58">
        <v>-29475</v>
      </c>
      <c r="D2" s="12">
        <f>Voltage!L2</f>
        <v>-8.9930371999999998</v>
      </c>
      <c r="E2" s="12">
        <f>Voltage!M2</f>
        <v>0</v>
      </c>
      <c r="G2" s="12">
        <f>Voltage!N2</f>
        <v>-29531</v>
      </c>
      <c r="H2" s="82">
        <f t="shared" ref="H2:H11" si="0">G2*H$26+H$32</f>
        <v>-8.9928669157000005</v>
      </c>
      <c r="I2" s="79">
        <f t="shared" ref="I2:I22" si="1">ABS($D2-H2)</f>
        <v>1.7028429999932371E-4</v>
      </c>
      <c r="J2" s="85">
        <f t="shared" ref="J2:J22" si="2">ABS(I2/$D2)</f>
        <v>1.8935126833382133E-5</v>
      </c>
      <c r="K2" s="12">
        <f>Voltage!O2</f>
        <v>-29529</v>
      </c>
      <c r="L2" s="82">
        <f t="shared" ref="L2:L11" si="3">K2*L$26+L$32</f>
        <v>-8.9927848828999988</v>
      </c>
      <c r="M2" s="112">
        <f>ABS($D2-L2)</f>
        <v>2.5231710000106489E-4</v>
      </c>
      <c r="N2" s="85">
        <f>ABS(M2/$D2)</f>
        <v>2.8056939428768836E-5</v>
      </c>
      <c r="O2" s="61">
        <f>'Range 0'!L2*1000</f>
        <v>-99.496392999999998</v>
      </c>
      <c r="P2" s="13">
        <f>'Range 0'!M2</f>
        <v>-27331</v>
      </c>
      <c r="Q2" s="91">
        <f t="shared" ref="Q2:Q11" si="4">P2*Q$26+Q$32</f>
        <v>-99.37141235899999</v>
      </c>
      <c r="R2" s="91">
        <f t="shared" ref="R2:R22" si="5">ABS(Q2-O2)</f>
        <v>0.12498064100000761</v>
      </c>
      <c r="S2" s="88">
        <f t="shared" ref="S2:S22" si="6">ABS(R2/CUR_RNG_R0)</f>
        <v>1.2498064100000762E-4</v>
      </c>
      <c r="T2" s="15">
        <f>'Range 1'!L2*1000</f>
        <v>-5.0619170000000002</v>
      </c>
      <c r="U2" s="14">
        <f>'Range 1'!M2</f>
        <v>-27566</v>
      </c>
      <c r="V2" s="100">
        <f t="shared" ref="V2:V11" si="7">U2*V$26+V$32</f>
        <v>-5.0544433169999996</v>
      </c>
      <c r="W2" s="107">
        <f t="shared" ref="W2:W22" si="8">ABS(V2-T2)</f>
        <v>7.4736830000006194E-3</v>
      </c>
      <c r="X2" s="118">
        <f t="shared" ref="X2:X22" si="9">ABS(W2/CUR_RNG_R1)</f>
        <v>7.4736830000006195E-5</v>
      </c>
      <c r="Y2" s="61">
        <f>'Range 2'!L2*1000</f>
        <v>-0.2452</v>
      </c>
      <c r="Z2" s="13">
        <f>'Range 2'!M2</f>
        <v>-27591</v>
      </c>
      <c r="AA2" s="77">
        <f t="shared" ref="AA2:AA11" si="10">Z2*AA$26+AA$32</f>
        <v>-0.24491596624099998</v>
      </c>
      <c r="AB2" s="91">
        <f t="shared" ref="AB2:AB22" si="11">ABS(AA2-Y2)</f>
        <v>2.8403375900001859E-4</v>
      </c>
      <c r="AC2" s="115">
        <f t="shared" ref="AC2:AC22" si="12">ABS(AB2/CUR_RNG_R2)</f>
        <v>2.8403375900001859E-5</v>
      </c>
      <c r="AD2" s="15">
        <f>'Range 3'!L2*1000</f>
        <v>-1.2678E-2</v>
      </c>
      <c r="AE2" s="14">
        <f>'Range 3'!M2</f>
        <v>-27602</v>
      </c>
      <c r="AF2" s="100">
        <f t="shared" ref="AF2:AF11" si="13">AE2*AF$26+AF$32</f>
        <v>-1.2661623886799998E-2</v>
      </c>
      <c r="AG2" s="107">
        <f t="shared" ref="AG2:AG22" si="14">ABS(AF2-AD2)</f>
        <v>1.6376113200001693E-5</v>
      </c>
      <c r="AH2" s="118">
        <f t="shared" ref="AH2:AH22" si="15">ABS(AG2/CUR_RNG_R3)</f>
        <v>1.6376113200001693E-5</v>
      </c>
      <c r="AK2" s="77">
        <f t="shared" ref="AK2:AK11" si="16">AJ2*AK$26+AK$32</f>
        <v>0</v>
      </c>
      <c r="AL2" s="91">
        <f t="shared" ref="AL2:AL22" si="17">ABS(AK2-AI2)</f>
        <v>0</v>
      </c>
      <c r="AM2" s="122">
        <f t="shared" ref="AM2:AM22" si="18">ABS(AL2/CUR_RNG_R3)</f>
        <v>0</v>
      </c>
      <c r="AP2" s="100" t="e">
        <f t="shared" ref="AP2:AP11" si="19">AO2*AO$26+AO$32</f>
        <v>#DIV/0!</v>
      </c>
      <c r="AQ2" s="107" t="e">
        <f t="shared" ref="AQ2:AQ22" si="20">ABS(AP2-AN2)</f>
        <v>#DIV/0!</v>
      </c>
      <c r="AR2" s="118" t="e">
        <f t="shared" ref="AR2:AR22" si="21">ABS(AQ2/CUR_RNG_R3)</f>
        <v>#DIV/0!</v>
      </c>
      <c r="AU2" s="77" t="e">
        <f t="shared" ref="AU2:AU11" si="22">AT2*AT$26+AT$32</f>
        <v>#DIV/0!</v>
      </c>
      <c r="AV2" s="91" t="e">
        <f t="shared" ref="AV2:AV22" si="23">ABS(AU2-AS2)</f>
        <v>#DIV/0!</v>
      </c>
      <c r="AW2" s="122" t="e">
        <f t="shared" ref="AW2:AW22" si="24">ABS(AV2/CUR_RNG_R3)</f>
        <v>#DIV/0!</v>
      </c>
      <c r="AZ2" s="100" t="e">
        <f t="shared" ref="AZ2:AZ11" si="25">AY2*AY$26+AY$32</f>
        <v>#DIV/0!</v>
      </c>
      <c r="BA2" s="107" t="e">
        <f t="shared" ref="BA2:BA22" si="26">ABS(AZ2-AX2)</f>
        <v>#DIV/0!</v>
      </c>
      <c r="BB2" s="118" t="e">
        <f t="shared" ref="BB2:BB22" si="27">ABS(BA2/CUR_RNG_R3)</f>
        <v>#DIV/0!</v>
      </c>
    </row>
    <row r="3" spans="1:54" x14ac:dyDescent="0.3">
      <c r="A3" s="11">
        <v>2</v>
      </c>
      <c r="B3" s="11">
        <v>-4500</v>
      </c>
      <c r="C3" s="58">
        <v>-26200</v>
      </c>
      <c r="D3" s="12">
        <f>Voltage!L3</f>
        <v>-7.9926836000000003</v>
      </c>
      <c r="E3" s="12">
        <f>Voltage!M3</f>
        <v>0</v>
      </c>
      <c r="G3" s="12">
        <f>Voltage!N3</f>
        <v>-26247</v>
      </c>
      <c r="H3" s="82">
        <f t="shared" si="0"/>
        <v>-7.9925483649000002</v>
      </c>
      <c r="I3" s="79">
        <f t="shared" si="1"/>
        <v>1.3523510000013061E-4</v>
      </c>
      <c r="J3" s="85">
        <f t="shared" si="2"/>
        <v>1.6919861559405482E-5</v>
      </c>
      <c r="K3" s="12">
        <f>Voltage!O3</f>
        <v>-26245</v>
      </c>
      <c r="L3" s="82">
        <f t="shared" si="3"/>
        <v>-7.9925077105</v>
      </c>
      <c r="M3" s="112">
        <f t="shared" ref="M3:M22" si="28">ABS($D3-L3)</f>
        <v>1.7588950000035908E-4</v>
      </c>
      <c r="N3" s="85">
        <f t="shared" ref="N3:N22" si="29">ABS(M3/$D3)</f>
        <v>2.2006313373941023E-5</v>
      </c>
      <c r="O3" s="13">
        <f>'Range 0'!L3*1000</f>
        <v>-89.517392999999998</v>
      </c>
      <c r="P3" s="13">
        <f>'Range 0'!M3</f>
        <v>-24628</v>
      </c>
      <c r="Q3" s="91">
        <f t="shared" si="4"/>
        <v>-89.534441221999998</v>
      </c>
      <c r="R3" s="91">
        <f t="shared" si="5"/>
        <v>1.7048221999999669E-2</v>
      </c>
      <c r="S3" s="88">
        <f t="shared" si="6"/>
        <v>1.7048221999999669E-5</v>
      </c>
      <c r="T3" s="14">
        <f>'Range 1'!L3*1000</f>
        <v>-4.5545456</v>
      </c>
      <c r="U3" s="14">
        <f>'Range 1'!M3</f>
        <v>-24849</v>
      </c>
      <c r="V3" s="100">
        <f t="shared" si="7"/>
        <v>-4.5557814389999995</v>
      </c>
      <c r="W3" s="107">
        <f t="shared" si="8"/>
        <v>1.2358389999995723E-3</v>
      </c>
      <c r="X3" s="118">
        <f t="shared" si="9"/>
        <v>1.2358389999995722E-5</v>
      </c>
      <c r="Y3" s="13">
        <f>'Range 2'!L3*1000</f>
        <v>-0.22070000000000001</v>
      </c>
      <c r="Z3" s="13">
        <f>'Range 2'!M3</f>
        <v>-24862</v>
      </c>
      <c r="AA3" s="77">
        <f t="shared" si="10"/>
        <v>-0.22066920786199998</v>
      </c>
      <c r="AB3" s="91">
        <f t="shared" si="11"/>
        <v>3.0792138000029778E-5</v>
      </c>
      <c r="AC3" s="115">
        <f t="shared" si="12"/>
        <v>3.0792138000029779E-6</v>
      </c>
      <c r="AD3" s="14">
        <f>'Range 3'!L3*1000</f>
        <v>-1.1408E-2</v>
      </c>
      <c r="AE3" s="14">
        <f>'Range 3'!M3</f>
        <v>-24878</v>
      </c>
      <c r="AF3" s="100">
        <f t="shared" si="13"/>
        <v>-1.14109308852E-2</v>
      </c>
      <c r="AG3" s="107">
        <f t="shared" si="14"/>
        <v>2.9308852000000524E-6</v>
      </c>
      <c r="AH3" s="118">
        <f t="shared" si="15"/>
        <v>2.9308852000000524E-6</v>
      </c>
      <c r="AK3" s="77">
        <f t="shared" si="16"/>
        <v>0</v>
      </c>
      <c r="AL3" s="91">
        <f t="shared" si="17"/>
        <v>0</v>
      </c>
      <c r="AM3" s="122">
        <f t="shared" si="18"/>
        <v>0</v>
      </c>
      <c r="AP3" s="100" t="e">
        <f t="shared" si="19"/>
        <v>#DIV/0!</v>
      </c>
      <c r="AQ3" s="107" t="e">
        <f t="shared" si="20"/>
        <v>#DIV/0!</v>
      </c>
      <c r="AR3" s="118" t="e">
        <f t="shared" si="21"/>
        <v>#DIV/0!</v>
      </c>
      <c r="AU3" s="77" t="e">
        <f t="shared" si="22"/>
        <v>#DIV/0!</v>
      </c>
      <c r="AV3" s="91" t="e">
        <f t="shared" si="23"/>
        <v>#DIV/0!</v>
      </c>
      <c r="AW3" s="122" t="e">
        <f t="shared" si="24"/>
        <v>#DIV/0!</v>
      </c>
      <c r="AZ3" s="100" t="e">
        <f t="shared" si="25"/>
        <v>#DIV/0!</v>
      </c>
      <c r="BA3" s="107" t="e">
        <f t="shared" si="26"/>
        <v>#DIV/0!</v>
      </c>
      <c r="BB3" s="118" t="e">
        <f t="shared" si="27"/>
        <v>#DIV/0!</v>
      </c>
    </row>
    <row r="4" spans="1:54" x14ac:dyDescent="0.3">
      <c r="A4" s="11">
        <v>3</v>
      </c>
      <c r="B4" s="11">
        <v>-4000</v>
      </c>
      <c r="C4" s="58">
        <v>-22925</v>
      </c>
      <c r="D4" s="12">
        <f>Voltage!L4</f>
        <v>-6.9928371</v>
      </c>
      <c r="E4" s="12">
        <f>Voltage!M4</f>
        <v>0</v>
      </c>
      <c r="G4" s="12">
        <f>Voltage!N4</f>
        <v>-22964</v>
      </c>
      <c r="H4" s="82">
        <f t="shared" si="0"/>
        <v>-6.9925344178</v>
      </c>
      <c r="I4" s="79">
        <f t="shared" si="1"/>
        <v>3.0268220000007062E-4</v>
      </c>
      <c r="J4" s="85">
        <f t="shared" si="2"/>
        <v>4.3284606186532015E-5</v>
      </c>
      <c r="K4" s="12">
        <f>Voltage!O4</f>
        <v>-22962</v>
      </c>
      <c r="L4" s="82">
        <f t="shared" si="3"/>
        <v>-6.9925351291999993</v>
      </c>
      <c r="M4" s="112">
        <f t="shared" si="28"/>
        <v>3.0197080000071708E-4</v>
      </c>
      <c r="N4" s="85">
        <f t="shared" si="29"/>
        <v>4.3182873515059731E-5</v>
      </c>
      <c r="O4" s="13">
        <f>'Range 0'!L4*1000</f>
        <v>-79.530425000000008</v>
      </c>
      <c r="P4" s="13">
        <f>'Range 0'!M4</f>
        <v>-21888</v>
      </c>
      <c r="Q4" s="91">
        <f t="shared" si="4"/>
        <v>-79.562816761999997</v>
      </c>
      <c r="R4" s="91">
        <f t="shared" si="5"/>
        <v>3.2391761999988944E-2</v>
      </c>
      <c r="S4" s="88">
        <f t="shared" si="6"/>
        <v>3.2391761999988941E-5</v>
      </c>
      <c r="T4" s="14">
        <f>'Range 1'!L4*1000</f>
        <v>-4.0466940999999998</v>
      </c>
      <c r="U4" s="14">
        <f>'Range 1'!M4</f>
        <v>-22087</v>
      </c>
      <c r="V4" s="100">
        <f t="shared" si="7"/>
        <v>-4.0488605309999999</v>
      </c>
      <c r="W4" s="107">
        <f t="shared" si="8"/>
        <v>2.1664310000000242E-3</v>
      </c>
      <c r="X4" s="118">
        <f t="shared" si="9"/>
        <v>2.1664310000000243E-5</v>
      </c>
      <c r="Y4" s="13">
        <f>'Range 2'!L4*1000</f>
        <v>-0.19600000000000001</v>
      </c>
      <c r="Z4" s="13">
        <f>'Range 2'!M4</f>
        <v>-22098</v>
      </c>
      <c r="AA4" s="77">
        <f t="shared" si="10"/>
        <v>-0.196111479698</v>
      </c>
      <c r="AB4" s="91">
        <f t="shared" si="11"/>
        <v>1.114796979999888E-4</v>
      </c>
      <c r="AC4" s="115">
        <f t="shared" si="12"/>
        <v>1.1147969799998881E-5</v>
      </c>
      <c r="AD4" s="14">
        <f>'Range 3'!L4*1000</f>
        <v>-1.0135999999999999E-2</v>
      </c>
      <c r="AE4" s="14">
        <f>'Range 3'!M4</f>
        <v>-22114</v>
      </c>
      <c r="AF4" s="100">
        <f t="shared" si="13"/>
        <v>-1.0141872347599999E-2</v>
      </c>
      <c r="AG4" s="107">
        <f t="shared" si="14"/>
        <v>5.8723475999996472E-6</v>
      </c>
      <c r="AH4" s="118">
        <f t="shared" si="15"/>
        <v>5.8723475999996472E-6</v>
      </c>
      <c r="AK4" s="77">
        <f t="shared" si="16"/>
        <v>0</v>
      </c>
      <c r="AL4" s="91">
        <f t="shared" si="17"/>
        <v>0</v>
      </c>
      <c r="AM4" s="122">
        <f t="shared" si="18"/>
        <v>0</v>
      </c>
      <c r="AP4" s="100" t="e">
        <f t="shared" si="19"/>
        <v>#DIV/0!</v>
      </c>
      <c r="AQ4" s="107" t="e">
        <f t="shared" si="20"/>
        <v>#DIV/0!</v>
      </c>
      <c r="AR4" s="118" t="e">
        <f t="shared" si="21"/>
        <v>#DIV/0!</v>
      </c>
      <c r="AU4" s="77" t="e">
        <f t="shared" si="22"/>
        <v>#DIV/0!</v>
      </c>
      <c r="AV4" s="91" t="e">
        <f t="shared" si="23"/>
        <v>#DIV/0!</v>
      </c>
      <c r="AW4" s="122" t="e">
        <f t="shared" si="24"/>
        <v>#DIV/0!</v>
      </c>
      <c r="AZ4" s="100" t="e">
        <f t="shared" si="25"/>
        <v>#DIV/0!</v>
      </c>
      <c r="BA4" s="107" t="e">
        <f t="shared" si="26"/>
        <v>#DIV/0!</v>
      </c>
      <c r="BB4" s="118" t="e">
        <f t="shared" si="27"/>
        <v>#DIV/0!</v>
      </c>
    </row>
    <row r="5" spans="1:54" x14ac:dyDescent="0.3">
      <c r="A5" s="11">
        <v>4</v>
      </c>
      <c r="B5" s="11">
        <v>-3500</v>
      </c>
      <c r="C5" s="58">
        <v>-19650</v>
      </c>
      <c r="D5" s="12">
        <f>Voltage!L5</f>
        <v>-5.9933002999999996</v>
      </c>
      <c r="E5" s="12">
        <f>Voltage!M5</f>
        <v>0</v>
      </c>
      <c r="G5" s="12">
        <f>Voltage!N5</f>
        <v>-19682</v>
      </c>
      <c r="H5" s="82">
        <f t="shared" si="0"/>
        <v>-5.9928250743999998</v>
      </c>
      <c r="I5" s="79">
        <f t="shared" si="1"/>
        <v>4.7522559999979563E-4</v>
      </c>
      <c r="J5" s="85">
        <f t="shared" si="2"/>
        <v>7.9292806335733859E-5</v>
      </c>
      <c r="K5" s="12">
        <f>Voltage!O5</f>
        <v>-19680</v>
      </c>
      <c r="L5" s="82">
        <f t="shared" si="3"/>
        <v>-5.9928671389999995</v>
      </c>
      <c r="M5" s="112">
        <f t="shared" si="28"/>
        <v>4.3316100000012625E-4</v>
      </c>
      <c r="N5" s="85">
        <f t="shared" si="29"/>
        <v>7.2274202579191018E-5</v>
      </c>
      <c r="O5" s="13">
        <f>'Range 0'!L5*1000</f>
        <v>-69.549019000000001</v>
      </c>
      <c r="P5" s="13">
        <f>'Range 0'!M5</f>
        <v>-19144</v>
      </c>
      <c r="Q5" s="91">
        <f t="shared" si="4"/>
        <v>-69.57663518599999</v>
      </c>
      <c r="R5" s="91">
        <f t="shared" si="5"/>
        <v>2.7616185999988829E-2</v>
      </c>
      <c r="S5" s="88">
        <f t="shared" si="6"/>
        <v>2.7616185999988829E-5</v>
      </c>
      <c r="T5" s="14">
        <f>'Range 1'!L5*1000</f>
        <v>-3.5390277000000001</v>
      </c>
      <c r="U5" s="14">
        <f>'Range 1'!M5</f>
        <v>-19320</v>
      </c>
      <c r="V5" s="100">
        <f t="shared" si="7"/>
        <v>-3.5410219530000004</v>
      </c>
      <c r="W5" s="107">
        <f t="shared" si="8"/>
        <v>1.9942530000003345E-3</v>
      </c>
      <c r="X5" s="118">
        <f t="shared" si="9"/>
        <v>1.9942530000003344E-5</v>
      </c>
      <c r="Y5" s="13">
        <f>'Range 2'!L5*1000</f>
        <v>-0.17142000000000002</v>
      </c>
      <c r="Z5" s="13">
        <f>'Range 2'!M5</f>
        <v>-19329</v>
      </c>
      <c r="AA5" s="77">
        <f t="shared" si="10"/>
        <v>-0.17150932727899998</v>
      </c>
      <c r="AB5" s="91">
        <f t="shared" si="11"/>
        <v>8.9327278999962179E-5</v>
      </c>
      <c r="AC5" s="115">
        <f t="shared" si="12"/>
        <v>8.9327278999962172E-6</v>
      </c>
      <c r="AD5" s="14">
        <f>'Range 3'!L5*1000</f>
        <v>-8.8659999999999989E-3</v>
      </c>
      <c r="AE5" s="14">
        <f>'Range 3'!M5</f>
        <v>-19345</v>
      </c>
      <c r="AF5" s="100">
        <f t="shared" si="13"/>
        <v>-8.8705181179999995E-3</v>
      </c>
      <c r="AG5" s="107">
        <f t="shared" si="14"/>
        <v>4.518118000000626E-6</v>
      </c>
      <c r="AH5" s="118">
        <f t="shared" si="15"/>
        <v>4.518118000000626E-6</v>
      </c>
      <c r="AK5" s="77">
        <f t="shared" si="16"/>
        <v>0</v>
      </c>
      <c r="AL5" s="91">
        <f t="shared" si="17"/>
        <v>0</v>
      </c>
      <c r="AM5" s="122">
        <f t="shared" si="18"/>
        <v>0</v>
      </c>
      <c r="AP5" s="100" t="e">
        <f t="shared" si="19"/>
        <v>#DIV/0!</v>
      </c>
      <c r="AQ5" s="107" t="e">
        <f t="shared" si="20"/>
        <v>#DIV/0!</v>
      </c>
      <c r="AR5" s="118" t="e">
        <f t="shared" si="21"/>
        <v>#DIV/0!</v>
      </c>
      <c r="AU5" s="77" t="e">
        <f t="shared" si="22"/>
        <v>#DIV/0!</v>
      </c>
      <c r="AV5" s="91" t="e">
        <f t="shared" si="23"/>
        <v>#DIV/0!</v>
      </c>
      <c r="AW5" s="122" t="e">
        <f t="shared" si="24"/>
        <v>#DIV/0!</v>
      </c>
      <c r="AZ5" s="100" t="e">
        <f t="shared" si="25"/>
        <v>#DIV/0!</v>
      </c>
      <c r="BA5" s="107" t="e">
        <f t="shared" si="26"/>
        <v>#DIV/0!</v>
      </c>
      <c r="BB5" s="118" t="e">
        <f t="shared" si="27"/>
        <v>#DIV/0!</v>
      </c>
    </row>
    <row r="6" spans="1:54" x14ac:dyDescent="0.3">
      <c r="A6" s="11">
        <v>5</v>
      </c>
      <c r="B6" s="11">
        <v>-3000</v>
      </c>
      <c r="C6" s="58">
        <v>-16375</v>
      </c>
      <c r="D6" s="12">
        <f>Voltage!L6</f>
        <v>-4.9930953999999996</v>
      </c>
      <c r="E6" s="12">
        <f>Voltage!M6</f>
        <v>0</v>
      </c>
      <c r="G6" s="12">
        <f>Voltage!N6</f>
        <v>-16399</v>
      </c>
      <c r="H6" s="82">
        <f t="shared" si="0"/>
        <v>-4.9928111273000004</v>
      </c>
      <c r="I6" s="79">
        <f t="shared" si="1"/>
        <v>2.8427269999919957E-4</v>
      </c>
      <c r="J6" s="85">
        <f t="shared" si="2"/>
        <v>5.6933160139339538E-5</v>
      </c>
      <c r="K6" s="12">
        <f>Voltage!O6</f>
        <v>-16396</v>
      </c>
      <c r="L6" s="82">
        <f t="shared" si="3"/>
        <v>-4.9925899665999998</v>
      </c>
      <c r="M6" s="112">
        <f t="shared" si="28"/>
        <v>5.0543339999986614E-4</v>
      </c>
      <c r="N6" s="85">
        <f t="shared" si="29"/>
        <v>1.0122646565091991E-4</v>
      </c>
      <c r="O6" s="13">
        <f>'Range 0'!L6*1000</f>
        <v>-59.552619</v>
      </c>
      <c r="P6" s="13">
        <f>'Range 0'!M6</f>
        <v>-16395</v>
      </c>
      <c r="Q6" s="91">
        <f t="shared" si="4"/>
        <v>-59.572257215</v>
      </c>
      <c r="R6" s="91">
        <f t="shared" si="5"/>
        <v>1.9638215000000514E-2</v>
      </c>
      <c r="S6" s="88">
        <f t="shared" si="6"/>
        <v>1.9638215000000514E-5</v>
      </c>
      <c r="T6" s="14">
        <f>'Range 1'!L6*1000</f>
        <v>-3.0307697999999998</v>
      </c>
      <c r="U6" s="14">
        <f>'Range 1'!M6</f>
        <v>-16548</v>
      </c>
      <c r="V6" s="100">
        <f t="shared" si="7"/>
        <v>-3.0322657050000004</v>
      </c>
      <c r="W6" s="107">
        <f t="shared" si="8"/>
        <v>1.4959050000005192E-3</v>
      </c>
      <c r="X6" s="118">
        <f t="shared" si="9"/>
        <v>1.4959050000005191E-5</v>
      </c>
      <c r="Y6" s="13">
        <f>'Range 2'!L6*1000</f>
        <v>-0.14684999999999998</v>
      </c>
      <c r="Z6" s="13">
        <f>'Range 2'!M6</f>
        <v>-16556</v>
      </c>
      <c r="AA6" s="77">
        <f t="shared" si="10"/>
        <v>-0.14687163545599999</v>
      </c>
      <c r="AB6" s="91">
        <f t="shared" si="11"/>
        <v>2.1635456000007602E-5</v>
      </c>
      <c r="AC6" s="115">
        <f t="shared" si="12"/>
        <v>2.1635456000007602E-6</v>
      </c>
      <c r="AD6" s="14">
        <f>'Range 3'!L6*1000</f>
        <v>-7.5929999999999999E-3</v>
      </c>
      <c r="AE6" s="14">
        <f>'Range 3'!M6</f>
        <v>-16572</v>
      </c>
      <c r="AF6" s="100">
        <f t="shared" si="13"/>
        <v>-7.5973273348000003E-3</v>
      </c>
      <c r="AG6" s="107">
        <f t="shared" si="14"/>
        <v>4.3273348000003736E-6</v>
      </c>
      <c r="AH6" s="118">
        <f t="shared" si="15"/>
        <v>4.3273348000003736E-6</v>
      </c>
      <c r="AK6" s="77">
        <f t="shared" si="16"/>
        <v>0</v>
      </c>
      <c r="AL6" s="91">
        <f t="shared" si="17"/>
        <v>0</v>
      </c>
      <c r="AM6" s="122">
        <f t="shared" si="18"/>
        <v>0</v>
      </c>
      <c r="AP6" s="100" t="e">
        <f t="shared" si="19"/>
        <v>#DIV/0!</v>
      </c>
      <c r="AQ6" s="107" t="e">
        <f t="shared" si="20"/>
        <v>#DIV/0!</v>
      </c>
      <c r="AR6" s="118" t="e">
        <f t="shared" si="21"/>
        <v>#DIV/0!</v>
      </c>
      <c r="AU6" s="77" t="e">
        <f t="shared" si="22"/>
        <v>#DIV/0!</v>
      </c>
      <c r="AV6" s="91" t="e">
        <f t="shared" si="23"/>
        <v>#DIV/0!</v>
      </c>
      <c r="AW6" s="122" t="e">
        <f t="shared" si="24"/>
        <v>#DIV/0!</v>
      </c>
      <c r="AZ6" s="100" t="e">
        <f t="shared" si="25"/>
        <v>#DIV/0!</v>
      </c>
      <c r="BA6" s="107" t="e">
        <f t="shared" si="26"/>
        <v>#DIV/0!</v>
      </c>
      <c r="BB6" s="118" t="e">
        <f t="shared" si="27"/>
        <v>#DIV/0!</v>
      </c>
    </row>
    <row r="7" spans="1:54" x14ac:dyDescent="0.3">
      <c r="A7" s="11">
        <v>6</v>
      </c>
      <c r="B7" s="11">
        <v>-2500</v>
      </c>
      <c r="C7" s="58">
        <v>-13100</v>
      </c>
      <c r="D7" s="12">
        <f>Voltage!L7</f>
        <v>-3.9933272999999998</v>
      </c>
      <c r="E7" s="12">
        <f>Voltage!M7</f>
        <v>0</v>
      </c>
      <c r="G7" s="12">
        <f>Voltage!N7</f>
        <v>-13116</v>
      </c>
      <c r="H7" s="82">
        <f t="shared" si="0"/>
        <v>-3.9927971801999997</v>
      </c>
      <c r="I7" s="79">
        <f t="shared" si="1"/>
        <v>5.3011980000006176E-4</v>
      </c>
      <c r="J7" s="85">
        <f t="shared" si="2"/>
        <v>1.3275140257099931E-4</v>
      </c>
      <c r="K7" s="12">
        <f>Voltage!O7</f>
        <v>-13114</v>
      </c>
      <c r="L7" s="82">
        <f t="shared" si="3"/>
        <v>-3.9929219763999999</v>
      </c>
      <c r="M7" s="112">
        <f t="shared" si="28"/>
        <v>4.0532359999989609E-4</v>
      </c>
      <c r="N7" s="85">
        <f t="shared" si="29"/>
        <v>1.0150022012968886E-4</v>
      </c>
      <c r="O7" s="13">
        <f>'Range 0'!L7*1000</f>
        <v>-49.562086999999998</v>
      </c>
      <c r="P7" s="13">
        <f>'Range 0'!M7</f>
        <v>-13647</v>
      </c>
      <c r="Q7" s="91">
        <f t="shared" si="4"/>
        <v>-49.571518523000002</v>
      </c>
      <c r="R7" s="91">
        <f t="shared" si="5"/>
        <v>9.4315230000034944E-3</v>
      </c>
      <c r="S7" s="88">
        <f t="shared" si="6"/>
        <v>9.4315230000034938E-6</v>
      </c>
      <c r="T7" s="14">
        <f>'Range 1'!L7*1000</f>
        <v>-2.522745</v>
      </c>
      <c r="U7" s="14">
        <f>'Range 1'!M7</f>
        <v>-13777</v>
      </c>
      <c r="V7" s="100">
        <f t="shared" si="7"/>
        <v>-2.5236929910000003</v>
      </c>
      <c r="W7" s="107">
        <f t="shared" si="8"/>
        <v>9.4799100000031444E-4</v>
      </c>
      <c r="X7" s="118">
        <f t="shared" si="9"/>
        <v>9.4799100000031437E-6</v>
      </c>
      <c r="Y7" s="13">
        <f>'Range 2'!L7*1000</f>
        <v>-0.12224</v>
      </c>
      <c r="Z7" s="13">
        <f>'Range 2'!M7</f>
        <v>-13783</v>
      </c>
      <c r="AA7" s="77">
        <f t="shared" si="10"/>
        <v>-0.122233943633</v>
      </c>
      <c r="AB7" s="91">
        <f t="shared" si="11"/>
        <v>6.0563670000041148E-6</v>
      </c>
      <c r="AC7" s="115">
        <f t="shared" si="12"/>
        <v>6.0563670000041146E-7</v>
      </c>
      <c r="AD7" s="14">
        <f>'Range 3'!L7*1000</f>
        <v>-6.3219999999999995E-3</v>
      </c>
      <c r="AE7" s="14">
        <f>'Range 3'!M7</f>
        <v>-13800</v>
      </c>
      <c r="AF7" s="100">
        <f t="shared" si="13"/>
        <v>-6.3245956900000004E-3</v>
      </c>
      <c r="AG7" s="107">
        <f t="shared" si="14"/>
        <v>2.5956900000009137E-6</v>
      </c>
      <c r="AH7" s="118">
        <f t="shared" si="15"/>
        <v>2.5956900000009137E-6</v>
      </c>
      <c r="AK7" s="77">
        <f t="shared" si="16"/>
        <v>0</v>
      </c>
      <c r="AL7" s="91">
        <f t="shared" si="17"/>
        <v>0</v>
      </c>
      <c r="AM7" s="122">
        <f t="shared" si="18"/>
        <v>0</v>
      </c>
      <c r="AP7" s="100" t="e">
        <f t="shared" si="19"/>
        <v>#DIV/0!</v>
      </c>
      <c r="AQ7" s="107" t="e">
        <f t="shared" si="20"/>
        <v>#DIV/0!</v>
      </c>
      <c r="AR7" s="118" t="e">
        <f t="shared" si="21"/>
        <v>#DIV/0!</v>
      </c>
      <c r="AU7" s="77" t="e">
        <f t="shared" si="22"/>
        <v>#DIV/0!</v>
      </c>
      <c r="AV7" s="91" t="e">
        <f t="shared" si="23"/>
        <v>#DIV/0!</v>
      </c>
      <c r="AW7" s="122" t="e">
        <f t="shared" si="24"/>
        <v>#DIV/0!</v>
      </c>
      <c r="AZ7" s="100" t="e">
        <f t="shared" si="25"/>
        <v>#DIV/0!</v>
      </c>
      <c r="BA7" s="107" t="e">
        <f t="shared" si="26"/>
        <v>#DIV/0!</v>
      </c>
      <c r="BB7" s="118" t="e">
        <f t="shared" si="27"/>
        <v>#DIV/0!</v>
      </c>
    </row>
    <row r="8" spans="1:54" x14ac:dyDescent="0.3">
      <c r="A8" s="11">
        <v>7</v>
      </c>
      <c r="B8" s="11">
        <v>-2000</v>
      </c>
      <c r="C8" s="58">
        <v>-9825</v>
      </c>
      <c r="D8" s="12">
        <f>Voltage!L8</f>
        <v>-2.9940069999999999</v>
      </c>
      <c r="E8" s="12">
        <f>Voltage!M8</f>
        <v>0</v>
      </c>
      <c r="G8" s="12">
        <f>Voltage!N8</f>
        <v>-9836</v>
      </c>
      <c r="H8" s="82">
        <f t="shared" si="0"/>
        <v>-2.9936970441999997</v>
      </c>
      <c r="I8" s="79">
        <f t="shared" si="1"/>
        <v>3.0995580000015011E-4</v>
      </c>
      <c r="J8" s="85">
        <f t="shared" si="2"/>
        <v>1.0352540925928032E-4</v>
      </c>
      <c r="K8" s="12">
        <f>Voltage!O8</f>
        <v>-9833</v>
      </c>
      <c r="L8" s="82">
        <f t="shared" si="3"/>
        <v>-2.9935585773</v>
      </c>
      <c r="M8" s="112">
        <f t="shared" si="28"/>
        <v>4.4842269999989526E-4</v>
      </c>
      <c r="N8" s="85">
        <f t="shared" si="29"/>
        <v>1.4977343072340688E-4</v>
      </c>
      <c r="O8" s="13">
        <f>'Range 0'!L8*1000</f>
        <v>-39.589331999999999</v>
      </c>
      <c r="P8" s="13">
        <f>'Range 0'!M8</f>
        <v>-10904</v>
      </c>
      <c r="Q8" s="91">
        <f t="shared" si="4"/>
        <v>-39.588976226</v>
      </c>
      <c r="R8" s="91">
        <f t="shared" si="5"/>
        <v>3.5577399999908721E-4</v>
      </c>
      <c r="S8" s="88">
        <f t="shared" si="6"/>
        <v>3.5577399999908718E-7</v>
      </c>
      <c r="T8" s="14">
        <f>'Range 1'!L8*1000</f>
        <v>-2.0156364</v>
      </c>
      <c r="U8" s="14">
        <f>'Range 1'!M8</f>
        <v>-11011</v>
      </c>
      <c r="V8" s="100">
        <f t="shared" si="7"/>
        <v>-2.0160379470000005</v>
      </c>
      <c r="W8" s="107">
        <f t="shared" si="8"/>
        <v>4.015470000005017E-4</v>
      </c>
      <c r="X8" s="118">
        <f t="shared" si="9"/>
        <v>4.0154700000050173E-6</v>
      </c>
      <c r="Y8" s="13">
        <f>'Range 2'!L8*1000</f>
        <v>-9.7670000000000007E-2</v>
      </c>
      <c r="Z8" s="13">
        <f>'Range 2'!M8</f>
        <v>-11015</v>
      </c>
      <c r="AA8" s="77">
        <f t="shared" si="10"/>
        <v>-9.7640676064999987E-2</v>
      </c>
      <c r="AB8" s="91">
        <f t="shared" si="11"/>
        <v>2.9323935000019619E-5</v>
      </c>
      <c r="AC8" s="115">
        <f t="shared" si="12"/>
        <v>2.9323935000019619E-6</v>
      </c>
      <c r="AD8" s="14">
        <f>'Range 3'!L8*1000</f>
        <v>-5.0529999999999993E-3</v>
      </c>
      <c r="AE8" s="14">
        <f>'Range 3'!M8</f>
        <v>-11031</v>
      </c>
      <c r="AF8" s="100">
        <f t="shared" si="13"/>
        <v>-5.0532414604000002E-3</v>
      </c>
      <c r="AG8" s="107">
        <f t="shared" si="14"/>
        <v>2.4146040000089242E-7</v>
      </c>
      <c r="AH8" s="118">
        <f t="shared" si="15"/>
        <v>2.4146040000089242E-7</v>
      </c>
      <c r="AK8" s="77">
        <f t="shared" si="16"/>
        <v>0</v>
      </c>
      <c r="AL8" s="91">
        <f t="shared" si="17"/>
        <v>0</v>
      </c>
      <c r="AM8" s="122">
        <f t="shared" si="18"/>
        <v>0</v>
      </c>
      <c r="AP8" s="100" t="e">
        <f t="shared" si="19"/>
        <v>#DIV/0!</v>
      </c>
      <c r="AQ8" s="107" t="e">
        <f t="shared" si="20"/>
        <v>#DIV/0!</v>
      </c>
      <c r="AR8" s="118" t="e">
        <f t="shared" si="21"/>
        <v>#DIV/0!</v>
      </c>
      <c r="AU8" s="77" t="e">
        <f t="shared" si="22"/>
        <v>#DIV/0!</v>
      </c>
      <c r="AV8" s="91" t="e">
        <f t="shared" si="23"/>
        <v>#DIV/0!</v>
      </c>
      <c r="AW8" s="122" t="e">
        <f t="shared" si="24"/>
        <v>#DIV/0!</v>
      </c>
      <c r="AZ8" s="100" t="e">
        <f t="shared" si="25"/>
        <v>#DIV/0!</v>
      </c>
      <c r="BA8" s="107" t="e">
        <f t="shared" si="26"/>
        <v>#DIV/0!</v>
      </c>
      <c r="BB8" s="118" t="e">
        <f t="shared" si="27"/>
        <v>#DIV/0!</v>
      </c>
    </row>
    <row r="9" spans="1:54" x14ac:dyDescent="0.3">
      <c r="A9" s="11">
        <v>8</v>
      </c>
      <c r="B9" s="11">
        <v>-1500</v>
      </c>
      <c r="C9" s="58">
        <v>-6550</v>
      </c>
      <c r="D9" s="12">
        <f>Voltage!L9</f>
        <v>-1.9946183</v>
      </c>
      <c r="E9" s="12">
        <f>Voltage!M9</f>
        <v>0</v>
      </c>
      <c r="G9" s="12">
        <f>Voltage!N9</f>
        <v>-6555</v>
      </c>
      <c r="H9" s="82">
        <f t="shared" si="0"/>
        <v>-1.9942923044999998</v>
      </c>
      <c r="I9" s="79">
        <f t="shared" si="1"/>
        <v>3.2599550000012023E-4</v>
      </c>
      <c r="J9" s="85">
        <f t="shared" si="2"/>
        <v>1.634375358935192E-4</v>
      </c>
      <c r="K9" s="12">
        <f>Voltage!O9</f>
        <v>-6552</v>
      </c>
      <c r="L9" s="82">
        <f t="shared" si="3"/>
        <v>-1.9941951781999998</v>
      </c>
      <c r="M9" s="112">
        <f t="shared" si="28"/>
        <v>4.2312180000014799E-4</v>
      </c>
      <c r="N9" s="85">
        <f t="shared" si="29"/>
        <v>2.12131714624371E-4</v>
      </c>
      <c r="O9" s="13">
        <f>'Range 0'!L9*1000</f>
        <v>-29.598962999999998</v>
      </c>
      <c r="P9" s="13">
        <f>'Range 0'!M9</f>
        <v>-8156</v>
      </c>
      <c r="Q9" s="91">
        <f t="shared" si="4"/>
        <v>-29.588237534000001</v>
      </c>
      <c r="R9" s="91">
        <f t="shared" si="5"/>
        <v>1.0725465999996686E-2</v>
      </c>
      <c r="S9" s="88">
        <f t="shared" si="6"/>
        <v>1.0725465999996686E-5</v>
      </c>
      <c r="T9" s="14">
        <f>'Range 1'!L9*1000</f>
        <v>-1.5076872000000001</v>
      </c>
      <c r="U9" s="14">
        <f>'Range 1'!M9</f>
        <v>-8239</v>
      </c>
      <c r="V9" s="100">
        <f t="shared" si="7"/>
        <v>-1.507281699</v>
      </c>
      <c r="W9" s="107">
        <f t="shared" si="8"/>
        <v>4.0550100000014133E-4</v>
      </c>
      <c r="X9" s="118">
        <f t="shared" si="9"/>
        <v>4.0550100000014137E-6</v>
      </c>
      <c r="Y9" s="13">
        <f>'Range 2'!L9*1000</f>
        <v>-7.3050000000000004E-2</v>
      </c>
      <c r="Z9" s="13">
        <f>'Range 2'!M9</f>
        <v>-8243</v>
      </c>
      <c r="AA9" s="77">
        <f t="shared" si="10"/>
        <v>-7.301186909299999E-2</v>
      </c>
      <c r="AB9" s="91">
        <f t="shared" si="11"/>
        <v>3.8130907000014092E-5</v>
      </c>
      <c r="AC9" s="115">
        <f t="shared" si="12"/>
        <v>3.8130907000014092E-6</v>
      </c>
      <c r="AD9" s="14">
        <f>'Range 3'!L9*1000</f>
        <v>-3.7810000000000001E-3</v>
      </c>
      <c r="AE9" s="14">
        <f>'Range 3'!M9</f>
        <v>-8259</v>
      </c>
      <c r="AF9" s="100">
        <f t="shared" si="13"/>
        <v>-3.7805098155999999E-3</v>
      </c>
      <c r="AG9" s="107">
        <f t="shared" si="14"/>
        <v>4.9018440000016955E-7</v>
      </c>
      <c r="AH9" s="118">
        <f t="shared" si="15"/>
        <v>4.9018440000016955E-7</v>
      </c>
      <c r="AK9" s="77">
        <f t="shared" si="16"/>
        <v>0</v>
      </c>
      <c r="AL9" s="91">
        <f t="shared" si="17"/>
        <v>0</v>
      </c>
      <c r="AM9" s="122">
        <f t="shared" si="18"/>
        <v>0</v>
      </c>
      <c r="AP9" s="100" t="e">
        <f t="shared" si="19"/>
        <v>#DIV/0!</v>
      </c>
      <c r="AQ9" s="107" t="e">
        <f t="shared" si="20"/>
        <v>#DIV/0!</v>
      </c>
      <c r="AR9" s="118" t="e">
        <f t="shared" si="21"/>
        <v>#DIV/0!</v>
      </c>
      <c r="AU9" s="77" t="e">
        <f t="shared" si="22"/>
        <v>#DIV/0!</v>
      </c>
      <c r="AV9" s="91" t="e">
        <f t="shared" si="23"/>
        <v>#DIV/0!</v>
      </c>
      <c r="AW9" s="122" t="e">
        <f t="shared" si="24"/>
        <v>#DIV/0!</v>
      </c>
      <c r="AZ9" s="100" t="e">
        <f t="shared" si="25"/>
        <v>#DIV/0!</v>
      </c>
      <c r="BA9" s="107" t="e">
        <f t="shared" si="26"/>
        <v>#DIV/0!</v>
      </c>
      <c r="BB9" s="118" t="e">
        <f t="shared" si="27"/>
        <v>#DIV/0!</v>
      </c>
    </row>
    <row r="10" spans="1:54" x14ac:dyDescent="0.3">
      <c r="A10" s="11">
        <v>9</v>
      </c>
      <c r="B10" s="11">
        <v>-1000</v>
      </c>
      <c r="C10" s="58">
        <v>-3275</v>
      </c>
      <c r="D10" s="12">
        <f>Voltage!L10</f>
        <v>-0.99468825999999999</v>
      </c>
      <c r="E10" s="12">
        <f>Voltage!M10</f>
        <v>0</v>
      </c>
      <c r="G10" s="12">
        <f>Voltage!N10</f>
        <v>-3272</v>
      </c>
      <c r="H10" s="82">
        <f t="shared" si="0"/>
        <v>-0.99427835740000003</v>
      </c>
      <c r="I10" s="79">
        <f t="shared" si="1"/>
        <v>4.0990259999995615E-4</v>
      </c>
      <c r="J10" s="85">
        <f t="shared" si="2"/>
        <v>4.1209152302647679E-4</v>
      </c>
      <c r="K10" s="12">
        <f>Voltage!O10</f>
        <v>-3269</v>
      </c>
      <c r="L10" s="82">
        <f t="shared" si="3"/>
        <v>-0.99422259689999992</v>
      </c>
      <c r="M10" s="112">
        <f t="shared" si="28"/>
        <v>4.6566310000006883E-4</v>
      </c>
      <c r="N10" s="85">
        <f t="shared" si="29"/>
        <v>4.6814978996541975E-4</v>
      </c>
      <c r="O10" s="13">
        <f>'Range 0'!L10*1000</f>
        <v>-19.603636999999999</v>
      </c>
      <c r="P10" s="13">
        <f>'Range 0'!M10</f>
        <v>-5406</v>
      </c>
      <c r="Q10" s="91">
        <f t="shared" si="4"/>
        <v>-19.580220284000003</v>
      </c>
      <c r="R10" s="91">
        <f t="shared" si="5"/>
        <v>2.3416715999996285E-2</v>
      </c>
      <c r="S10" s="88">
        <f t="shared" si="6"/>
        <v>2.3416715999996286E-5</v>
      </c>
      <c r="T10" s="14">
        <f>'Range 1'!L10*1000</f>
        <v>-0.99959329999999991</v>
      </c>
      <c r="U10" s="14">
        <f>'Range 1'!M10</f>
        <v>-5467</v>
      </c>
      <c r="V10" s="100">
        <f t="shared" si="7"/>
        <v>-0.99852545100000012</v>
      </c>
      <c r="W10" s="107">
        <f t="shared" si="8"/>
        <v>1.0678489999997876E-3</v>
      </c>
      <c r="X10" s="118">
        <f t="shared" si="9"/>
        <v>1.0678489999997876E-5</v>
      </c>
      <c r="Y10" s="13">
        <f>'Range 2'!L10*1000</f>
        <v>-4.8430000000000001E-2</v>
      </c>
      <c r="Z10" s="13">
        <f>'Range 2'!M10</f>
        <v>-5470</v>
      </c>
      <c r="AA10" s="77">
        <f t="shared" si="10"/>
        <v>-4.8374177269999999E-2</v>
      </c>
      <c r="AB10" s="91">
        <f t="shared" si="11"/>
        <v>5.582273000000193E-5</v>
      </c>
      <c r="AC10" s="115">
        <f t="shared" si="12"/>
        <v>5.5822730000001933E-6</v>
      </c>
      <c r="AD10" s="14">
        <f>'Range 3'!L10*1000</f>
        <v>-2.5089999999999999E-3</v>
      </c>
      <c r="AE10" s="14">
        <f>'Range 3'!M10</f>
        <v>-5486</v>
      </c>
      <c r="AF10" s="100">
        <f t="shared" si="13"/>
        <v>-2.5073190323999998E-3</v>
      </c>
      <c r="AG10" s="107">
        <f t="shared" si="14"/>
        <v>1.680967600000121E-6</v>
      </c>
      <c r="AH10" s="118">
        <f t="shared" si="15"/>
        <v>1.680967600000121E-6</v>
      </c>
      <c r="AK10" s="77">
        <f t="shared" si="16"/>
        <v>0</v>
      </c>
      <c r="AL10" s="91">
        <f t="shared" si="17"/>
        <v>0</v>
      </c>
      <c r="AM10" s="122">
        <f t="shared" si="18"/>
        <v>0</v>
      </c>
      <c r="AP10" s="100" t="e">
        <f t="shared" si="19"/>
        <v>#DIV/0!</v>
      </c>
      <c r="AQ10" s="107" t="e">
        <f t="shared" si="20"/>
        <v>#DIV/0!</v>
      </c>
      <c r="AR10" s="118" t="e">
        <f t="shared" si="21"/>
        <v>#DIV/0!</v>
      </c>
      <c r="AU10" s="77" t="e">
        <f t="shared" si="22"/>
        <v>#DIV/0!</v>
      </c>
      <c r="AV10" s="91" t="e">
        <f t="shared" si="23"/>
        <v>#DIV/0!</v>
      </c>
      <c r="AW10" s="122" t="e">
        <f t="shared" si="24"/>
        <v>#DIV/0!</v>
      </c>
      <c r="AZ10" s="100" t="e">
        <f t="shared" si="25"/>
        <v>#DIV/0!</v>
      </c>
      <c r="BA10" s="107" t="e">
        <f t="shared" si="26"/>
        <v>#DIV/0!</v>
      </c>
      <c r="BB10" s="118" t="e">
        <f t="shared" si="27"/>
        <v>#DIV/0!</v>
      </c>
    </row>
    <row r="11" spans="1:54" x14ac:dyDescent="0.3">
      <c r="A11" s="11">
        <v>10</v>
      </c>
      <c r="B11" s="11">
        <v>-500</v>
      </c>
      <c r="C11" s="58">
        <v>-1500</v>
      </c>
      <c r="D11" s="12">
        <f>Voltage!L11</f>
        <v>-0.45316775999999998</v>
      </c>
      <c r="E11" s="12">
        <f>Voltage!M11</f>
        <v>0</v>
      </c>
      <c r="G11" s="12">
        <f>Voltage!N11</f>
        <v>-1494</v>
      </c>
      <c r="H11" s="82">
        <f t="shared" si="0"/>
        <v>-0.45269297879999998</v>
      </c>
      <c r="I11" s="79">
        <f t="shared" si="1"/>
        <v>4.7478119999999624E-4</v>
      </c>
      <c r="J11" s="85">
        <f t="shared" si="2"/>
        <v>1.0476941254602848E-3</v>
      </c>
      <c r="K11" s="12">
        <f>Voltage!O11</f>
        <v>-1491</v>
      </c>
      <c r="L11" s="82">
        <f t="shared" si="3"/>
        <v>-0.45265962109999996</v>
      </c>
      <c r="M11" s="112">
        <f t="shared" si="28"/>
        <v>5.0813890000001027E-4</v>
      </c>
      <c r="N11" s="85">
        <f t="shared" si="29"/>
        <v>1.1213041722120971E-3</v>
      </c>
      <c r="O11" s="13">
        <f>'Range 0'!L11*1000</f>
        <v>-9.6081216999999999</v>
      </c>
      <c r="P11" s="13">
        <f>'Range 0'!M11</f>
        <v>-2657</v>
      </c>
      <c r="Q11" s="91">
        <f t="shared" si="4"/>
        <v>-9.575842312999999</v>
      </c>
      <c r="R11" s="91">
        <f t="shared" si="5"/>
        <v>3.2279387000000881E-2</v>
      </c>
      <c r="S11" s="88">
        <f t="shared" si="6"/>
        <v>3.227938700000088E-5</v>
      </c>
      <c r="T11" s="14">
        <f>'Range 1'!L11*1000</f>
        <v>-0.49144870000000002</v>
      </c>
      <c r="U11" s="14">
        <f>'Range 1'!M11</f>
        <v>-2695</v>
      </c>
      <c r="V11" s="100">
        <f t="shared" si="7"/>
        <v>-0.48976920299999999</v>
      </c>
      <c r="W11" s="107">
        <f t="shared" si="8"/>
        <v>1.6794970000000298E-3</v>
      </c>
      <c r="X11" s="118">
        <f t="shared" si="9"/>
        <v>1.6794970000000297E-5</v>
      </c>
      <c r="Y11" s="13">
        <f>'Range 2'!L11*1000</f>
        <v>-2.3810000000000001E-2</v>
      </c>
      <c r="Z11" s="13">
        <f>'Range 2'!M11</f>
        <v>-2696</v>
      </c>
      <c r="AA11" s="77">
        <f t="shared" si="10"/>
        <v>-2.3727600595999997E-2</v>
      </c>
      <c r="AB11" s="91">
        <f t="shared" si="11"/>
        <v>8.2399404000003951E-5</v>
      </c>
      <c r="AC11" s="115">
        <f t="shared" si="12"/>
        <v>8.2399404000003944E-6</v>
      </c>
      <c r="AD11" s="14">
        <f>'Range 3'!L11*1000</f>
        <v>-1.2367999999999999E-3</v>
      </c>
      <c r="AE11" s="14">
        <f>'Range 3'!M11</f>
        <v>-2712</v>
      </c>
      <c r="AF11" s="100">
        <f t="shared" si="13"/>
        <v>-1.2336691108E-3</v>
      </c>
      <c r="AG11" s="107">
        <f t="shared" si="14"/>
        <v>3.1308891999999328E-6</v>
      </c>
      <c r="AH11" s="118">
        <f t="shared" si="15"/>
        <v>3.1308891999999328E-6</v>
      </c>
      <c r="AK11" s="77">
        <f t="shared" si="16"/>
        <v>0</v>
      </c>
      <c r="AL11" s="91">
        <f t="shared" si="17"/>
        <v>0</v>
      </c>
      <c r="AM11" s="122">
        <f t="shared" si="18"/>
        <v>0</v>
      </c>
      <c r="AP11" s="100" t="e">
        <f t="shared" si="19"/>
        <v>#DIV/0!</v>
      </c>
      <c r="AQ11" s="107" t="e">
        <f t="shared" si="20"/>
        <v>#DIV/0!</v>
      </c>
      <c r="AR11" s="118" t="e">
        <f t="shared" si="21"/>
        <v>#DIV/0!</v>
      </c>
      <c r="AU11" s="77" t="e">
        <f t="shared" si="22"/>
        <v>#DIV/0!</v>
      </c>
      <c r="AV11" s="91" t="e">
        <f t="shared" si="23"/>
        <v>#DIV/0!</v>
      </c>
      <c r="AW11" s="122" t="e">
        <f t="shared" si="24"/>
        <v>#DIV/0!</v>
      </c>
      <c r="AZ11" s="100" t="e">
        <f t="shared" si="25"/>
        <v>#DIV/0!</v>
      </c>
      <c r="BA11" s="107" t="e">
        <f t="shared" si="26"/>
        <v>#DIV/0!</v>
      </c>
      <c r="BB11" s="118" t="e">
        <f t="shared" si="27"/>
        <v>#DIV/0!</v>
      </c>
    </row>
    <row r="12" spans="1:54" s="21" customFormat="1" x14ac:dyDescent="0.3">
      <c r="A12" s="17">
        <v>11</v>
      </c>
      <c r="B12" s="17">
        <v>0</v>
      </c>
      <c r="C12" s="59">
        <v>0</v>
      </c>
      <c r="D12" s="18">
        <f>Voltage!L12</f>
        <v>4.40881E-3</v>
      </c>
      <c r="E12" s="18">
        <f>Voltage!M12</f>
        <v>0</v>
      </c>
      <c r="F12" s="18"/>
      <c r="G12" s="18">
        <f>Voltage!N12</f>
        <v>6</v>
      </c>
      <c r="H12" s="83">
        <f>H32+IF(G12&gt;0,G12*H29,G12*H26)</f>
        <v>4.2125699999999997E-3</v>
      </c>
      <c r="I12" s="80">
        <f t="shared" si="1"/>
        <v>1.962400000000003E-4</v>
      </c>
      <c r="J12" s="86">
        <f t="shared" si="2"/>
        <v>4.4510877084746291E-2</v>
      </c>
      <c r="K12" s="18">
        <f>Voltage!O12</f>
        <v>9</v>
      </c>
      <c r="L12" s="83">
        <f>L32+IF(K12&gt;0,K12*L29,K12*L26)</f>
        <v>4.2270424000000004E-3</v>
      </c>
      <c r="M12" s="113">
        <f t="shared" si="28"/>
        <v>1.8176759999999955E-4</v>
      </c>
      <c r="N12" s="86">
        <f t="shared" si="29"/>
        <v>4.1228267945318475E-2</v>
      </c>
      <c r="O12" s="19">
        <f>'Range 0'!L12*1000</f>
        <v>0.39627620000000002</v>
      </c>
      <c r="P12" s="19">
        <f>'Range 0'!M12</f>
        <v>92</v>
      </c>
      <c r="Q12" s="92">
        <f>Q32+IF(P12&gt;0,P12*Q29,P12*Q26)</f>
        <v>0.42901194200000003</v>
      </c>
      <c r="R12" s="92">
        <f t="shared" si="5"/>
        <v>3.2735742000000012E-2</v>
      </c>
      <c r="S12" s="89">
        <f t="shared" si="6"/>
        <v>3.2735742000000014E-5</v>
      </c>
      <c r="T12" s="20">
        <f>'Range 1'!L12*1000</f>
        <v>1.7178500000000003E-2</v>
      </c>
      <c r="U12" s="20">
        <f>'Range 1'!M12</f>
        <v>78</v>
      </c>
      <c r="V12" s="101">
        <f>V32+IF(U12&gt;0,U12*V29,U12*V26)</f>
        <v>1.91940024E-2</v>
      </c>
      <c r="W12" s="108">
        <f t="shared" si="8"/>
        <v>2.0155023999999973E-3</v>
      </c>
      <c r="X12" s="119">
        <f t="shared" si="9"/>
        <v>2.0155023999999971E-5</v>
      </c>
      <c r="Y12" s="19">
        <f>'Range 2'!L12*1000</f>
        <v>8.3870000000000006E-4</v>
      </c>
      <c r="Z12" s="19">
        <f>'Range 2'!M12</f>
        <v>78</v>
      </c>
      <c r="AA12" s="96">
        <f>AA32+IF(Z12&gt;0,Z12*AA29,Z12*AA26)</f>
        <v>9.1994616400000004E-4</v>
      </c>
      <c r="AB12" s="92">
        <f t="shared" si="11"/>
        <v>8.1246163999999983E-5</v>
      </c>
      <c r="AC12" s="116">
        <f t="shared" si="12"/>
        <v>8.1246163999999986E-6</v>
      </c>
      <c r="AD12" s="20">
        <f>'Range 3'!L12*1000</f>
        <v>3.587E-5</v>
      </c>
      <c r="AE12" s="20">
        <f>'Range 3'!M12</f>
        <v>62</v>
      </c>
      <c r="AF12" s="101">
        <f>AF32+IF(AE12&gt;0,AE12*AF29,AE12*AF26)</f>
        <v>4.0023758199999996E-5</v>
      </c>
      <c r="AG12" s="108">
        <f t="shared" si="14"/>
        <v>4.1537581999999957E-6</v>
      </c>
      <c r="AH12" s="119">
        <f t="shared" si="15"/>
        <v>4.1537581999999957E-6</v>
      </c>
      <c r="AI12" s="19"/>
      <c r="AJ12" s="19"/>
      <c r="AK12" s="96">
        <f>AK32+IF(AJ12&gt;0,AJ12*AK29,AJ12*AK26)</f>
        <v>0</v>
      </c>
      <c r="AL12" s="92">
        <f t="shared" si="17"/>
        <v>0</v>
      </c>
      <c r="AM12" s="123">
        <f t="shared" si="18"/>
        <v>0</v>
      </c>
      <c r="AN12" s="20"/>
      <c r="AO12" s="20"/>
      <c r="AP12" s="101" t="e">
        <f>AO32+IF(AO12&gt;0,AO12*AO29,AO12*AO26)</f>
        <v>#DIV/0!</v>
      </c>
      <c r="AQ12" s="108" t="e">
        <f t="shared" si="20"/>
        <v>#DIV/0!</v>
      </c>
      <c r="AR12" s="119" t="e">
        <f t="shared" si="21"/>
        <v>#DIV/0!</v>
      </c>
      <c r="AS12" s="19"/>
      <c r="AT12" s="19"/>
      <c r="AU12" s="96" t="e">
        <f>AT32+IF(AT12&gt;0,AT12*AT29,AT12*AT26)</f>
        <v>#DIV/0!</v>
      </c>
      <c r="AV12" s="92" t="e">
        <f t="shared" si="23"/>
        <v>#DIV/0!</v>
      </c>
      <c r="AW12" s="123" t="e">
        <f t="shared" si="24"/>
        <v>#DIV/0!</v>
      </c>
      <c r="AX12" s="20"/>
      <c r="AY12" s="20"/>
      <c r="AZ12" s="101" t="e">
        <f>AY32+IF(AY12&gt;0,AY12*AY29,AY12*AY26)</f>
        <v>#DIV/0!</v>
      </c>
      <c r="BA12" s="108" t="e">
        <f t="shared" si="26"/>
        <v>#DIV/0!</v>
      </c>
      <c r="BB12" s="119" t="e">
        <f t="shared" si="27"/>
        <v>#DIV/0!</v>
      </c>
    </row>
    <row r="13" spans="1:54" x14ac:dyDescent="0.3">
      <c r="A13" s="11">
        <v>12</v>
      </c>
      <c r="B13" s="11">
        <v>500</v>
      </c>
      <c r="C13" s="58">
        <v>1500</v>
      </c>
      <c r="D13" s="12">
        <f>Voltage!L13</f>
        <v>0.46183099</v>
      </c>
      <c r="E13" s="12">
        <f>Voltage!M13</f>
        <v>0</v>
      </c>
      <c r="G13" s="12">
        <f>Voltage!N13</f>
        <v>1507</v>
      </c>
      <c r="H13" s="82">
        <f t="shared" ref="H13:H22" si="30">G13*H$29+H$32</f>
        <v>0.46142242350000001</v>
      </c>
      <c r="I13" s="79">
        <f t="shared" si="1"/>
        <v>4.0856649999998496E-4</v>
      </c>
      <c r="J13" s="85">
        <f t="shared" si="2"/>
        <v>8.8466670458815452E-4</v>
      </c>
      <c r="K13" s="12">
        <f>Voltage!O13</f>
        <v>1510</v>
      </c>
      <c r="L13" s="82">
        <f t="shared" ref="L13:L22" si="31">K13*L$29+L$32</f>
        <v>0.46142053500000002</v>
      </c>
      <c r="M13" s="112">
        <f t="shared" si="28"/>
        <v>4.1045499999997626E-4</v>
      </c>
      <c r="N13" s="85">
        <f t="shared" si="29"/>
        <v>8.8875586283193391E-4</v>
      </c>
      <c r="O13" s="13">
        <f>'Range 0'!L13*1000</f>
        <v>10.389802</v>
      </c>
      <c r="P13" s="13">
        <f>'Range 0'!M13</f>
        <v>2839</v>
      </c>
      <c r="Q13" s="91">
        <f t="shared" ref="Q13:Q22" si="32">P13*Q$29+Q$32</f>
        <v>10.440332574000001</v>
      </c>
      <c r="R13" s="91">
        <f t="shared" si="5"/>
        <v>5.0530574000001494E-2</v>
      </c>
      <c r="S13" s="88">
        <f t="shared" si="6"/>
        <v>5.0530574000001493E-5</v>
      </c>
      <c r="T13" s="14">
        <f>'Range 1'!L13*1000</f>
        <v>0.52529049999999999</v>
      </c>
      <c r="U13" s="14">
        <f>'Range 1'!M13</f>
        <v>2847</v>
      </c>
      <c r="V13" s="100">
        <f t="shared" ref="V13:V22" si="33">U13*V$29+V$32</f>
        <v>0.52823117910000006</v>
      </c>
      <c r="W13" s="107">
        <f t="shared" si="8"/>
        <v>2.9406791000000654E-3</v>
      </c>
      <c r="X13" s="118">
        <f t="shared" si="9"/>
        <v>2.9406791000000654E-5</v>
      </c>
      <c r="Y13" s="13">
        <f>'Range 2'!L13*1000</f>
        <v>2.5449999999999997E-2</v>
      </c>
      <c r="Z13" s="13">
        <f>'Range 2'!M13</f>
        <v>2850</v>
      </c>
      <c r="AA13" s="77">
        <f t="shared" ref="AA13:AA22" si="34">Z13*AA$29+AA$32</f>
        <v>2.5583228499999999E-2</v>
      </c>
      <c r="AB13" s="91">
        <f t="shared" si="11"/>
        <v>1.3322850000000233E-4</v>
      </c>
      <c r="AC13" s="115">
        <f t="shared" si="12"/>
        <v>1.3322850000000233E-5</v>
      </c>
      <c r="AD13" s="14">
        <f>'Range 3'!L13*1000</f>
        <v>1.3089E-3</v>
      </c>
      <c r="AE13" s="14">
        <f>'Range 3'!M13</f>
        <v>2834</v>
      </c>
      <c r="AF13" s="100">
        <f t="shared" ref="AF13:AF22" si="35">AE13*AF$29+AF$32</f>
        <v>1.3146755674E-3</v>
      </c>
      <c r="AG13" s="107">
        <f t="shared" si="14"/>
        <v>5.7755673999999955E-6</v>
      </c>
      <c r="AH13" s="118">
        <f t="shared" si="15"/>
        <v>5.7755673999999955E-6</v>
      </c>
      <c r="AK13" s="77">
        <f t="shared" ref="AK13:AK22" si="36">AJ13*AK$29+AK$32</f>
        <v>0</v>
      </c>
      <c r="AL13" s="91">
        <f t="shared" si="17"/>
        <v>0</v>
      </c>
      <c r="AM13" s="122">
        <f t="shared" si="18"/>
        <v>0</v>
      </c>
      <c r="AP13" s="100" t="e">
        <f t="shared" ref="AP13:AP22" si="37">AO13*AO$29+AO$32</f>
        <v>#DIV/0!</v>
      </c>
      <c r="AQ13" s="107" t="e">
        <f t="shared" si="20"/>
        <v>#DIV/0!</v>
      </c>
      <c r="AR13" s="118" t="e">
        <f t="shared" si="21"/>
        <v>#DIV/0!</v>
      </c>
      <c r="AU13" s="77" t="e">
        <f t="shared" ref="AU13:AU22" si="38">AT13*AT$29+AT$32</f>
        <v>#DIV/0!</v>
      </c>
      <c r="AV13" s="91" t="e">
        <f t="shared" si="23"/>
        <v>#DIV/0!</v>
      </c>
      <c r="AW13" s="122" t="e">
        <f t="shared" si="24"/>
        <v>#DIV/0!</v>
      </c>
      <c r="AZ13" s="100" t="e">
        <f t="shared" ref="AZ13:AZ22" si="39">AY13*AY$29+AY$32</f>
        <v>#DIV/0!</v>
      </c>
      <c r="BA13" s="107" t="e">
        <f t="shared" si="26"/>
        <v>#DIV/0!</v>
      </c>
      <c r="BB13" s="118" t="e">
        <f t="shared" si="27"/>
        <v>#DIV/0!</v>
      </c>
    </row>
    <row r="14" spans="1:54" x14ac:dyDescent="0.3">
      <c r="A14" s="11">
        <v>13</v>
      </c>
      <c r="B14" s="11">
        <v>1000</v>
      </c>
      <c r="C14" s="58">
        <v>3275</v>
      </c>
      <c r="D14" s="12">
        <f>Voltage!L14</f>
        <v>1.0034130999999999</v>
      </c>
      <c r="E14" s="12">
        <f>Voltage!M14</f>
        <v>0</v>
      </c>
      <c r="G14" s="12">
        <f>Voltage!N14</f>
        <v>3285</v>
      </c>
      <c r="H14" s="82">
        <f t="shared" si="30"/>
        <v>1.0030074465000001</v>
      </c>
      <c r="I14" s="79">
        <f t="shared" si="1"/>
        <v>4.0565349999988065E-4</v>
      </c>
      <c r="J14" s="85">
        <f t="shared" si="2"/>
        <v>4.0427367352477325E-4</v>
      </c>
      <c r="K14" s="12">
        <f>Voltage!O14</f>
        <v>3288</v>
      </c>
      <c r="L14" s="82">
        <f t="shared" si="31"/>
        <v>1.0029861778</v>
      </c>
      <c r="M14" s="112">
        <f t="shared" si="28"/>
        <v>4.2692219999995729E-4</v>
      </c>
      <c r="N14" s="85">
        <f t="shared" si="29"/>
        <v>4.2547002824654904E-4</v>
      </c>
      <c r="O14" s="13">
        <f>'Range 0'!L14*1000</f>
        <v>20.373004000000002</v>
      </c>
      <c r="P14" s="13">
        <f>'Range 0'!M14</f>
        <v>5581</v>
      </c>
      <c r="Q14" s="91">
        <f t="shared" si="32"/>
        <v>20.433430926</v>
      </c>
      <c r="R14" s="91">
        <f t="shared" si="5"/>
        <v>6.0426925999998105E-2</v>
      </c>
      <c r="S14" s="88">
        <f t="shared" si="6"/>
        <v>6.0426925999998103E-5</v>
      </c>
      <c r="T14" s="14">
        <f>'Range 1'!L14*1000</f>
        <v>1.0328364999999999</v>
      </c>
      <c r="U14" s="14">
        <f>'Range 1'!M14</f>
        <v>5611</v>
      </c>
      <c r="V14" s="100">
        <f t="shared" si="33"/>
        <v>1.0363491843000001</v>
      </c>
      <c r="W14" s="107">
        <f t="shared" si="8"/>
        <v>3.5126843000001795E-3</v>
      </c>
      <c r="X14" s="118">
        <f t="shared" si="9"/>
        <v>3.5126843000001797E-5</v>
      </c>
      <c r="Y14" s="13">
        <f>'Range 2'!L14*1000</f>
        <v>5.0040000000000001E-2</v>
      </c>
      <c r="Z14" s="13">
        <f>'Range 2'!M14</f>
        <v>5614</v>
      </c>
      <c r="AA14" s="77">
        <f t="shared" si="34"/>
        <v>5.0175332531999996E-2</v>
      </c>
      <c r="AB14" s="91">
        <f t="shared" si="11"/>
        <v>1.3533253199999457E-4</v>
      </c>
      <c r="AC14" s="115">
        <f t="shared" si="12"/>
        <v>1.3533253199999457E-5</v>
      </c>
      <c r="AD14" s="14">
        <f>'Range 3'!L14*1000</f>
        <v>2.575E-3</v>
      </c>
      <c r="AE14" s="14">
        <f>'Range 3'!M14</f>
        <v>5598</v>
      </c>
      <c r="AF14" s="100">
        <f t="shared" si="35"/>
        <v>2.5856487278000002E-3</v>
      </c>
      <c r="AG14" s="107">
        <f t="shared" si="14"/>
        <v>1.0648727800000209E-5</v>
      </c>
      <c r="AH14" s="118">
        <f t="shared" si="15"/>
        <v>1.0648727800000209E-5</v>
      </c>
      <c r="AK14" s="77">
        <f t="shared" si="36"/>
        <v>0</v>
      </c>
      <c r="AL14" s="91">
        <f t="shared" si="17"/>
        <v>0</v>
      </c>
      <c r="AM14" s="122">
        <f t="shared" si="18"/>
        <v>0</v>
      </c>
      <c r="AP14" s="100" t="e">
        <f t="shared" si="37"/>
        <v>#DIV/0!</v>
      </c>
      <c r="AQ14" s="107" t="e">
        <f t="shared" si="20"/>
        <v>#DIV/0!</v>
      </c>
      <c r="AR14" s="118" t="e">
        <f t="shared" si="21"/>
        <v>#DIV/0!</v>
      </c>
      <c r="AU14" s="77" t="e">
        <f t="shared" si="38"/>
        <v>#DIV/0!</v>
      </c>
      <c r="AV14" s="91" t="e">
        <f t="shared" si="23"/>
        <v>#DIV/0!</v>
      </c>
      <c r="AW14" s="122" t="e">
        <f t="shared" si="24"/>
        <v>#DIV/0!</v>
      </c>
      <c r="AZ14" s="100" t="e">
        <f t="shared" si="39"/>
        <v>#DIV/0!</v>
      </c>
      <c r="BA14" s="107" t="e">
        <f t="shared" si="26"/>
        <v>#DIV/0!</v>
      </c>
      <c r="BB14" s="118" t="e">
        <f t="shared" si="27"/>
        <v>#DIV/0!</v>
      </c>
    </row>
    <row r="15" spans="1:54" x14ac:dyDescent="0.3">
      <c r="A15" s="11">
        <v>14</v>
      </c>
      <c r="B15" s="11">
        <v>1500</v>
      </c>
      <c r="C15" s="58">
        <v>6550</v>
      </c>
      <c r="D15" s="12">
        <f>Voltage!L15</f>
        <v>2.0036247999999999</v>
      </c>
      <c r="E15" s="12">
        <f>Voltage!M15</f>
        <v>0</v>
      </c>
      <c r="G15" s="12">
        <f>Voltage!N15</f>
        <v>6569</v>
      </c>
      <c r="H15" s="82">
        <f t="shared" si="30"/>
        <v>2.0033253405</v>
      </c>
      <c r="I15" s="79">
        <f t="shared" si="1"/>
        <v>2.9945949999987675E-4</v>
      </c>
      <c r="J15" s="85">
        <f t="shared" si="2"/>
        <v>1.494588707426045E-4</v>
      </c>
      <c r="K15" s="12">
        <f>Voltage!O15</f>
        <v>6572</v>
      </c>
      <c r="L15" s="82">
        <f t="shared" si="31"/>
        <v>2.0032682761999996</v>
      </c>
      <c r="M15" s="112">
        <f t="shared" si="28"/>
        <v>3.5652380000028572E-4</v>
      </c>
      <c r="N15" s="85">
        <f t="shared" si="29"/>
        <v>1.7793940262682202E-4</v>
      </c>
      <c r="O15" s="13">
        <f>'Range 0'!L15*1000</f>
        <v>30.365667999999999</v>
      </c>
      <c r="P15" s="13">
        <f>'Range 0'!M15</f>
        <v>8324</v>
      </c>
      <c r="Q15" s="91">
        <f t="shared" si="32"/>
        <v>30.430173733999997</v>
      </c>
      <c r="R15" s="91">
        <f t="shared" si="5"/>
        <v>6.4505733999997261E-2</v>
      </c>
      <c r="S15" s="88">
        <f t="shared" si="6"/>
        <v>6.4505733999997263E-5</v>
      </c>
      <c r="T15" s="14">
        <f>'Range 1'!L15*1000</f>
        <v>1.5408423</v>
      </c>
      <c r="U15" s="14">
        <f>'Range 1'!M15</f>
        <v>8377</v>
      </c>
      <c r="V15" s="100">
        <f t="shared" si="33"/>
        <v>1.5448348581</v>
      </c>
      <c r="W15" s="107">
        <f t="shared" si="8"/>
        <v>3.9925580999999877E-3</v>
      </c>
      <c r="X15" s="118">
        <f t="shared" si="9"/>
        <v>3.9925580999999875E-5</v>
      </c>
      <c r="Y15" s="13">
        <f>'Range 2'!L15*1000</f>
        <v>7.4649999999999994E-2</v>
      </c>
      <c r="Z15" s="13">
        <f>'Range 2'!M15</f>
        <v>8382</v>
      </c>
      <c r="AA15" s="77">
        <f t="shared" si="34"/>
        <v>7.4803025715999991E-2</v>
      </c>
      <c r="AB15" s="91">
        <f t="shared" si="11"/>
        <v>1.5302571599999648E-4</v>
      </c>
      <c r="AC15" s="115">
        <f t="shared" si="12"/>
        <v>1.5302571599999649E-5</v>
      </c>
      <c r="AD15" s="14">
        <f>'Range 3'!L15*1000</f>
        <v>3.8480000000000003E-3</v>
      </c>
      <c r="AE15" s="14">
        <f>'Range 3'!M15</f>
        <v>8365</v>
      </c>
      <c r="AF15" s="100">
        <f t="shared" si="35"/>
        <v>3.8580013814999998E-3</v>
      </c>
      <c r="AG15" s="107">
        <f t="shared" si="14"/>
        <v>1.0001381499999493E-5</v>
      </c>
      <c r="AH15" s="118">
        <f t="shared" si="15"/>
        <v>1.0001381499999493E-5</v>
      </c>
      <c r="AK15" s="77">
        <f t="shared" si="36"/>
        <v>0</v>
      </c>
      <c r="AL15" s="91">
        <f t="shared" si="17"/>
        <v>0</v>
      </c>
      <c r="AM15" s="122">
        <f t="shared" si="18"/>
        <v>0</v>
      </c>
      <c r="AP15" s="100" t="e">
        <f t="shared" si="37"/>
        <v>#DIV/0!</v>
      </c>
      <c r="AQ15" s="107" t="e">
        <f t="shared" si="20"/>
        <v>#DIV/0!</v>
      </c>
      <c r="AR15" s="118" t="e">
        <f t="shared" si="21"/>
        <v>#DIV/0!</v>
      </c>
      <c r="AU15" s="77" t="e">
        <f t="shared" si="38"/>
        <v>#DIV/0!</v>
      </c>
      <c r="AV15" s="91" t="e">
        <f t="shared" si="23"/>
        <v>#DIV/0!</v>
      </c>
      <c r="AW15" s="122" t="e">
        <f t="shared" si="24"/>
        <v>#DIV/0!</v>
      </c>
      <c r="AZ15" s="100" t="e">
        <f t="shared" si="39"/>
        <v>#DIV/0!</v>
      </c>
      <c r="BA15" s="107" t="e">
        <f t="shared" si="26"/>
        <v>#DIV/0!</v>
      </c>
      <c r="BB15" s="118" t="e">
        <f t="shared" si="27"/>
        <v>#DIV/0!</v>
      </c>
    </row>
    <row r="16" spans="1:54" x14ac:dyDescent="0.3">
      <c r="A16" s="11">
        <v>15</v>
      </c>
      <c r="B16" s="11">
        <v>2000</v>
      </c>
      <c r="C16" s="58">
        <v>9825</v>
      </c>
      <c r="D16" s="12">
        <f>Voltage!L16</f>
        <v>3.0032896999999998</v>
      </c>
      <c r="E16" s="12">
        <f>Voltage!M16</f>
        <v>0</v>
      </c>
      <c r="G16" s="12">
        <f>Voltage!N16</f>
        <v>9851</v>
      </c>
      <c r="H16" s="82">
        <f t="shared" si="30"/>
        <v>3.0030340275</v>
      </c>
      <c r="I16" s="79">
        <f t="shared" si="1"/>
        <v>2.556724999998039E-4</v>
      </c>
      <c r="J16" s="85">
        <f t="shared" si="2"/>
        <v>8.5130815052508564E-5</v>
      </c>
      <c r="K16" s="12">
        <f>Voltage!O16</f>
        <v>9854</v>
      </c>
      <c r="L16" s="82">
        <f t="shared" si="31"/>
        <v>3.0029411894</v>
      </c>
      <c r="M16" s="112">
        <f t="shared" si="28"/>
        <v>3.4851059999985168E-4</v>
      </c>
      <c r="N16" s="85">
        <f t="shared" si="29"/>
        <v>1.1604295116779833E-4</v>
      </c>
      <c r="O16" s="13">
        <f>'Range 0'!L16*1000</f>
        <v>40.348697000000001</v>
      </c>
      <c r="P16" s="13">
        <f>'Range 0'!M16</f>
        <v>11065</v>
      </c>
      <c r="Q16" s="91">
        <f t="shared" si="32"/>
        <v>40.419627630000001</v>
      </c>
      <c r="R16" s="91">
        <f t="shared" si="5"/>
        <v>7.0930629999999439E-2</v>
      </c>
      <c r="S16" s="88">
        <f t="shared" si="6"/>
        <v>7.0930629999999434E-5</v>
      </c>
      <c r="T16" s="14">
        <f>'Range 1'!L16*1000</f>
        <v>2.0484523000000001</v>
      </c>
      <c r="U16" s="14">
        <f>'Range 1'!M16</f>
        <v>11141</v>
      </c>
      <c r="V16" s="100">
        <f t="shared" si="33"/>
        <v>2.0529528632999998</v>
      </c>
      <c r="W16" s="107">
        <f t="shared" si="8"/>
        <v>4.5005632999997047E-3</v>
      </c>
      <c r="X16" s="118">
        <f t="shared" si="9"/>
        <v>4.5005632999997044E-5</v>
      </c>
      <c r="Y16" s="13">
        <f>'Range 2'!L16*1000</f>
        <v>9.9240000000000009E-2</v>
      </c>
      <c r="Z16" s="13">
        <f>'Range 2'!M16</f>
        <v>11147</v>
      </c>
      <c r="AA16" s="77">
        <f t="shared" si="34"/>
        <v>9.9404027035999987E-2</v>
      </c>
      <c r="AB16" s="91">
        <f t="shared" si="11"/>
        <v>1.6402703599997792E-4</v>
      </c>
      <c r="AC16" s="115">
        <f t="shared" si="12"/>
        <v>1.6402703599997794E-5</v>
      </c>
      <c r="AD16" s="14">
        <f>'Range 3'!L16*1000</f>
        <v>5.1189999999999994E-3</v>
      </c>
      <c r="AE16" s="14">
        <f>'Range 3'!M16</f>
        <v>11131</v>
      </c>
      <c r="AF16" s="100">
        <f t="shared" si="35"/>
        <v>5.1298942040999993E-3</v>
      </c>
      <c r="AG16" s="107">
        <f t="shared" si="14"/>
        <v>1.089420409999993E-5</v>
      </c>
      <c r="AH16" s="118">
        <f t="shared" si="15"/>
        <v>1.089420409999993E-5</v>
      </c>
      <c r="AK16" s="77">
        <f t="shared" si="36"/>
        <v>0</v>
      </c>
      <c r="AL16" s="91">
        <f t="shared" si="17"/>
        <v>0</v>
      </c>
      <c r="AM16" s="122">
        <f t="shared" si="18"/>
        <v>0</v>
      </c>
      <c r="AP16" s="100" t="e">
        <f t="shared" si="37"/>
        <v>#DIV/0!</v>
      </c>
      <c r="AQ16" s="107" t="e">
        <f t="shared" si="20"/>
        <v>#DIV/0!</v>
      </c>
      <c r="AR16" s="118" t="e">
        <f t="shared" si="21"/>
        <v>#DIV/0!</v>
      </c>
      <c r="AU16" s="77" t="e">
        <f t="shared" si="38"/>
        <v>#DIV/0!</v>
      </c>
      <c r="AV16" s="91" t="e">
        <f t="shared" si="23"/>
        <v>#DIV/0!</v>
      </c>
      <c r="AW16" s="122" t="e">
        <f t="shared" si="24"/>
        <v>#DIV/0!</v>
      </c>
      <c r="AZ16" s="100" t="e">
        <f t="shared" si="39"/>
        <v>#DIV/0!</v>
      </c>
      <c r="BA16" s="107" t="e">
        <f t="shared" si="26"/>
        <v>#DIV/0!</v>
      </c>
      <c r="BB16" s="118" t="e">
        <f t="shared" si="27"/>
        <v>#DIV/0!</v>
      </c>
    </row>
    <row r="17" spans="1:54" x14ac:dyDescent="0.3">
      <c r="A17" s="11">
        <v>16</v>
      </c>
      <c r="B17" s="11">
        <v>2500</v>
      </c>
      <c r="C17" s="58">
        <v>13100</v>
      </c>
      <c r="D17" s="12">
        <f>Voltage!L17</f>
        <v>4.0031353000000003</v>
      </c>
      <c r="E17" s="12">
        <f>Voltage!M17</f>
        <v>0</v>
      </c>
      <c r="G17" s="12">
        <f>Voltage!N17</f>
        <v>13133</v>
      </c>
      <c r="H17" s="82">
        <f t="shared" si="30"/>
        <v>4.0027427144999992</v>
      </c>
      <c r="I17" s="79">
        <f t="shared" si="1"/>
        <v>3.9258550000109693E-4</v>
      </c>
      <c r="J17" s="85">
        <f t="shared" si="2"/>
        <v>9.806950566999245E-5</v>
      </c>
      <c r="K17" s="12">
        <f>Voltage!O17</f>
        <v>13137</v>
      </c>
      <c r="L17" s="82">
        <f t="shared" si="31"/>
        <v>4.0029186952</v>
      </c>
      <c r="M17" s="112">
        <f t="shared" si="28"/>
        <v>2.1660480000029736E-4</v>
      </c>
      <c r="N17" s="85">
        <f t="shared" si="29"/>
        <v>5.4108788179179791E-5</v>
      </c>
      <c r="O17" s="13">
        <f>'Range 0'!L17*1000</f>
        <v>50.334572000000001</v>
      </c>
      <c r="P17" s="13">
        <f>'Range 0'!M17</f>
        <v>13807</v>
      </c>
      <c r="Q17" s="91">
        <f t="shared" si="32"/>
        <v>50.412725981999998</v>
      </c>
      <c r="R17" s="91">
        <f t="shared" si="5"/>
        <v>7.8153981999996347E-2</v>
      </c>
      <c r="S17" s="88">
        <f t="shared" si="6"/>
        <v>7.8153981999996342E-5</v>
      </c>
      <c r="T17" s="14">
        <f>'Range 1'!L17*1000</f>
        <v>2.5561867999999999</v>
      </c>
      <c r="U17" s="14">
        <f>'Range 1'!M17</f>
        <v>13906</v>
      </c>
      <c r="V17" s="100">
        <f t="shared" si="33"/>
        <v>2.5612547027999999</v>
      </c>
      <c r="W17" s="107">
        <f t="shared" si="8"/>
        <v>5.0679028000000237E-3</v>
      </c>
      <c r="X17" s="118">
        <f t="shared" si="9"/>
        <v>5.0679028000000234E-5</v>
      </c>
      <c r="Y17" s="13">
        <f>'Range 2'!L17*1000</f>
        <v>0.12385</v>
      </c>
      <c r="Z17" s="13">
        <f>'Range 2'!M17</f>
        <v>13913</v>
      </c>
      <c r="AA17" s="77">
        <f t="shared" si="34"/>
        <v>0.12401392564399999</v>
      </c>
      <c r="AB17" s="91">
        <f t="shared" si="11"/>
        <v>1.6392564399998755E-4</v>
      </c>
      <c r="AC17" s="115">
        <f t="shared" si="12"/>
        <v>1.6392564399998754E-5</v>
      </c>
      <c r="AD17" s="14">
        <f>'Range 3'!L17*1000</f>
        <v>6.3890000000000006E-3</v>
      </c>
      <c r="AE17" s="14">
        <f>'Range 3'!M17</f>
        <v>13897</v>
      </c>
      <c r="AF17" s="100">
        <f t="shared" si="35"/>
        <v>6.4017870266999998E-3</v>
      </c>
      <c r="AG17" s="107">
        <f t="shared" si="14"/>
        <v>1.2787026699999197E-5</v>
      </c>
      <c r="AH17" s="118">
        <f t="shared" si="15"/>
        <v>1.2787026699999197E-5</v>
      </c>
      <c r="AK17" s="77">
        <f t="shared" si="36"/>
        <v>0</v>
      </c>
      <c r="AL17" s="91">
        <f t="shared" si="17"/>
        <v>0</v>
      </c>
      <c r="AM17" s="122">
        <f t="shared" si="18"/>
        <v>0</v>
      </c>
      <c r="AP17" s="100" t="e">
        <f t="shared" si="37"/>
        <v>#DIV/0!</v>
      </c>
      <c r="AQ17" s="107" t="e">
        <f t="shared" si="20"/>
        <v>#DIV/0!</v>
      </c>
      <c r="AR17" s="118" t="e">
        <f t="shared" si="21"/>
        <v>#DIV/0!</v>
      </c>
      <c r="AU17" s="77" t="e">
        <f t="shared" si="38"/>
        <v>#DIV/0!</v>
      </c>
      <c r="AV17" s="91" t="e">
        <f t="shared" si="23"/>
        <v>#DIV/0!</v>
      </c>
      <c r="AW17" s="122" t="e">
        <f t="shared" si="24"/>
        <v>#DIV/0!</v>
      </c>
      <c r="AZ17" s="100" t="e">
        <f t="shared" si="39"/>
        <v>#DIV/0!</v>
      </c>
      <c r="BA17" s="107" t="e">
        <f t="shared" si="26"/>
        <v>#DIV/0!</v>
      </c>
      <c r="BB17" s="118" t="e">
        <f t="shared" si="27"/>
        <v>#DIV/0!</v>
      </c>
    </row>
    <row r="18" spans="1:54" x14ac:dyDescent="0.3">
      <c r="A18" s="11">
        <v>17</v>
      </c>
      <c r="B18" s="11">
        <v>3000</v>
      </c>
      <c r="C18" s="58">
        <v>16375</v>
      </c>
      <c r="D18" s="12">
        <f>Voltage!L18</f>
        <v>5.0038476999999997</v>
      </c>
      <c r="E18" s="12">
        <f>Voltage!M18</f>
        <v>0</v>
      </c>
      <c r="G18" s="12">
        <f>Voltage!N18</f>
        <v>16419</v>
      </c>
      <c r="H18" s="82">
        <f t="shared" si="30"/>
        <v>5.0036698154999995</v>
      </c>
      <c r="I18" s="79">
        <f t="shared" si="1"/>
        <v>1.7788450000022493E-4</v>
      </c>
      <c r="J18" s="85">
        <f t="shared" si="2"/>
        <v>3.5549543204567347E-5</v>
      </c>
      <c r="K18" s="12">
        <f>Voltage!O18</f>
        <v>16422</v>
      </c>
      <c r="L18" s="82">
        <f t="shared" si="31"/>
        <v>5.0035053861999996</v>
      </c>
      <c r="M18" s="112">
        <f t="shared" si="28"/>
        <v>3.4231380000004918E-4</v>
      </c>
      <c r="N18" s="85">
        <f t="shared" si="29"/>
        <v>6.8410115679589772E-5</v>
      </c>
      <c r="O18" s="13">
        <f>'Range 0'!L18*1000</f>
        <v>60.306621999999997</v>
      </c>
      <c r="P18" s="13">
        <f>'Range 0'!M18</f>
        <v>16546</v>
      </c>
      <c r="Q18" s="91">
        <f t="shared" si="32"/>
        <v>60.394890965999998</v>
      </c>
      <c r="R18" s="91">
        <f t="shared" si="5"/>
        <v>8.8268966000001114E-2</v>
      </c>
      <c r="S18" s="88">
        <f t="shared" si="6"/>
        <v>8.8268966000001116E-5</v>
      </c>
      <c r="T18" s="14">
        <f>'Range 1'!L18*1000</f>
        <v>3.0631624</v>
      </c>
      <c r="U18" s="14">
        <f>'Range 1'!M18</f>
        <v>16668</v>
      </c>
      <c r="V18" s="100">
        <f t="shared" si="33"/>
        <v>3.0690050393999999</v>
      </c>
      <c r="W18" s="107">
        <f t="shared" si="8"/>
        <v>5.8426393999999604E-3</v>
      </c>
      <c r="X18" s="118">
        <f t="shared" si="9"/>
        <v>5.8426393999999604E-5</v>
      </c>
      <c r="Y18" s="13">
        <f>'Range 2'!L18*1000</f>
        <v>0.14842</v>
      </c>
      <c r="Z18" s="13">
        <f>'Range 2'!M18</f>
        <v>16676</v>
      </c>
      <c r="AA18" s="77">
        <f t="shared" si="34"/>
        <v>0.14859713238799999</v>
      </c>
      <c r="AB18" s="91">
        <f t="shared" si="11"/>
        <v>1.7713238799998976E-4</v>
      </c>
      <c r="AC18" s="115">
        <f t="shared" si="12"/>
        <v>1.7713238799998975E-5</v>
      </c>
      <c r="AD18" s="14">
        <f>'Range 3'!L18*1000</f>
        <v>7.6590000000000009E-3</v>
      </c>
      <c r="AE18" s="14">
        <f>'Range 3'!M18</f>
        <v>16660</v>
      </c>
      <c r="AF18" s="100">
        <f t="shared" si="35"/>
        <v>7.6723003559999994E-3</v>
      </c>
      <c r="AG18" s="107">
        <f t="shared" si="14"/>
        <v>1.3300355999998521E-5</v>
      </c>
      <c r="AH18" s="118">
        <f t="shared" si="15"/>
        <v>1.3300355999998521E-5</v>
      </c>
      <c r="AK18" s="77">
        <f t="shared" si="36"/>
        <v>0</v>
      </c>
      <c r="AL18" s="91">
        <f t="shared" si="17"/>
        <v>0</v>
      </c>
      <c r="AM18" s="122">
        <f t="shared" si="18"/>
        <v>0</v>
      </c>
      <c r="AP18" s="100" t="e">
        <f t="shared" si="37"/>
        <v>#DIV/0!</v>
      </c>
      <c r="AQ18" s="107" t="e">
        <f t="shared" si="20"/>
        <v>#DIV/0!</v>
      </c>
      <c r="AR18" s="118" t="e">
        <f t="shared" si="21"/>
        <v>#DIV/0!</v>
      </c>
      <c r="AU18" s="77" t="e">
        <f t="shared" si="38"/>
        <v>#DIV/0!</v>
      </c>
      <c r="AV18" s="91" t="e">
        <f t="shared" si="23"/>
        <v>#DIV/0!</v>
      </c>
      <c r="AW18" s="122" t="e">
        <f t="shared" si="24"/>
        <v>#DIV/0!</v>
      </c>
      <c r="AZ18" s="100" t="e">
        <f t="shared" si="39"/>
        <v>#DIV/0!</v>
      </c>
      <c r="BA18" s="107" t="e">
        <f t="shared" si="26"/>
        <v>#DIV/0!</v>
      </c>
      <c r="BB18" s="118" t="e">
        <f t="shared" si="27"/>
        <v>#DIV/0!</v>
      </c>
    </row>
    <row r="19" spans="1:54" x14ac:dyDescent="0.3">
      <c r="A19" s="11">
        <v>18</v>
      </c>
      <c r="B19" s="11">
        <v>3500</v>
      </c>
      <c r="C19" s="58">
        <v>19650</v>
      </c>
      <c r="D19" s="12">
        <f>Voltage!L19</f>
        <v>6.0033650999999999</v>
      </c>
      <c r="E19" s="12">
        <f>Voltage!M19</f>
        <v>0</v>
      </c>
      <c r="G19" s="12">
        <f>Voltage!N19</f>
        <v>19700</v>
      </c>
      <c r="H19" s="82">
        <f t="shared" si="30"/>
        <v>6.0030738989999994</v>
      </c>
      <c r="I19" s="79">
        <f t="shared" si="1"/>
        <v>2.9120100000046278E-4</v>
      </c>
      <c r="J19" s="85">
        <f t="shared" si="2"/>
        <v>4.8506295244389313E-5</v>
      </c>
      <c r="K19" s="12">
        <f>Voltage!O19</f>
        <v>19703</v>
      </c>
      <c r="L19" s="82">
        <f t="shared" si="31"/>
        <v>6.0028737068</v>
      </c>
      <c r="M19" s="112">
        <f t="shared" si="28"/>
        <v>4.9139319999991216E-4</v>
      </c>
      <c r="N19" s="85">
        <f t="shared" si="29"/>
        <v>8.1852959434353269E-5</v>
      </c>
      <c r="O19" s="13">
        <f>'Range 0'!L19*1000</f>
        <v>70.305945999999992</v>
      </c>
      <c r="P19" s="13">
        <f>'Range 0'!M19</f>
        <v>19293</v>
      </c>
      <c r="Q19" s="91">
        <f t="shared" si="32"/>
        <v>70.406211597999999</v>
      </c>
      <c r="R19" s="91">
        <f t="shared" si="5"/>
        <v>0.10026559800000712</v>
      </c>
      <c r="S19" s="88">
        <f t="shared" si="6"/>
        <v>1.0026559800000711E-4</v>
      </c>
      <c r="T19" s="14">
        <f>'Range 1'!L19*1000</f>
        <v>3.5716076999999999</v>
      </c>
      <c r="U19" s="14">
        <f>'Range 1'!M19</f>
        <v>19437</v>
      </c>
      <c r="V19" s="100">
        <f t="shared" si="33"/>
        <v>3.5780422161000001</v>
      </c>
      <c r="W19" s="107">
        <f t="shared" si="8"/>
        <v>6.4345161000001205E-3</v>
      </c>
      <c r="X19" s="118">
        <f t="shared" si="9"/>
        <v>6.4345161000001208E-5</v>
      </c>
      <c r="Y19" s="13">
        <f>'Range 2'!L19*1000</f>
        <v>0.17305999999999999</v>
      </c>
      <c r="Z19" s="13">
        <f>'Range 2'!M19</f>
        <v>19447</v>
      </c>
      <c r="AA19" s="77">
        <f t="shared" si="34"/>
        <v>0.17325151743599998</v>
      </c>
      <c r="AB19" s="91">
        <f t="shared" si="11"/>
        <v>1.9151743599998827E-4</v>
      </c>
      <c r="AC19" s="115">
        <f t="shared" si="12"/>
        <v>1.9151743599998827E-5</v>
      </c>
      <c r="AD19" s="14">
        <f>'Range 3'!L19*1000</f>
        <v>8.9309999999999997E-3</v>
      </c>
      <c r="AE19" s="14">
        <f>'Range 3'!M19</f>
        <v>19431</v>
      </c>
      <c r="AF19" s="100">
        <f t="shared" si="35"/>
        <v>8.9464923340999997E-3</v>
      </c>
      <c r="AG19" s="107">
        <f t="shared" si="14"/>
        <v>1.5492334100000033E-5</v>
      </c>
      <c r="AH19" s="118">
        <f t="shared" si="15"/>
        <v>1.5492334100000033E-5</v>
      </c>
      <c r="AK19" s="77">
        <f t="shared" si="36"/>
        <v>0</v>
      </c>
      <c r="AL19" s="91">
        <f t="shared" si="17"/>
        <v>0</v>
      </c>
      <c r="AM19" s="122">
        <f t="shared" si="18"/>
        <v>0</v>
      </c>
      <c r="AP19" s="100" t="e">
        <f t="shared" si="37"/>
        <v>#DIV/0!</v>
      </c>
      <c r="AQ19" s="107" t="e">
        <f t="shared" si="20"/>
        <v>#DIV/0!</v>
      </c>
      <c r="AR19" s="118" t="e">
        <f t="shared" si="21"/>
        <v>#DIV/0!</v>
      </c>
      <c r="AU19" s="77" t="e">
        <f t="shared" si="38"/>
        <v>#DIV/0!</v>
      </c>
      <c r="AV19" s="91" t="e">
        <f t="shared" si="23"/>
        <v>#DIV/0!</v>
      </c>
      <c r="AW19" s="122" t="e">
        <f t="shared" si="24"/>
        <v>#DIV/0!</v>
      </c>
      <c r="AZ19" s="100" t="e">
        <f t="shared" si="39"/>
        <v>#DIV/0!</v>
      </c>
      <c r="BA19" s="107" t="e">
        <f t="shared" si="26"/>
        <v>#DIV/0!</v>
      </c>
      <c r="BB19" s="118" t="e">
        <f t="shared" si="27"/>
        <v>#DIV/0!</v>
      </c>
    </row>
    <row r="20" spans="1:54" x14ac:dyDescent="0.3">
      <c r="A20" s="11">
        <v>19</v>
      </c>
      <c r="B20" s="11">
        <v>4000</v>
      </c>
      <c r="C20" s="58">
        <v>22925</v>
      </c>
      <c r="D20" s="12">
        <f>Voltage!L20</f>
        <v>7.0031800999999998</v>
      </c>
      <c r="E20" s="12">
        <f>Voltage!M20</f>
        <v>0</v>
      </c>
      <c r="G20" s="12">
        <f>Voltage!N20</f>
        <v>22982</v>
      </c>
      <c r="H20" s="82">
        <f t="shared" si="30"/>
        <v>7.0027825859999995</v>
      </c>
      <c r="I20" s="79">
        <f t="shared" si="1"/>
        <v>3.9751400000032078E-4</v>
      </c>
      <c r="J20" s="85">
        <f t="shared" si="2"/>
        <v>5.6761927342168564E-5</v>
      </c>
      <c r="K20" s="12">
        <f>Voltage!O20</f>
        <v>22986</v>
      </c>
      <c r="L20" s="82">
        <f t="shared" si="31"/>
        <v>7.0028512125999995</v>
      </c>
      <c r="M20" s="112">
        <f t="shared" si="28"/>
        <v>3.2888740000025507E-4</v>
      </c>
      <c r="N20" s="85">
        <f t="shared" si="29"/>
        <v>4.6962579186026513E-5</v>
      </c>
      <c r="O20" s="13">
        <f>'Range 0'!L20*1000</f>
        <v>80.288223000000002</v>
      </c>
      <c r="P20" s="13">
        <f>'Range 0'!M20</f>
        <v>22034</v>
      </c>
      <c r="Q20" s="91">
        <f t="shared" si="32"/>
        <v>80.395665493999999</v>
      </c>
      <c r="R20" s="91">
        <f t="shared" si="5"/>
        <v>0.10744249399999717</v>
      </c>
      <c r="S20" s="88">
        <f t="shared" si="6"/>
        <v>1.0744249399999716E-4</v>
      </c>
      <c r="T20" s="14">
        <f>'Range 1'!L20*1000</f>
        <v>4.0792837999999998</v>
      </c>
      <c r="U20" s="14">
        <f>'Range 1'!M20</f>
        <v>22201</v>
      </c>
      <c r="V20" s="100">
        <f t="shared" si="33"/>
        <v>4.0861602213000001</v>
      </c>
      <c r="W20" s="107">
        <f t="shared" si="8"/>
        <v>6.8764213000003238E-3</v>
      </c>
      <c r="X20" s="118">
        <f t="shared" si="9"/>
        <v>6.8764213000003236E-5</v>
      </c>
      <c r="Y20" s="13">
        <f>'Range 2'!L20*1000</f>
        <v>0.19765000000000002</v>
      </c>
      <c r="Z20" s="13">
        <f>'Range 2'!M20</f>
        <v>22212</v>
      </c>
      <c r="AA20" s="77">
        <f t="shared" si="34"/>
        <v>0.19785251875599999</v>
      </c>
      <c r="AB20" s="91">
        <f t="shared" si="11"/>
        <v>2.0251875599996971E-4</v>
      </c>
      <c r="AC20" s="115">
        <f t="shared" si="12"/>
        <v>2.0251875599996971E-5</v>
      </c>
      <c r="AD20" s="14">
        <f>'Range 3'!L20*1000</f>
        <v>1.0201999999999999E-2</v>
      </c>
      <c r="AE20" s="14">
        <f>'Range 3'!M20</f>
        <v>22196</v>
      </c>
      <c r="AF20" s="100">
        <f t="shared" si="35"/>
        <v>1.0217925325599999E-2</v>
      </c>
      <c r="AG20" s="107">
        <f t="shared" si="14"/>
        <v>1.5925325600000054E-5</v>
      </c>
      <c r="AH20" s="118">
        <f t="shared" si="15"/>
        <v>1.5925325600000054E-5</v>
      </c>
      <c r="AK20" s="77">
        <f t="shared" si="36"/>
        <v>0</v>
      </c>
      <c r="AL20" s="91">
        <f t="shared" si="17"/>
        <v>0</v>
      </c>
      <c r="AM20" s="122">
        <f t="shared" si="18"/>
        <v>0</v>
      </c>
      <c r="AP20" s="100" t="e">
        <f t="shared" si="37"/>
        <v>#DIV/0!</v>
      </c>
      <c r="AQ20" s="107" t="e">
        <f t="shared" si="20"/>
        <v>#DIV/0!</v>
      </c>
      <c r="AR20" s="118" t="e">
        <f t="shared" si="21"/>
        <v>#DIV/0!</v>
      </c>
      <c r="AU20" s="77" t="e">
        <f t="shared" si="38"/>
        <v>#DIV/0!</v>
      </c>
      <c r="AV20" s="91" t="e">
        <f t="shared" si="23"/>
        <v>#DIV/0!</v>
      </c>
      <c r="AW20" s="122" t="e">
        <f t="shared" si="24"/>
        <v>#DIV/0!</v>
      </c>
      <c r="AZ20" s="100" t="e">
        <f t="shared" si="39"/>
        <v>#DIV/0!</v>
      </c>
      <c r="BA20" s="107" t="e">
        <f t="shared" si="26"/>
        <v>#DIV/0!</v>
      </c>
      <c r="BB20" s="118" t="e">
        <f t="shared" si="27"/>
        <v>#DIV/0!</v>
      </c>
    </row>
    <row r="21" spans="1:54" x14ac:dyDescent="0.3">
      <c r="A21" s="11">
        <v>20</v>
      </c>
      <c r="B21" s="11">
        <v>4500</v>
      </c>
      <c r="C21" s="58">
        <v>26200</v>
      </c>
      <c r="D21" s="12">
        <f>Voltage!L21</f>
        <v>8.0028092999999991</v>
      </c>
      <c r="E21" s="12">
        <f>Voltage!M21</f>
        <v>0</v>
      </c>
      <c r="G21" s="12">
        <f>Voltage!N21</f>
        <v>26264</v>
      </c>
      <c r="H21" s="82">
        <f t="shared" si="30"/>
        <v>8.0024912729999986</v>
      </c>
      <c r="I21" s="79">
        <f t="shared" si="1"/>
        <v>3.1802700000049811E-4</v>
      </c>
      <c r="J21" s="85">
        <f t="shared" si="2"/>
        <v>3.9739420005984419E-5</v>
      </c>
      <c r="K21" s="12">
        <f>Voltage!O21</f>
        <v>26268</v>
      </c>
      <c r="L21" s="82">
        <f t="shared" si="31"/>
        <v>8.0025241258000008</v>
      </c>
      <c r="M21" s="112">
        <f t="shared" si="28"/>
        <v>2.8517419999829485E-4</v>
      </c>
      <c r="N21" s="85">
        <f t="shared" si="29"/>
        <v>3.5634261583403577E-5</v>
      </c>
      <c r="O21" s="13">
        <f>'Range 0'!L21*1000</f>
        <v>90.279026000000002</v>
      </c>
      <c r="P21" s="13">
        <f>'Range 0'!M21</f>
        <v>24771</v>
      </c>
      <c r="Q21" s="91">
        <f t="shared" si="32"/>
        <v>90.370541566</v>
      </c>
      <c r="R21" s="91">
        <f t="shared" si="5"/>
        <v>9.1515565999998216E-2</v>
      </c>
      <c r="S21" s="88">
        <f t="shared" si="6"/>
        <v>9.151556599999822E-5</v>
      </c>
      <c r="T21" s="14">
        <f>'Range 1'!L21*1000</f>
        <v>4.5873638000000003</v>
      </c>
      <c r="U21" s="14">
        <f>'Range 1'!M21</f>
        <v>24960</v>
      </c>
      <c r="V21" s="100">
        <f t="shared" si="33"/>
        <v>4.5933590550000005</v>
      </c>
      <c r="W21" s="107">
        <f t="shared" si="8"/>
        <v>5.9952550000001992E-3</v>
      </c>
      <c r="X21" s="118">
        <f t="shared" si="9"/>
        <v>5.9952550000001995E-5</v>
      </c>
      <c r="Y21" s="13">
        <f>'Range 2'!L21*1000</f>
        <v>0.22209999999999999</v>
      </c>
      <c r="Z21" s="13">
        <f>'Range 2'!M21</f>
        <v>24973</v>
      </c>
      <c r="AA21" s="77">
        <f t="shared" si="34"/>
        <v>0.22241793092399997</v>
      </c>
      <c r="AB21" s="91">
        <f t="shared" si="11"/>
        <v>3.1793092399998168E-4</v>
      </c>
      <c r="AC21" s="115">
        <f t="shared" si="12"/>
        <v>3.1793092399998167E-5</v>
      </c>
      <c r="AD21" s="14">
        <f>'Range 3'!L21*1000</f>
        <v>1.1474E-2</v>
      </c>
      <c r="AE21" s="14">
        <f>'Range 3'!M21</f>
        <v>24957</v>
      </c>
      <c r="AF21" s="100">
        <f t="shared" si="35"/>
        <v>1.1487518992700001E-2</v>
      </c>
      <c r="AG21" s="107">
        <f t="shared" si="14"/>
        <v>1.3518992700000884E-5</v>
      </c>
      <c r="AH21" s="118">
        <f t="shared" si="15"/>
        <v>1.3518992700000884E-5</v>
      </c>
      <c r="AK21" s="77">
        <f t="shared" si="36"/>
        <v>0</v>
      </c>
      <c r="AL21" s="91">
        <f t="shared" si="17"/>
        <v>0</v>
      </c>
      <c r="AM21" s="122">
        <f t="shared" si="18"/>
        <v>0</v>
      </c>
      <c r="AP21" s="100" t="e">
        <f t="shared" si="37"/>
        <v>#DIV/0!</v>
      </c>
      <c r="AQ21" s="107" t="e">
        <f t="shared" si="20"/>
        <v>#DIV/0!</v>
      </c>
      <c r="AR21" s="118" t="e">
        <f t="shared" si="21"/>
        <v>#DIV/0!</v>
      </c>
      <c r="AU21" s="77" t="e">
        <f t="shared" si="38"/>
        <v>#DIV/0!</v>
      </c>
      <c r="AV21" s="91" t="e">
        <f t="shared" si="23"/>
        <v>#DIV/0!</v>
      </c>
      <c r="AW21" s="122" t="e">
        <f t="shared" si="24"/>
        <v>#DIV/0!</v>
      </c>
      <c r="AZ21" s="100" t="e">
        <f t="shared" si="39"/>
        <v>#DIV/0!</v>
      </c>
      <c r="BA21" s="107" t="e">
        <f t="shared" si="26"/>
        <v>#DIV/0!</v>
      </c>
      <c r="BB21" s="118" t="e">
        <f t="shared" si="27"/>
        <v>#DIV/0!</v>
      </c>
    </row>
    <row r="22" spans="1:54" s="26" customFormat="1" x14ac:dyDescent="0.3">
      <c r="A22" s="22">
        <v>21</v>
      </c>
      <c r="B22" s="22">
        <v>5000</v>
      </c>
      <c r="C22" s="60">
        <v>29475</v>
      </c>
      <c r="D22" s="23">
        <f>Voltage!L22</f>
        <v>9.0025078999999995</v>
      </c>
      <c r="E22" s="23">
        <f>Voltage!M22</f>
        <v>0</v>
      </c>
      <c r="F22" s="23"/>
      <c r="G22" s="23">
        <f>Voltage!N22</f>
        <v>29546</v>
      </c>
      <c r="H22" s="84">
        <f t="shared" si="30"/>
        <v>9.0021999599999987</v>
      </c>
      <c r="I22" s="81">
        <f t="shared" si="1"/>
        <v>3.079400000007837E-4</v>
      </c>
      <c r="J22" s="87">
        <f t="shared" si="2"/>
        <v>3.4206023857061398E-5</v>
      </c>
      <c r="K22" s="23">
        <f>Voltage!O22</f>
        <v>29550</v>
      </c>
      <c r="L22" s="84">
        <f t="shared" si="31"/>
        <v>9.0021970390000003</v>
      </c>
      <c r="M22" s="114">
        <f t="shared" si="28"/>
        <v>3.1086099999910743E-4</v>
      </c>
      <c r="N22" s="87">
        <f t="shared" si="29"/>
        <v>3.4530488998416483E-5</v>
      </c>
      <c r="O22" s="24">
        <f>'Range 0'!L22*1000</f>
        <v>100.22791000000001</v>
      </c>
      <c r="P22" s="24">
        <f>'Range 0'!M22</f>
        <v>27463</v>
      </c>
      <c r="Q22" s="93">
        <f t="shared" si="32"/>
        <v>100.181417118</v>
      </c>
      <c r="R22" s="93">
        <f t="shared" si="5"/>
        <v>4.6492882000009672E-2</v>
      </c>
      <c r="S22" s="90">
        <f t="shared" si="6"/>
        <v>4.6492882000009671E-5</v>
      </c>
      <c r="T22" s="25">
        <f>'Range 1'!L22*1000</f>
        <v>5.0945429000000004</v>
      </c>
      <c r="U22" s="25">
        <f>'Range 1'!M22</f>
        <v>27666</v>
      </c>
      <c r="V22" s="102">
        <f t="shared" si="33"/>
        <v>5.0908146708000004</v>
      </c>
      <c r="W22" s="109">
        <f t="shared" si="8"/>
        <v>3.7282292000000439E-3</v>
      </c>
      <c r="X22" s="120">
        <f t="shared" si="9"/>
        <v>3.7282292000000439E-5</v>
      </c>
      <c r="Y22" s="24">
        <f>'Range 2'!L22*1000</f>
        <v>0.24669999999999997</v>
      </c>
      <c r="Z22" s="24">
        <f>'Range 2'!M22</f>
        <v>27688</v>
      </c>
      <c r="AA22" s="97">
        <f t="shared" si="34"/>
        <v>0.24657406784399999</v>
      </c>
      <c r="AB22" s="93">
        <f t="shared" si="11"/>
        <v>1.2593215599998597E-4</v>
      </c>
      <c r="AC22" s="117">
        <f t="shared" si="12"/>
        <v>1.2593215599998598E-5</v>
      </c>
      <c r="AD22" s="25">
        <f>'Range 3'!L22*1000</f>
        <v>1.2742999999999999E-2</v>
      </c>
      <c r="AE22" s="25">
        <f>'Range 3'!M22</f>
        <v>27670</v>
      </c>
      <c r="AF22" s="102">
        <f t="shared" si="35"/>
        <v>1.2735040767E-2</v>
      </c>
      <c r="AG22" s="109">
        <f t="shared" si="14"/>
        <v>7.9592329999995937E-6</v>
      </c>
      <c r="AH22" s="120">
        <f t="shared" si="15"/>
        <v>7.9592329999995937E-6</v>
      </c>
      <c r="AI22" s="24"/>
      <c r="AJ22" s="24"/>
      <c r="AK22" s="97">
        <f t="shared" si="36"/>
        <v>0</v>
      </c>
      <c r="AL22" s="93">
        <f t="shared" si="17"/>
        <v>0</v>
      </c>
      <c r="AM22" s="124">
        <f t="shared" si="18"/>
        <v>0</v>
      </c>
      <c r="AN22" s="25"/>
      <c r="AO22" s="25"/>
      <c r="AP22" s="102" t="e">
        <f t="shared" si="37"/>
        <v>#DIV/0!</v>
      </c>
      <c r="AQ22" s="109" t="e">
        <f t="shared" si="20"/>
        <v>#DIV/0!</v>
      </c>
      <c r="AR22" s="120" t="e">
        <f t="shared" si="21"/>
        <v>#DIV/0!</v>
      </c>
      <c r="AS22" s="24"/>
      <c r="AT22" s="24"/>
      <c r="AU22" s="97" t="e">
        <f t="shared" si="38"/>
        <v>#DIV/0!</v>
      </c>
      <c r="AV22" s="93" t="e">
        <f t="shared" si="23"/>
        <v>#DIV/0!</v>
      </c>
      <c r="AW22" s="124" t="e">
        <f t="shared" si="24"/>
        <v>#DIV/0!</v>
      </c>
      <c r="AX22" s="25"/>
      <c r="AY22" s="25"/>
      <c r="AZ22" s="102" t="e">
        <f t="shared" si="39"/>
        <v>#DIV/0!</v>
      </c>
      <c r="BA22" s="109" t="e">
        <f t="shared" si="26"/>
        <v>#DIV/0!</v>
      </c>
      <c r="BB22" s="120" t="e">
        <f t="shared" si="27"/>
        <v>#DIV/0!</v>
      </c>
    </row>
    <row r="23" spans="1:54" s="30" customFormat="1" x14ac:dyDescent="0.3">
      <c r="A23" s="11"/>
      <c r="B23" s="11"/>
      <c r="C23" s="54"/>
      <c r="D23" s="27" t="str">
        <f>Voltage!B1</f>
        <v>hp34401a</v>
      </c>
      <c r="E23" s="27"/>
      <c r="F23" s="27"/>
      <c r="G23" s="27"/>
      <c r="H23" s="27"/>
      <c r="I23" s="67"/>
      <c r="J23" s="67"/>
      <c r="K23" s="27"/>
      <c r="L23" s="67"/>
      <c r="M23" s="27"/>
      <c r="N23" s="27"/>
      <c r="O23" s="28" t="str">
        <f>'Range 0'!B1</f>
        <v>hp34401a</v>
      </c>
      <c r="P23" s="28"/>
      <c r="Q23" s="74"/>
      <c r="R23" s="74"/>
      <c r="S23" s="74"/>
      <c r="T23" s="29" t="str">
        <f>'Range 1'!B1</f>
        <v>hp34401a</v>
      </c>
      <c r="U23" s="29"/>
      <c r="V23" s="103"/>
      <c r="W23" s="103"/>
      <c r="X23" s="103"/>
      <c r="Y23" s="28" t="str">
        <f>'Range 2'!$B$1</f>
        <v>keithley485</v>
      </c>
      <c r="Z23" s="28"/>
      <c r="AA23" s="74"/>
      <c r="AB23" s="74"/>
      <c r="AC23" s="74"/>
      <c r="AD23" s="29" t="str">
        <f>'Range 3'!$B$1</f>
        <v>keithley485</v>
      </c>
      <c r="AE23" s="29"/>
      <c r="AF23" s="103"/>
      <c r="AG23" s="103"/>
      <c r="AH23" s="103"/>
      <c r="AI23" s="28" t="str">
        <f>'Range 4'!$B$1</f>
        <v>hp34401a</v>
      </c>
      <c r="AJ23" s="28"/>
      <c r="AK23" s="74"/>
      <c r="AL23" s="28"/>
      <c r="AM23" s="28"/>
      <c r="AN23" s="29" t="str">
        <f>'Range 5'!$B$1</f>
        <v>hp34401a</v>
      </c>
      <c r="AO23" s="29"/>
      <c r="AP23" s="103"/>
      <c r="AQ23" s="103"/>
      <c r="AR23" s="103"/>
      <c r="AS23" s="28" t="str">
        <f>'Range 6'!$B$1</f>
        <v>hp34401a</v>
      </c>
      <c r="AT23" s="28"/>
      <c r="AU23" s="74"/>
      <c r="AV23" s="74"/>
      <c r="AW23" s="74"/>
      <c r="AX23" s="29" t="str">
        <f>'Range 7'!$B$1</f>
        <v>hp34401a</v>
      </c>
      <c r="AY23" s="29"/>
      <c r="AZ23" s="103"/>
      <c r="BA23" s="103"/>
      <c r="BB23" s="103"/>
    </row>
    <row r="24" spans="1:54" s="30" customFormat="1" x14ac:dyDescent="0.3">
      <c r="A24" s="11"/>
      <c r="B24" s="11"/>
      <c r="C24" s="54"/>
      <c r="D24" s="27"/>
      <c r="E24" s="27"/>
      <c r="F24" s="27"/>
      <c r="G24" s="27"/>
      <c r="H24" s="27"/>
      <c r="I24" s="67"/>
      <c r="J24" s="67"/>
      <c r="K24" s="27"/>
      <c r="L24" s="67"/>
      <c r="M24" s="27"/>
      <c r="N24" s="27"/>
      <c r="O24" s="28"/>
      <c r="P24" s="28"/>
      <c r="Q24" s="74"/>
      <c r="R24" s="74"/>
      <c r="S24" s="74"/>
      <c r="T24" s="29"/>
      <c r="U24" s="29"/>
      <c r="V24" s="103"/>
      <c r="W24" s="103"/>
      <c r="X24" s="103"/>
      <c r="Y24" s="28"/>
      <c r="Z24" s="28"/>
      <c r="AA24" s="74"/>
      <c r="AB24" s="74"/>
      <c r="AC24" s="74"/>
      <c r="AD24" s="29"/>
      <c r="AE24" s="29"/>
      <c r="AF24" s="103"/>
      <c r="AG24" s="103"/>
      <c r="AH24" s="103"/>
      <c r="AI24" s="28"/>
      <c r="AJ24" s="28"/>
      <c r="AK24" s="74"/>
      <c r="AL24" s="28"/>
      <c r="AM24" s="28"/>
      <c r="AN24" s="29"/>
      <c r="AO24" s="29"/>
      <c r="AP24" s="103"/>
      <c r="AQ24" s="103"/>
      <c r="AR24" s="103"/>
      <c r="AS24" s="28"/>
      <c r="AT24" s="28"/>
      <c r="AU24" s="74"/>
      <c r="AV24" s="74"/>
      <c r="AW24" s="74"/>
      <c r="AX24" s="29"/>
      <c r="AY24" s="29"/>
      <c r="AZ24" s="103"/>
      <c r="BA24" s="103"/>
      <c r="BB24" s="103"/>
    </row>
    <row r="25" spans="1:54" s="35" customFormat="1" x14ac:dyDescent="0.3">
      <c r="A25" s="31"/>
      <c r="B25" s="31"/>
      <c r="C25" s="55"/>
      <c r="D25" s="32" t="s">
        <v>26</v>
      </c>
      <c r="E25" s="32" t="s">
        <v>35</v>
      </c>
      <c r="F25" s="68" t="s">
        <v>35</v>
      </c>
      <c r="G25" s="32" t="s">
        <v>38</v>
      </c>
      <c r="H25" s="68" t="s">
        <v>38</v>
      </c>
      <c r="I25" s="32"/>
      <c r="J25" s="32"/>
      <c r="K25" s="32" t="s">
        <v>41</v>
      </c>
      <c r="L25" s="68" t="s">
        <v>41</v>
      </c>
      <c r="M25" s="32"/>
      <c r="N25" s="32"/>
      <c r="O25" s="33" t="s">
        <v>29</v>
      </c>
      <c r="P25" s="33" t="s">
        <v>44</v>
      </c>
      <c r="Q25" s="75" t="s">
        <v>44</v>
      </c>
      <c r="R25" s="33"/>
      <c r="S25" s="75"/>
      <c r="T25" s="34" t="s">
        <v>29</v>
      </c>
      <c r="U25" s="34" t="s">
        <v>44</v>
      </c>
      <c r="V25" s="104" t="s">
        <v>44</v>
      </c>
      <c r="W25" s="34"/>
      <c r="X25" s="104"/>
      <c r="Y25" s="33" t="s">
        <v>29</v>
      </c>
      <c r="Z25" s="33" t="s">
        <v>44</v>
      </c>
      <c r="AA25" s="75" t="s">
        <v>44</v>
      </c>
      <c r="AB25" s="33"/>
      <c r="AC25" s="75"/>
      <c r="AD25" s="34" t="s">
        <v>29</v>
      </c>
      <c r="AE25" s="34" t="s">
        <v>44</v>
      </c>
      <c r="AF25" s="104" t="s">
        <v>44</v>
      </c>
      <c r="AG25" s="34"/>
      <c r="AH25" s="104"/>
      <c r="AI25" s="33" t="s">
        <v>29</v>
      </c>
      <c r="AJ25" s="33" t="s">
        <v>44</v>
      </c>
      <c r="AK25" s="75" t="s">
        <v>44</v>
      </c>
      <c r="AL25" s="33"/>
      <c r="AM25" s="33"/>
      <c r="AN25" s="34" t="s">
        <v>29</v>
      </c>
      <c r="AO25" s="34" t="s">
        <v>44</v>
      </c>
      <c r="AP25" s="104" t="s">
        <v>44</v>
      </c>
      <c r="AQ25" s="104"/>
      <c r="AR25" s="104"/>
      <c r="AS25" s="33" t="s">
        <v>29</v>
      </c>
      <c r="AT25" s="33" t="s">
        <v>44</v>
      </c>
      <c r="AU25" s="75" t="s">
        <v>44</v>
      </c>
      <c r="AV25" s="75"/>
      <c r="AW25" s="75"/>
      <c r="AX25" s="34" t="s">
        <v>29</v>
      </c>
      <c r="AY25" s="34" t="s">
        <v>44</v>
      </c>
      <c r="AZ25" s="104" t="s">
        <v>44</v>
      </c>
      <c r="BA25" s="104"/>
      <c r="BB25" s="104"/>
    </row>
    <row r="26" spans="1:54" s="30" customFormat="1" x14ac:dyDescent="0.3">
      <c r="A26" s="11"/>
      <c r="B26" s="11"/>
      <c r="C26" s="54"/>
      <c r="D26" s="27">
        <f>SLOPE($C2:$C12,D2:D12)</f>
        <v>3275.9895338525266</v>
      </c>
      <c r="E26" s="27" t="e">
        <f>SLOPE($D2:$D12,E2:E12)</f>
        <v>#DIV/0!</v>
      </c>
      <c r="F26" s="67">
        <f>Calibrate!C13</f>
        <v>0</v>
      </c>
      <c r="G26" s="27">
        <f>SLOPE($D2:$D12,G2:G12)</f>
        <v>3.0460375892431762E-4</v>
      </c>
      <c r="H26" s="67">
        <f>Calibrate!C16</f>
        <v>3.0460369999999999E-4</v>
      </c>
      <c r="I26" s="27"/>
      <c r="J26" s="27"/>
      <c r="K26" s="27">
        <f t="shared" ref="K26" si="40">SLOPE($D2:$D12,K2:K12)</f>
        <v>3.0459104434067599E-4</v>
      </c>
      <c r="L26" s="67">
        <f>Calibrate!C19</f>
        <v>3.0459109999999998E-4</v>
      </c>
      <c r="M26" s="27"/>
      <c r="N26" s="27"/>
      <c r="O26" s="28">
        <f>SLOPE($B2:$B12,O2:O12)</f>
        <v>50.05714346709906</v>
      </c>
      <c r="P26" s="28">
        <f>SLOPE(O2:O12,P2:P12)</f>
        <v>3.6392790897289903E-3</v>
      </c>
      <c r="Q26" s="74">
        <f>Calibrate!C29</f>
        <v>3.639279E-3</v>
      </c>
      <c r="R26" s="28"/>
      <c r="S26" s="74"/>
      <c r="T26" s="29">
        <f>SLOPE($B2:$B12,T2:T12)</f>
        <v>984.48126599873763</v>
      </c>
      <c r="U26" s="29">
        <f>SLOPE(T2:T12,U2:U12)</f>
        <v>1.8353396922305104E-4</v>
      </c>
      <c r="V26" s="103">
        <f>Calibrate!C30</f>
        <v>1.8353400000000001E-4</v>
      </c>
      <c r="W26" s="29"/>
      <c r="X26" s="103"/>
      <c r="Y26" s="28">
        <f>SLOPE($B2:$B12,Y2:Y12)</f>
        <v>20322.319136932096</v>
      </c>
      <c r="Z26" s="28">
        <f>SLOPE(Y2:Y12,Z2:Z12)</f>
        <v>8.8848506046871549E-6</v>
      </c>
      <c r="AA26" s="74">
        <f>Calibrate!C31</f>
        <v>8.8848509999999995E-6</v>
      </c>
      <c r="AB26" s="28"/>
      <c r="AC26" s="74"/>
      <c r="AD26" s="29">
        <f>SLOPE($B2:$B12,AD2:AD12)</f>
        <v>393292.12721545208</v>
      </c>
      <c r="AE26" s="29">
        <f>SLOPE(AD2:AD12,AE2:AE12)</f>
        <v>4.5913839012877887E-7</v>
      </c>
      <c r="AF26" s="103">
        <f>Calibrate!C32</f>
        <v>4.5913839999999999E-7</v>
      </c>
      <c r="AG26" s="29"/>
      <c r="AH26" s="103"/>
      <c r="AI26" s="28" t="e">
        <f>SLOPE($B2:$B12,AJ2:AJ12)</f>
        <v>#DIV/0!</v>
      </c>
      <c r="AJ26" s="28" t="e">
        <f>SLOPE(AI2:AI12,AJ2:AJ12)</f>
        <v>#DIV/0!</v>
      </c>
      <c r="AK26" s="74">
        <f>Calibrate!C33</f>
        <v>0</v>
      </c>
      <c r="AL26" s="28"/>
      <c r="AM26" s="28"/>
      <c r="AN26" s="29" t="e">
        <f>SLOPE($B2:$B12,AO2:AO12)</f>
        <v>#DIV/0!</v>
      </c>
      <c r="AO26" s="29" t="e">
        <v>#DIV/0!</v>
      </c>
      <c r="AP26" s="103">
        <f>Calibrate!C34</f>
        <v>0</v>
      </c>
      <c r="AQ26" s="103"/>
      <c r="AR26" s="103"/>
      <c r="AS26" s="28" t="e">
        <f>SLOPE($B2:$B12,AT2:AT12)</f>
        <v>#DIV/0!</v>
      </c>
      <c r="AT26" s="28" t="e">
        <f>SLOPE(AS2:AS12,AT2:AT12)</f>
        <v>#DIV/0!</v>
      </c>
      <c r="AU26" s="74">
        <f>Calibrate!C35</f>
        <v>0</v>
      </c>
      <c r="AV26" s="74"/>
      <c r="AW26" s="74"/>
      <c r="AX26" s="29" t="e">
        <f>SLOPE($B2:$B12,AY2:AY12)</f>
        <v>#DIV/0!</v>
      </c>
      <c r="AY26" s="29" t="e">
        <f>SLOPE(AX2:AX12,AY2:AY12)</f>
        <v>#DIV/0!</v>
      </c>
      <c r="AZ26" s="103">
        <f>Calibrate!C36</f>
        <v>0</v>
      </c>
      <c r="BA26" s="103"/>
      <c r="BB26" s="103"/>
    </row>
    <row r="27" spans="1:54" s="30" customFormat="1" x14ac:dyDescent="0.3">
      <c r="A27" s="11"/>
      <c r="B27" s="11"/>
      <c r="C27" s="54"/>
      <c r="D27" s="27"/>
      <c r="E27" s="27"/>
      <c r="F27" s="67"/>
      <c r="G27" s="27"/>
      <c r="H27" s="67"/>
      <c r="I27" s="27"/>
      <c r="J27" s="27"/>
      <c r="K27" s="27"/>
      <c r="L27" s="67"/>
      <c r="M27" s="27"/>
      <c r="N27" s="27"/>
      <c r="O27" s="28"/>
      <c r="P27" s="28"/>
      <c r="Q27" s="74"/>
      <c r="R27" s="28"/>
      <c r="S27" s="74"/>
      <c r="T27" s="29"/>
      <c r="U27" s="29"/>
      <c r="V27" s="103"/>
      <c r="W27" s="29"/>
      <c r="X27" s="103"/>
      <c r="Y27" s="28"/>
      <c r="Z27" s="28"/>
      <c r="AA27" s="74"/>
      <c r="AB27" s="28"/>
      <c r="AC27" s="74"/>
      <c r="AD27" s="29"/>
      <c r="AE27" s="29"/>
      <c r="AF27" s="103"/>
      <c r="AG27" s="29"/>
      <c r="AH27" s="103"/>
      <c r="AI27" s="28"/>
      <c r="AJ27" s="28"/>
      <c r="AK27" s="74"/>
      <c r="AL27" s="28"/>
      <c r="AM27" s="28"/>
      <c r="AN27" s="29"/>
      <c r="AO27" s="29"/>
      <c r="AP27" s="103"/>
      <c r="AQ27" s="103"/>
      <c r="AR27" s="103"/>
      <c r="AS27" s="28"/>
      <c r="AT27" s="28"/>
      <c r="AU27" s="74"/>
      <c r="AV27" s="74"/>
      <c r="AW27" s="74"/>
      <c r="AX27" s="29"/>
      <c r="AY27" s="29"/>
      <c r="AZ27" s="103"/>
      <c r="BA27" s="103"/>
      <c r="BB27" s="103"/>
    </row>
    <row r="28" spans="1:54" s="35" customFormat="1" x14ac:dyDescent="0.3">
      <c r="A28" s="31"/>
      <c r="B28" s="31"/>
      <c r="C28" s="55"/>
      <c r="D28" s="32" t="s">
        <v>25</v>
      </c>
      <c r="E28" s="32" t="s">
        <v>34</v>
      </c>
      <c r="F28" s="68" t="s">
        <v>34</v>
      </c>
      <c r="G28" s="32" t="s">
        <v>37</v>
      </c>
      <c r="H28" s="68" t="s">
        <v>37</v>
      </c>
      <c r="I28" s="32"/>
      <c r="J28" s="32"/>
      <c r="K28" s="32" t="s">
        <v>40</v>
      </c>
      <c r="L28" s="68" t="s">
        <v>40</v>
      </c>
      <c r="M28" s="32"/>
      <c r="N28" s="32"/>
      <c r="O28" s="33" t="s">
        <v>28</v>
      </c>
      <c r="P28" s="33" t="s">
        <v>43</v>
      </c>
      <c r="Q28" s="75" t="s">
        <v>43</v>
      </c>
      <c r="R28" s="33"/>
      <c r="S28" s="75"/>
      <c r="T28" s="34" t="s">
        <v>28</v>
      </c>
      <c r="U28" s="34" t="s">
        <v>43</v>
      </c>
      <c r="V28" s="104" t="s">
        <v>43</v>
      </c>
      <c r="W28" s="34"/>
      <c r="X28" s="104"/>
      <c r="Y28" s="33" t="s">
        <v>28</v>
      </c>
      <c r="Z28" s="33" t="s">
        <v>43</v>
      </c>
      <c r="AA28" s="75" t="s">
        <v>43</v>
      </c>
      <c r="AB28" s="33"/>
      <c r="AC28" s="75"/>
      <c r="AD28" s="34" t="s">
        <v>28</v>
      </c>
      <c r="AE28" s="34" t="s">
        <v>43</v>
      </c>
      <c r="AF28" s="104" t="s">
        <v>43</v>
      </c>
      <c r="AG28" s="34"/>
      <c r="AH28" s="104"/>
      <c r="AI28" s="33" t="s">
        <v>28</v>
      </c>
      <c r="AJ28" s="33" t="s">
        <v>43</v>
      </c>
      <c r="AK28" s="75" t="s">
        <v>43</v>
      </c>
      <c r="AL28" s="33"/>
      <c r="AM28" s="33"/>
      <c r="AN28" s="34" t="s">
        <v>28</v>
      </c>
      <c r="AO28" s="34" t="s">
        <v>43</v>
      </c>
      <c r="AP28" s="104" t="s">
        <v>43</v>
      </c>
      <c r="AQ28" s="104"/>
      <c r="AR28" s="104"/>
      <c r="AS28" s="33" t="s">
        <v>28</v>
      </c>
      <c r="AT28" s="33" t="s">
        <v>43</v>
      </c>
      <c r="AU28" s="75" t="s">
        <v>43</v>
      </c>
      <c r="AV28" s="75"/>
      <c r="AW28" s="75"/>
      <c r="AX28" s="34" t="s">
        <v>28</v>
      </c>
      <c r="AY28" s="34" t="s">
        <v>43</v>
      </c>
      <c r="AZ28" s="104" t="s">
        <v>43</v>
      </c>
      <c r="BA28" s="104"/>
      <c r="BB28" s="104"/>
    </row>
    <row r="29" spans="1:54" s="30" customFormat="1" x14ac:dyDescent="0.3">
      <c r="A29" s="11"/>
      <c r="B29" s="11"/>
      <c r="C29" s="54"/>
      <c r="D29" s="27">
        <f>SLOPE($C12:$C22,D12:D22)</f>
        <v>3275.4370543947925</v>
      </c>
      <c r="E29" s="27" t="e">
        <f>SLOPE($D12:$D22,E12:E22)</f>
        <v>#DIV/0!</v>
      </c>
      <c r="F29" s="67">
        <f>Calibrate!C12</f>
        <v>0</v>
      </c>
      <c r="G29" s="27">
        <f>SLOPE($D12:$D22,G12:G22)</f>
        <v>3.0460351052990554E-4</v>
      </c>
      <c r="H29" s="67">
        <f>Calibrate!C15</f>
        <v>3.0460349999999998E-4</v>
      </c>
      <c r="I29" s="27"/>
      <c r="J29" s="27"/>
      <c r="K29" s="27">
        <f t="shared" ref="K29" si="41">SLOPE($D12:$D22,K12:K22)</f>
        <v>3.0459257834628136E-4</v>
      </c>
      <c r="L29" s="67">
        <f>Calibrate!C18</f>
        <v>3.045926E-4</v>
      </c>
      <c r="M29" s="27"/>
      <c r="N29" s="27"/>
      <c r="O29" s="28">
        <f>SLOPE($B12:$B22,O12:O22)</f>
        <v>50.077423941373333</v>
      </c>
      <c r="P29" s="28">
        <f>SLOPE(O12:O22,P12:P22)</f>
        <v>3.6444563365247086E-3</v>
      </c>
      <c r="Q29" s="74">
        <f>Calibrate!C21</f>
        <v>3.6444559999999999E-3</v>
      </c>
      <c r="R29" s="28"/>
      <c r="S29" s="74"/>
      <c r="T29" s="29">
        <f>SLOPE($B12:$B22,T12:T22)</f>
        <v>984.76832928911335</v>
      </c>
      <c r="U29" s="29">
        <f>SLOPE(T12:T22,U12:U22)</f>
        <v>1.8383432139612528E-4</v>
      </c>
      <c r="V29" s="103">
        <f>Calibrate!C22</f>
        <v>1.8383430000000001E-4</v>
      </c>
      <c r="W29" s="29"/>
      <c r="X29" s="103"/>
      <c r="Y29" s="28">
        <f>SLOPE($B12:$B22,Y12:Y22)</f>
        <v>20334.691740800292</v>
      </c>
      <c r="Z29" s="28">
        <f>SLOPE(Y12:Y22,Z12:Z22)</f>
        <v>8.8972885347636981E-6</v>
      </c>
      <c r="AA29" s="74">
        <f>Calibrate!C23</f>
        <v>8.8972879999999992E-6</v>
      </c>
      <c r="AB29" s="28"/>
      <c r="AC29" s="74"/>
      <c r="AD29" s="29">
        <f>SLOPE($B12:$B22,AD12:AD22)</f>
        <v>393466.84259294235</v>
      </c>
      <c r="AE29" s="29">
        <f>SLOPE(AD12:AD22,AE12:AE22)</f>
        <v>4.5983112932873621E-7</v>
      </c>
      <c r="AF29" s="103">
        <f>Calibrate!C24</f>
        <v>4.5983109999999998E-7</v>
      </c>
      <c r="AG29" s="29"/>
      <c r="AH29" s="103"/>
      <c r="AI29" s="28" t="e">
        <f>SLOPE($B12:$B22,AJ12:AJ22)</f>
        <v>#DIV/0!</v>
      </c>
      <c r="AJ29" s="28" t="e">
        <f>SLOPE(AI12:AI22,AJ12:AJ22)</f>
        <v>#DIV/0!</v>
      </c>
      <c r="AK29" s="74">
        <f>Calibrate!C25</f>
        <v>0</v>
      </c>
      <c r="AL29" s="28"/>
      <c r="AM29" s="28"/>
      <c r="AN29" s="29" t="e">
        <f>SLOPE($B12:$B22,AO12:AO22)</f>
        <v>#DIV/0!</v>
      </c>
      <c r="AO29" s="29" t="e">
        <v>#DIV/0!</v>
      </c>
      <c r="AP29" s="103">
        <f>Calibrate!C26</f>
        <v>0</v>
      </c>
      <c r="AQ29" s="103"/>
      <c r="AR29" s="103"/>
      <c r="AS29" s="28" t="e">
        <f>SLOPE($B12:$B22,AT12:AT22)</f>
        <v>#DIV/0!</v>
      </c>
      <c r="AT29" s="28" t="e">
        <f>SLOPE(AS12:AS22,AT12:AT22)</f>
        <v>#DIV/0!</v>
      </c>
      <c r="AU29" s="74">
        <f>Calibrate!C27</f>
        <v>0</v>
      </c>
      <c r="AV29" s="74"/>
      <c r="AW29" s="74"/>
      <c r="AX29" s="29" t="e">
        <f>SLOPE($B12:$B22,AY12:AY22)</f>
        <v>#DIV/0!</v>
      </c>
      <c r="AY29" s="29" t="e">
        <f>SLOPE(AX12:AX22,AY12:AY22)</f>
        <v>#DIV/0!</v>
      </c>
      <c r="AZ29" s="103">
        <f>Calibrate!C28</f>
        <v>0</v>
      </c>
      <c r="BA29" s="103"/>
      <c r="BB29" s="103"/>
    </row>
    <row r="30" spans="1:54" s="30" customFormat="1" x14ac:dyDescent="0.3">
      <c r="A30" s="11"/>
      <c r="B30" s="11"/>
      <c r="C30" s="54"/>
      <c r="D30" s="27"/>
      <c r="E30" s="27"/>
      <c r="F30" s="67"/>
      <c r="G30" s="27"/>
      <c r="H30" s="67"/>
      <c r="I30" s="27"/>
      <c r="J30" s="27"/>
      <c r="K30" s="27"/>
      <c r="L30" s="67"/>
      <c r="M30" s="27"/>
      <c r="N30" s="27"/>
      <c r="O30" s="28"/>
      <c r="P30" s="28"/>
      <c r="Q30" s="74"/>
      <c r="R30" s="28"/>
      <c r="S30" s="74"/>
      <c r="T30" s="29"/>
      <c r="U30" s="29"/>
      <c r="V30" s="103"/>
      <c r="W30" s="29"/>
      <c r="X30" s="103"/>
      <c r="Y30" s="28"/>
      <c r="Z30" s="28"/>
      <c r="AA30" s="74"/>
      <c r="AB30" s="28"/>
      <c r="AC30" s="74"/>
      <c r="AD30" s="29"/>
      <c r="AE30" s="29"/>
      <c r="AF30" s="103"/>
      <c r="AG30" s="29"/>
      <c r="AH30" s="103"/>
      <c r="AI30" s="28"/>
      <c r="AJ30" s="28"/>
      <c r="AK30" s="74"/>
      <c r="AL30" s="28"/>
      <c r="AM30" s="28"/>
      <c r="AN30" s="29"/>
      <c r="AO30" s="29"/>
      <c r="AP30" s="103"/>
      <c r="AQ30" s="103"/>
      <c r="AR30" s="103"/>
      <c r="AS30" s="28"/>
      <c r="AT30" s="28"/>
      <c r="AU30" s="74"/>
      <c r="AV30" s="74"/>
      <c r="AW30" s="74"/>
      <c r="AX30" s="29"/>
      <c r="AY30" s="29"/>
      <c r="AZ30" s="103"/>
      <c r="BA30" s="103"/>
      <c r="BB30" s="103"/>
    </row>
    <row r="31" spans="1:54" s="35" customFormat="1" x14ac:dyDescent="0.3">
      <c r="A31" s="31"/>
      <c r="B31" s="31"/>
      <c r="C31" s="55"/>
      <c r="D31" s="32" t="s">
        <v>27</v>
      </c>
      <c r="E31" s="32" t="s">
        <v>36</v>
      </c>
      <c r="F31" s="68" t="s">
        <v>36</v>
      </c>
      <c r="G31" s="32" t="s">
        <v>39</v>
      </c>
      <c r="H31" s="68" t="s">
        <v>39</v>
      </c>
      <c r="I31" s="32"/>
      <c r="J31" s="32"/>
      <c r="K31" s="32" t="s">
        <v>42</v>
      </c>
      <c r="L31" s="68" t="s">
        <v>42</v>
      </c>
      <c r="M31" s="32"/>
      <c r="N31" s="32"/>
      <c r="O31" s="33" t="s">
        <v>30</v>
      </c>
      <c r="P31" s="33" t="s">
        <v>45</v>
      </c>
      <c r="Q31" s="75" t="s">
        <v>45</v>
      </c>
      <c r="R31" s="33"/>
      <c r="S31" s="75"/>
      <c r="T31" s="34" t="s">
        <v>30</v>
      </c>
      <c r="U31" s="34" t="s">
        <v>45</v>
      </c>
      <c r="V31" s="104" t="s">
        <v>45</v>
      </c>
      <c r="W31" s="34"/>
      <c r="X31" s="104"/>
      <c r="Y31" s="33" t="s">
        <v>30</v>
      </c>
      <c r="Z31" s="33" t="s">
        <v>45</v>
      </c>
      <c r="AA31" s="75" t="s">
        <v>45</v>
      </c>
      <c r="AB31" s="33"/>
      <c r="AC31" s="75"/>
      <c r="AD31" s="34" t="s">
        <v>30</v>
      </c>
      <c r="AE31" s="34" t="s">
        <v>45</v>
      </c>
      <c r="AF31" s="104" t="s">
        <v>45</v>
      </c>
      <c r="AG31" s="34"/>
      <c r="AH31" s="104"/>
      <c r="AI31" s="33" t="s">
        <v>30</v>
      </c>
      <c r="AJ31" s="33" t="s">
        <v>45</v>
      </c>
      <c r="AK31" s="75" t="s">
        <v>45</v>
      </c>
      <c r="AL31" s="33"/>
      <c r="AM31" s="33"/>
      <c r="AN31" s="34" t="s">
        <v>30</v>
      </c>
      <c r="AO31" s="34" t="s">
        <v>45</v>
      </c>
      <c r="AP31" s="104" t="s">
        <v>45</v>
      </c>
      <c r="AQ31" s="104"/>
      <c r="AR31" s="104"/>
      <c r="AS31" s="33" t="s">
        <v>30</v>
      </c>
      <c r="AT31" s="33" t="s">
        <v>45</v>
      </c>
      <c r="AU31" s="75" t="s">
        <v>45</v>
      </c>
      <c r="AV31" s="75"/>
      <c r="AW31" s="75"/>
      <c r="AX31" s="34" t="s">
        <v>30</v>
      </c>
      <c r="AY31" s="34" t="s">
        <v>45</v>
      </c>
      <c r="AZ31" s="104" t="s">
        <v>45</v>
      </c>
      <c r="BA31" s="104"/>
      <c r="BB31" s="104"/>
    </row>
    <row r="32" spans="1:54" s="30" customFormat="1" x14ac:dyDescent="0.3">
      <c r="A32" s="11"/>
      <c r="B32" s="11"/>
      <c r="C32" s="54"/>
      <c r="D32" s="27">
        <f>INTERCEPT($C2:$C22,D2:D22)</f>
        <v>-15.701307131470962</v>
      </c>
      <c r="E32" s="27" t="e">
        <f>INTERCEPT($D2:$D22,E2:E22)</f>
        <v>#DIV/0!</v>
      </c>
      <c r="F32" s="67">
        <f>Calibrate!C14</f>
        <v>0</v>
      </c>
      <c r="G32" s="27">
        <f t="shared" ref="G32:K32" si="42">INTERCEPT($D2:$D22,G2:G22)</f>
        <v>2.3849492990028398E-3</v>
      </c>
      <c r="H32" s="67">
        <f>Calibrate!C17</f>
        <v>2.3849489999999999E-3</v>
      </c>
      <c r="I32" s="27"/>
      <c r="J32" s="27"/>
      <c r="K32" s="27">
        <f t="shared" si="42"/>
        <v>1.485709441248719E-3</v>
      </c>
      <c r="L32" s="67">
        <f>Calibrate!C20</f>
        <v>1.485709E-3</v>
      </c>
      <c r="M32" s="27"/>
      <c r="N32" s="27"/>
      <c r="O32" s="28">
        <f>INTERCEPT($B2:$B22,O2:O22)</f>
        <v>-19.087948618934412</v>
      </c>
      <c r="P32" s="28">
        <f>INTERCEPT(O2:O22,P2:P22)</f>
        <v>9.3721993434903783E-2</v>
      </c>
      <c r="Q32" s="74">
        <f>Calibrate!C37</f>
        <v>9.3721990000000005E-2</v>
      </c>
      <c r="R32" s="28"/>
      <c r="S32" s="74"/>
      <c r="T32" s="29">
        <f>INTERCEPT($B2:$B22,T2:T22)</f>
        <v>-16.252632062912173</v>
      </c>
      <c r="U32" s="29">
        <f>INTERCEPT(T2:T22,U2:U22)</f>
        <v>4.8549268494974904E-3</v>
      </c>
      <c r="V32" s="103">
        <f>Calibrate!C38</f>
        <v>4.8549270000000002E-3</v>
      </c>
      <c r="W32" s="29"/>
      <c r="X32" s="103"/>
      <c r="Y32" s="28">
        <f>INTERCEPT($B2:$B22,Y2:Y22)</f>
        <v>-16.092861309187104</v>
      </c>
      <c r="Z32" s="28">
        <f>INTERCEPT(Y2:Y22,Z2:Z22)</f>
        <v>2.2595769842238605E-4</v>
      </c>
      <c r="AA32" s="74">
        <f>Calibrate!C39</f>
        <v>2.2595770000000001E-4</v>
      </c>
      <c r="AB32" s="28"/>
      <c r="AC32" s="74"/>
      <c r="AD32" s="29">
        <f>INTERCEPT($B2:$B22,AD2:AD22)</f>
        <v>-13.148369878567109</v>
      </c>
      <c r="AE32" s="29">
        <f>INTERCEPT(AD2:AD22,AE2:AE22)</f>
        <v>1.1514234534492442E-5</v>
      </c>
      <c r="AF32" s="103">
        <f>Calibrate!C40</f>
        <v>1.1514229999999999E-5</v>
      </c>
      <c r="AG32" s="29"/>
      <c r="AH32" s="103"/>
      <c r="AI32" s="28" t="e">
        <f>INTERCEPT($B2:$B22,AJ2:AJ22)</f>
        <v>#DIV/0!</v>
      </c>
      <c r="AJ32" s="28" t="e">
        <f>INTERCEPT(AI2:AI22,AJ2:AJ22)</f>
        <v>#DIV/0!</v>
      </c>
      <c r="AK32" s="74">
        <f>Calibrate!C41</f>
        <v>0</v>
      </c>
      <c r="AL32" s="28"/>
      <c r="AM32" s="28"/>
      <c r="AN32" s="29" t="e">
        <f>INTERCEPT($B2:$B22,AO2:AO22)</f>
        <v>#DIV/0!</v>
      </c>
      <c r="AO32" s="29" t="e">
        <v>#DIV/0!</v>
      </c>
      <c r="AP32" s="103">
        <f>Calibrate!C42</f>
        <v>0</v>
      </c>
      <c r="AQ32" s="103"/>
      <c r="AR32" s="103"/>
      <c r="AS32" s="28" t="e">
        <f>INTERCEPT($B2:$B22,AT2:AT22)</f>
        <v>#DIV/0!</v>
      </c>
      <c r="AT32" s="28" t="e">
        <f>INTERCEPT(AS2:AS22,AT2:AT22)</f>
        <v>#DIV/0!</v>
      </c>
      <c r="AU32" s="74">
        <f>Calibrate!C43</f>
        <v>0</v>
      </c>
      <c r="AV32" s="74"/>
      <c r="AW32" s="74"/>
      <c r="AX32" s="29" t="e">
        <f>INTERCEPT($B2:$B22,AY2:AY22)</f>
        <v>#DIV/0!</v>
      </c>
      <c r="AY32" s="29" t="e">
        <f>INTERCEPT(AX2:AX22,AY2:AY22)</f>
        <v>#DIV/0!</v>
      </c>
      <c r="AZ32" s="103">
        <f>Calibrate!C44</f>
        <v>0</v>
      </c>
      <c r="BA32" s="103"/>
      <c r="BB32" s="103"/>
    </row>
    <row r="33" spans="1:54" s="30" customFormat="1" x14ac:dyDescent="0.3">
      <c r="A33" s="11"/>
      <c r="B33" s="11"/>
      <c r="C33" s="54"/>
      <c r="D33" s="27"/>
      <c r="E33" s="27"/>
      <c r="F33" s="27"/>
      <c r="G33" s="27"/>
      <c r="H33" s="27"/>
      <c r="I33" s="67"/>
      <c r="J33" s="67"/>
      <c r="K33" s="27"/>
      <c r="L33" s="67"/>
      <c r="M33" s="27"/>
      <c r="N33" s="27"/>
      <c r="O33" s="28"/>
      <c r="P33" s="28"/>
      <c r="Q33" s="74"/>
      <c r="R33" s="74"/>
      <c r="S33" s="74"/>
      <c r="T33" s="29"/>
      <c r="U33" s="29"/>
      <c r="V33" s="103"/>
      <c r="W33" s="103"/>
      <c r="X33" s="103"/>
      <c r="Y33" s="28"/>
      <c r="Z33" s="28"/>
      <c r="AA33" s="74"/>
      <c r="AB33" s="74"/>
      <c r="AC33" s="74"/>
      <c r="AD33" s="29"/>
      <c r="AE33" s="29"/>
      <c r="AF33" s="103"/>
      <c r="AG33" s="103"/>
      <c r="AH33" s="103"/>
      <c r="AI33" s="28"/>
      <c r="AJ33" s="28"/>
      <c r="AK33" s="74"/>
      <c r="AL33" s="28"/>
      <c r="AM33" s="28"/>
      <c r="AN33" s="29"/>
      <c r="AO33" s="29"/>
      <c r="AP33" s="103"/>
      <c r="AQ33" s="103"/>
      <c r="AR33" s="103"/>
      <c r="AS33" s="28"/>
      <c r="AT33" s="28"/>
      <c r="AU33" s="74"/>
      <c r="AV33" s="74"/>
      <c r="AW33" s="74"/>
      <c r="AX33" s="29"/>
      <c r="AY33" s="29"/>
      <c r="AZ33" s="103"/>
      <c r="BA33" s="103"/>
      <c r="BB33" s="103"/>
    </row>
    <row r="34" spans="1:54" s="42" customFormat="1" x14ac:dyDescent="0.3">
      <c r="A34" s="36"/>
      <c r="B34" s="36"/>
      <c r="C34" s="56"/>
      <c r="D34" s="111" t="s">
        <v>24</v>
      </c>
      <c r="E34" s="37"/>
      <c r="F34" s="37"/>
      <c r="G34" s="37"/>
      <c r="H34" s="94"/>
      <c r="I34" s="69"/>
      <c r="J34" s="69"/>
      <c r="K34" s="37"/>
      <c r="L34" s="69"/>
      <c r="M34" s="37"/>
      <c r="N34" s="37"/>
      <c r="O34" s="38"/>
      <c r="P34" s="38"/>
      <c r="Q34" s="76"/>
      <c r="R34" s="76"/>
      <c r="S34" s="76"/>
      <c r="T34" s="39"/>
      <c r="U34" s="39"/>
      <c r="V34" s="105"/>
      <c r="W34" s="105"/>
      <c r="X34" s="105"/>
      <c r="Y34" s="38"/>
      <c r="Z34" s="38"/>
      <c r="AA34" s="76"/>
      <c r="AB34" s="76"/>
      <c r="AC34" s="76"/>
      <c r="AD34" s="39"/>
      <c r="AE34" s="39"/>
      <c r="AF34" s="105"/>
      <c r="AG34" s="105"/>
      <c r="AH34" s="105"/>
      <c r="AI34" s="38"/>
      <c r="AJ34" s="40"/>
      <c r="AK34" s="126"/>
      <c r="AL34" s="40"/>
      <c r="AM34" s="40"/>
      <c r="AN34" s="41"/>
      <c r="AO34" s="41"/>
      <c r="AP34" s="125"/>
      <c r="AQ34" s="125"/>
      <c r="AR34" s="125"/>
      <c r="AS34" s="40"/>
      <c r="AT34" s="40"/>
      <c r="AU34" s="126"/>
      <c r="AV34" s="126"/>
      <c r="AW34" s="126"/>
      <c r="AX34" s="41"/>
      <c r="AY34" s="41"/>
      <c r="AZ34" s="125"/>
      <c r="BA34" s="125"/>
      <c r="BB34" s="125"/>
    </row>
    <row r="35" spans="1:54" s="30" customFormat="1" x14ac:dyDescent="0.3">
      <c r="A35" s="11"/>
      <c r="B35" s="11"/>
      <c r="C35" s="54"/>
      <c r="D35" s="27">
        <v>3482.6170000000002</v>
      </c>
      <c r="E35" s="27"/>
      <c r="F35" s="27"/>
      <c r="G35" s="27"/>
      <c r="H35" s="27"/>
      <c r="I35" s="67"/>
      <c r="J35" s="67"/>
      <c r="K35" s="27"/>
      <c r="L35" s="67"/>
      <c r="M35" s="27"/>
      <c r="N35" s="27"/>
      <c r="O35" s="28"/>
      <c r="P35" s="28"/>
      <c r="Q35" s="74"/>
      <c r="R35" s="74"/>
      <c r="S35" s="74"/>
      <c r="T35" s="29"/>
      <c r="U35" s="29"/>
      <c r="V35" s="103"/>
      <c r="W35" s="103"/>
      <c r="X35" s="103"/>
      <c r="Y35" s="28"/>
      <c r="Z35" s="28"/>
      <c r="AA35" s="74"/>
      <c r="AB35" s="74"/>
      <c r="AC35" s="74"/>
      <c r="AD35" s="29"/>
      <c r="AE35" s="29"/>
      <c r="AF35" s="103"/>
      <c r="AG35" s="103"/>
      <c r="AH35" s="103"/>
      <c r="AI35" s="28"/>
      <c r="AJ35" s="28"/>
      <c r="AK35" s="74"/>
      <c r="AL35" s="28"/>
      <c r="AM35" s="28"/>
      <c r="AN35" s="29"/>
      <c r="AO35" s="29"/>
      <c r="AP35" s="103"/>
      <c r="AQ35" s="103"/>
      <c r="AR35" s="103"/>
      <c r="AS35" s="28"/>
      <c r="AT35" s="28"/>
      <c r="AU35" s="74"/>
      <c r="AV35" s="74"/>
      <c r="AW35" s="74"/>
      <c r="AX35" s="29"/>
      <c r="AY35" s="29"/>
      <c r="AZ35" s="103"/>
      <c r="BA35" s="103"/>
      <c r="BB35" s="103"/>
    </row>
    <row r="36" spans="1:54" x14ac:dyDescent="0.3">
      <c r="G36" s="12">
        <f>SLOPE($D2:$D22,G2:G22)</f>
        <v>3.0461834169240065E-4</v>
      </c>
    </row>
    <row r="37" spans="1:54" x14ac:dyDescent="0.3">
      <c r="P37" s="43"/>
      <c r="Q37" s="78"/>
      <c r="R37" s="78"/>
      <c r="S37" s="78"/>
      <c r="T37" s="44"/>
      <c r="U37" s="44"/>
      <c r="V37" s="106"/>
      <c r="W37" s="106"/>
      <c r="X37" s="106"/>
      <c r="Y37" s="43"/>
      <c r="Z37" s="43"/>
      <c r="AA37" s="78"/>
      <c r="AB37" s="78"/>
      <c r="AC37" s="78"/>
      <c r="AD37" s="44"/>
      <c r="AE37" s="44"/>
      <c r="AF37" s="106"/>
      <c r="AG37" s="106"/>
      <c r="AH37" s="106"/>
      <c r="AI37" s="43"/>
    </row>
    <row r="38" spans="1:54" x14ac:dyDescent="0.3">
      <c r="D38" s="12">
        <f>AVERAGE(D26,D29)</f>
        <v>3275.7132941236596</v>
      </c>
    </row>
    <row r="40" spans="1:54" x14ac:dyDescent="0.3">
      <c r="P40" s="43"/>
      <c r="Q40" s="78"/>
      <c r="R40" s="78"/>
      <c r="S40" s="78"/>
      <c r="T40" s="44"/>
      <c r="U40" s="44"/>
      <c r="V40" s="106"/>
      <c r="W40" s="106"/>
      <c r="X40" s="106"/>
      <c r="Y40" s="43"/>
      <c r="Z40" s="43"/>
      <c r="AA40" s="78"/>
      <c r="AB40" s="78"/>
      <c r="AC40" s="78"/>
      <c r="AD40" s="44"/>
      <c r="AE40" s="44"/>
      <c r="AF40" s="106"/>
      <c r="AG40" s="106"/>
      <c r="AH40" s="106"/>
      <c r="AI40" s="43"/>
    </row>
  </sheetData>
  <conditionalFormatting sqref="X2:X22">
    <cfRule type="cellIs" dxfId="25" priority="28" operator="greaterThan">
      <formula>0.001</formula>
    </cfRule>
    <cfRule type="cellIs" dxfId="24" priority="30" operator="greaterThan">
      <formula>0.001</formula>
    </cfRule>
    <cfRule type="cellIs" dxfId="23" priority="31" operator="greaterThan">
      <formula>0.0002</formula>
    </cfRule>
  </conditionalFormatting>
  <conditionalFormatting sqref="AC2:AC22">
    <cfRule type="cellIs" dxfId="22" priority="24" operator="greaterThan">
      <formula>0.001</formula>
    </cfRule>
    <cfRule type="cellIs" dxfId="21" priority="25" operator="greaterThan">
      <formula>0.001</formula>
    </cfRule>
    <cfRule type="cellIs" dxfId="20" priority="26" operator="greaterThan">
      <formula>0.0002</formula>
    </cfRule>
  </conditionalFormatting>
  <conditionalFormatting sqref="AH2:AH22">
    <cfRule type="cellIs" dxfId="19" priority="20" operator="greaterThan">
      <formula>0.001</formula>
    </cfRule>
    <cfRule type="cellIs" dxfId="18" priority="21" operator="greaterThan">
      <formula>0.001</formula>
    </cfRule>
    <cfRule type="cellIs" dxfId="17" priority="22" operator="greaterThan">
      <formula>0.0002</formula>
    </cfRule>
  </conditionalFormatting>
  <conditionalFormatting sqref="S2:S22">
    <cfRule type="cellIs" dxfId="16" priority="19" operator="greaterThan">
      <formula>0.001</formula>
    </cfRule>
  </conditionalFormatting>
  <conditionalFormatting sqref="N2:N22">
    <cfRule type="cellIs" dxfId="15" priority="17" operator="greaterThan">
      <formula>0.001</formula>
    </cfRule>
  </conditionalFormatting>
  <conditionalFormatting sqref="I2:I22">
    <cfRule type="cellIs" dxfId="14" priority="15" operator="greaterThan">
      <formula>1</formula>
    </cfRule>
  </conditionalFormatting>
  <conditionalFormatting sqref="J2:J22">
    <cfRule type="cellIs" dxfId="13" priority="14" operator="greaterThan">
      <formula>0.001</formula>
    </cfRule>
  </conditionalFormatting>
  <conditionalFormatting sqref="M2:M22">
    <cfRule type="cellIs" dxfId="12" priority="13" operator="greaterThan">
      <formula>0.001</formula>
    </cfRule>
  </conditionalFormatting>
  <conditionalFormatting sqref="AM2:AM22">
    <cfRule type="cellIs" dxfId="11" priority="10" operator="greaterThan">
      <formula>0.001</formula>
    </cfRule>
    <cfRule type="cellIs" dxfId="10" priority="11" operator="greaterThan">
      <formula>0.001</formula>
    </cfRule>
    <cfRule type="cellIs" dxfId="9" priority="12" operator="greaterThan">
      <formula>0.0002</formula>
    </cfRule>
  </conditionalFormatting>
  <conditionalFormatting sqref="AR2:AR22">
    <cfRule type="cellIs" dxfId="8" priority="7" operator="greaterThan">
      <formula>0.001</formula>
    </cfRule>
    <cfRule type="cellIs" dxfId="7" priority="8" operator="greaterThan">
      <formula>0.001</formula>
    </cfRule>
    <cfRule type="cellIs" dxfId="6" priority="9" operator="greaterThan">
      <formula>0.0002</formula>
    </cfRule>
  </conditionalFormatting>
  <conditionalFormatting sqref="AW2:AW22">
    <cfRule type="cellIs" dxfId="5" priority="4" operator="greaterThan">
      <formula>0.001</formula>
    </cfRule>
    <cfRule type="cellIs" dxfId="4" priority="5" operator="greaterThan">
      <formula>0.001</formula>
    </cfRule>
    <cfRule type="cellIs" dxfId="3" priority="6" operator="greaterThan">
      <formula>0.0002</formula>
    </cfRule>
  </conditionalFormatting>
  <conditionalFormatting sqref="BB2:BB22">
    <cfRule type="cellIs" dxfId="2" priority="1" operator="greaterThan">
      <formula>0.001</formula>
    </cfRule>
    <cfRule type="cellIs" dxfId="1" priority="2" operator="greaterThan">
      <formula>0.001</formula>
    </cfRule>
    <cfRule type="cellIs" dxfId="0" priority="3" operator="greaterThan">
      <formula>0.0002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F0009-8DD6-4C92-8ADC-5DCE21A9FC73}">
  <sheetPr codeName="Sheet3"/>
  <dimension ref="A1:U115"/>
  <sheetViews>
    <sheetView workbookViewId="0">
      <selection activeCell="H28" sqref="H28:H41"/>
    </sheetView>
  </sheetViews>
  <sheetFormatPr defaultColWidth="8.77734375" defaultRowHeight="14.4" x14ac:dyDescent="0.3"/>
  <cols>
    <col min="1" max="4" width="8.77734375" style="2" customWidth="1"/>
    <col min="5" max="11" width="8.77734375" style="2"/>
    <col min="12" max="12" width="16.44140625" style="2" bestFit="1" customWidth="1"/>
    <col min="13" max="13" width="3.33203125" style="2" bestFit="1" customWidth="1"/>
    <col min="14" max="15" width="6.6640625" style="2" bestFit="1" customWidth="1"/>
    <col min="16" max="18" width="8.77734375" style="2"/>
    <col min="19" max="20" width="12" style="2" bestFit="1" customWidth="1"/>
    <col min="21" max="16384" width="8.77734375" style="2"/>
  </cols>
  <sheetData>
    <row r="1" spans="1:21" x14ac:dyDescent="0.3">
      <c r="A1" s="3" t="s">
        <v>47</v>
      </c>
      <c r="B1" s="2" t="s">
        <v>3</v>
      </c>
      <c r="C1" s="2" t="str">
        <f>VLOOKUP(B1,Connect!A2:D3, 4)</f>
        <v>COM26</v>
      </c>
      <c r="D1" s="3" t="s">
        <v>66</v>
      </c>
      <c r="E1" s="2" t="s">
        <v>8</v>
      </c>
      <c r="F1" s="4"/>
      <c r="G1" s="4"/>
      <c r="H1" s="4"/>
      <c r="I1" s="4"/>
      <c r="L1" s="3" t="s">
        <v>62</v>
      </c>
      <c r="M1" s="3" t="s">
        <v>48</v>
      </c>
      <c r="N1" s="3" t="s">
        <v>49</v>
      </c>
      <c r="O1" s="3" t="s">
        <v>50</v>
      </c>
      <c r="P1" s="2" t="s">
        <v>152</v>
      </c>
      <c r="Q1" s="2" t="s">
        <v>153</v>
      </c>
      <c r="S1" s="2" t="s">
        <v>37</v>
      </c>
      <c r="T1" s="2" t="s">
        <v>38</v>
      </c>
      <c r="U1" s="2" t="s">
        <v>39</v>
      </c>
    </row>
    <row r="2" spans="1:21" x14ac:dyDescent="0.3">
      <c r="A2" s="3" t="s">
        <v>139</v>
      </c>
      <c r="B2" t="str">
        <f>_xlfn.CONCAT(Connect!G1, " ", Connect!J1, " ", Connect!D1, " ", B1, " ", C1, " ", E1)</f>
        <v>v2 0 COM12 hp34401a COM26 voltage</v>
      </c>
      <c r="F2" s="4"/>
      <c r="G2" s="4"/>
      <c r="H2" s="4"/>
      <c r="I2" s="4"/>
      <c r="L2" s="45">
        <v>-8.9930371999999998</v>
      </c>
      <c r="M2" s="2">
        <v>0</v>
      </c>
      <c r="N2" s="2">
        <v>-29531</v>
      </c>
      <c r="O2" s="2">
        <v>-29529</v>
      </c>
      <c r="P2" s="2">
        <f>(AVERAGE($S$2,$T$2)*N2+INTERCEPT($L$2:$L$22,$N$2:$N$22)-L2)*1000</f>
        <v>0.17221217267149314</v>
      </c>
      <c r="S2" s="2">
        <f>SLOPE(L2:L12,N2:N12)</f>
        <v>3.0460375892431762E-4</v>
      </c>
      <c r="T2" s="2">
        <f>SLOPE(L12:L22,N12:N22)</f>
        <v>3.0460351052990554E-4</v>
      </c>
      <c r="U2" s="2">
        <f>INTERCEPT(L2:L22,N2:N22)</f>
        <v>2.3849492990028398E-3</v>
      </c>
    </row>
    <row r="3" spans="1:21" x14ac:dyDescent="0.3">
      <c r="F3" s="4"/>
      <c r="G3" s="4"/>
      <c r="H3" s="4"/>
      <c r="I3" s="4"/>
      <c r="L3" s="45">
        <v>-7.9926836000000003</v>
      </c>
      <c r="M3" s="2">
        <v>0</v>
      </c>
      <c r="N3" s="2">
        <v>-26247</v>
      </c>
      <c r="O3" s="2">
        <v>-26245</v>
      </c>
      <c r="P3" s="2">
        <f t="shared" ref="P3:P22" si="0">(AVERAGE($S$2,$T$2)*N3+INTERCEPT($L$2:$L$22,$N$2:$N$22)-L3)*1000</f>
        <v>0.13694861650659362</v>
      </c>
    </row>
    <row r="4" spans="1:21" x14ac:dyDescent="0.3">
      <c r="L4" s="45">
        <v>-6.9928371</v>
      </c>
      <c r="M4" s="2">
        <v>0</v>
      </c>
      <c r="N4" s="2">
        <v>-22964</v>
      </c>
      <c r="O4" s="2">
        <v>-22962</v>
      </c>
      <c r="P4" s="2">
        <f t="shared" si="0"/>
        <v>0.30418142561305928</v>
      </c>
    </row>
    <row r="5" spans="1:21" x14ac:dyDescent="0.3">
      <c r="L5" s="45">
        <v>-5.9933002999999996</v>
      </c>
      <c r="M5" s="2">
        <v>0</v>
      </c>
      <c r="N5" s="2">
        <v>-19682</v>
      </c>
      <c r="O5" s="2">
        <v>-19680</v>
      </c>
      <c r="P5" s="2">
        <f t="shared" si="0"/>
        <v>0.47651059999331835</v>
      </c>
    </row>
    <row r="6" spans="1:21" x14ac:dyDescent="0.3">
      <c r="L6" s="45">
        <v>-4.9930953999999996</v>
      </c>
      <c r="M6" s="2">
        <v>0</v>
      </c>
      <c r="N6" s="2">
        <v>-16399</v>
      </c>
      <c r="O6" s="2">
        <v>-16396</v>
      </c>
      <c r="P6" s="2">
        <f t="shared" si="0"/>
        <v>0.28534340910013611</v>
      </c>
    </row>
    <row r="7" spans="1:21" x14ac:dyDescent="0.3">
      <c r="L7" s="45">
        <v>-3.9933272999999998</v>
      </c>
      <c r="M7" s="2">
        <v>0</v>
      </c>
      <c r="N7" s="2">
        <v>-13116</v>
      </c>
      <c r="O7" s="2">
        <v>-13114</v>
      </c>
      <c r="P7" s="2">
        <f t="shared" si="0"/>
        <v>0.53097621820752394</v>
      </c>
    </row>
    <row r="8" spans="1:21" x14ac:dyDescent="0.3">
      <c r="L8" s="45">
        <v>-2.9940069999999999</v>
      </c>
      <c r="M8" s="2">
        <v>0</v>
      </c>
      <c r="N8" s="2">
        <v>-9836</v>
      </c>
      <c r="O8" s="2">
        <v>-9833</v>
      </c>
      <c r="P8" s="2">
        <f t="shared" si="0"/>
        <v>0.31059812313349866</v>
      </c>
    </row>
    <row r="9" spans="1:21" x14ac:dyDescent="0.3">
      <c r="L9" s="45">
        <v>-1.9946183</v>
      </c>
      <c r="M9" s="2">
        <v>0</v>
      </c>
      <c r="N9" s="2">
        <v>-6555</v>
      </c>
      <c r="O9" s="2">
        <v>-6552</v>
      </c>
      <c r="P9" s="2">
        <f t="shared" si="0"/>
        <v>0.326423662786679</v>
      </c>
    </row>
    <row r="10" spans="1:21" x14ac:dyDescent="0.3">
      <c r="L10" s="45">
        <v>-0.99468825999999999</v>
      </c>
      <c r="M10" s="2">
        <v>0</v>
      </c>
      <c r="N10" s="2">
        <v>-3272</v>
      </c>
      <c r="O10" s="2">
        <v>-3269</v>
      </c>
      <c r="P10" s="2">
        <f t="shared" si="0"/>
        <v>0.41011647189381772</v>
      </c>
    </row>
    <row r="11" spans="1:21" x14ac:dyDescent="0.3">
      <c r="L11" s="45">
        <v>-0.45316775999999998</v>
      </c>
      <c r="M11" s="2">
        <v>0</v>
      </c>
      <c r="N11" s="2">
        <v>-1494</v>
      </c>
      <c r="O11" s="2">
        <v>-1491</v>
      </c>
      <c r="P11" s="2">
        <f t="shared" si="0"/>
        <v>0.474879016698182</v>
      </c>
    </row>
    <row r="12" spans="1:21" x14ac:dyDescent="0.3">
      <c r="L12" s="45">
        <v>4.40881E-3</v>
      </c>
      <c r="M12" s="2">
        <v>0</v>
      </c>
      <c r="N12" s="2">
        <v>6</v>
      </c>
      <c r="O12" s="2">
        <v>9</v>
      </c>
      <c r="P12" s="2">
        <f t="shared" si="0"/>
        <v>-0.19623889263449112</v>
      </c>
    </row>
    <row r="13" spans="1:21" x14ac:dyDescent="0.3">
      <c r="L13" s="45">
        <v>0.46183099</v>
      </c>
      <c r="M13" s="2">
        <v>0</v>
      </c>
      <c r="N13" s="2">
        <v>1507</v>
      </c>
      <c r="O13" s="2">
        <v>1510</v>
      </c>
      <c r="P13" s="2">
        <f t="shared" si="0"/>
        <v>-0.40836316724002231</v>
      </c>
    </row>
    <row r="14" spans="1:21" x14ac:dyDescent="0.3">
      <c r="L14" s="45">
        <v>1.0034130999999999</v>
      </c>
      <c r="M14" s="2">
        <v>0</v>
      </c>
      <c r="N14" s="2">
        <v>3285</v>
      </c>
      <c r="O14" s="2">
        <v>3288</v>
      </c>
      <c r="P14" s="2">
        <f t="shared" si="0"/>
        <v>-0.40521062243570327</v>
      </c>
    </row>
    <row r="15" spans="1:21" x14ac:dyDescent="0.3">
      <c r="L15" s="45">
        <v>2.0036247999999999</v>
      </c>
      <c r="M15" s="2">
        <v>0</v>
      </c>
      <c r="N15" s="2">
        <v>6569</v>
      </c>
      <c r="O15" s="2">
        <v>6572</v>
      </c>
      <c r="P15" s="2">
        <f t="shared" si="0"/>
        <v>-0.29857417860146285</v>
      </c>
    </row>
    <row r="16" spans="1:21" x14ac:dyDescent="0.3">
      <c r="L16" s="45">
        <v>3.0032896999999998</v>
      </c>
      <c r="M16" s="2">
        <v>0</v>
      </c>
      <c r="N16" s="2">
        <v>9851</v>
      </c>
      <c r="O16" s="2">
        <v>9854</v>
      </c>
      <c r="P16" s="2">
        <f t="shared" si="0"/>
        <v>-0.25434500422116813</v>
      </c>
    </row>
    <row r="17" spans="12:16" x14ac:dyDescent="0.3">
      <c r="L17" s="45">
        <v>4.0031353000000003</v>
      </c>
      <c r="M17" s="2">
        <v>0</v>
      </c>
      <c r="N17" s="2">
        <v>13133</v>
      </c>
      <c r="O17" s="2">
        <v>13137</v>
      </c>
      <c r="P17" s="2">
        <f t="shared" si="0"/>
        <v>-0.3908158298413511</v>
      </c>
    </row>
    <row r="18" spans="12:16" x14ac:dyDescent="0.3">
      <c r="L18" s="45">
        <v>5.0038476999999997</v>
      </c>
      <c r="M18" s="2">
        <v>0</v>
      </c>
      <c r="N18" s="2">
        <v>16419</v>
      </c>
      <c r="O18" s="2">
        <v>16422</v>
      </c>
      <c r="P18" s="2">
        <f t="shared" si="0"/>
        <v>-0.17567211655222792</v>
      </c>
    </row>
    <row r="19" spans="12:16" x14ac:dyDescent="0.3">
      <c r="L19" s="45">
        <v>6.0033650999999999</v>
      </c>
      <c r="M19" s="2">
        <v>0</v>
      </c>
      <c r="N19" s="2">
        <v>19700</v>
      </c>
      <c r="O19" s="2">
        <v>19703</v>
      </c>
      <c r="P19" s="2">
        <f t="shared" si="0"/>
        <v>-0.2885465768995843</v>
      </c>
    </row>
    <row r="20" spans="12:16" x14ac:dyDescent="0.3">
      <c r="L20" s="45">
        <v>7.0031800999999998</v>
      </c>
      <c r="M20" s="2">
        <v>0</v>
      </c>
      <c r="N20" s="2">
        <v>22982</v>
      </c>
      <c r="O20" s="2">
        <v>22986</v>
      </c>
      <c r="P20" s="2">
        <f t="shared" si="0"/>
        <v>-0.39441740251877633</v>
      </c>
    </row>
    <row r="21" spans="12:16" x14ac:dyDescent="0.3">
      <c r="L21" s="45">
        <v>8.0028092999999991</v>
      </c>
      <c r="M21" s="2">
        <v>0</v>
      </c>
      <c r="N21" s="2">
        <v>26264</v>
      </c>
      <c r="O21" s="2">
        <v>26268</v>
      </c>
      <c r="P21" s="2">
        <f t="shared" si="0"/>
        <v>-0.3144882281382877</v>
      </c>
    </row>
    <row r="22" spans="12:16" x14ac:dyDescent="0.3">
      <c r="L22" s="45">
        <v>9.0025078999999995</v>
      </c>
      <c r="M22" s="2">
        <v>0</v>
      </c>
      <c r="N22" s="2">
        <v>29546</v>
      </c>
      <c r="O22" s="2">
        <v>29550</v>
      </c>
      <c r="P22" s="2">
        <f t="shared" si="0"/>
        <v>-0.30395905375790733</v>
      </c>
    </row>
    <row r="23" spans="12:16" x14ac:dyDescent="0.3">
      <c r="L23" s="45"/>
    </row>
    <row r="93" spans="1:6" x14ac:dyDescent="0.3">
      <c r="A93" s="2" t="s">
        <v>142</v>
      </c>
    </row>
    <row r="94" spans="1:6" s="3" customFormat="1" x14ac:dyDescent="0.3"/>
    <row r="95" spans="1:6" x14ac:dyDescent="0.3">
      <c r="F95" s="45"/>
    </row>
    <row r="96" spans="1:6" x14ac:dyDescent="0.3">
      <c r="F96" s="45"/>
    </row>
    <row r="97" spans="6:6" x14ac:dyDescent="0.3">
      <c r="F97" s="45"/>
    </row>
    <row r="98" spans="6:6" x14ac:dyDescent="0.3">
      <c r="F98" s="45"/>
    </row>
    <row r="99" spans="6:6" x14ac:dyDescent="0.3">
      <c r="F99" s="45"/>
    </row>
    <row r="100" spans="6:6" x14ac:dyDescent="0.3">
      <c r="F100" s="45"/>
    </row>
    <row r="101" spans="6:6" x14ac:dyDescent="0.3">
      <c r="F101" s="45"/>
    </row>
    <row r="102" spans="6:6" x14ac:dyDescent="0.3">
      <c r="F102" s="45"/>
    </row>
    <row r="103" spans="6:6" x14ac:dyDescent="0.3">
      <c r="F103" s="45"/>
    </row>
    <row r="104" spans="6:6" x14ac:dyDescent="0.3">
      <c r="F104" s="45"/>
    </row>
    <row r="105" spans="6:6" x14ac:dyDescent="0.3">
      <c r="F105" s="45"/>
    </row>
    <row r="106" spans="6:6" x14ac:dyDescent="0.3">
      <c r="F106" s="45"/>
    </row>
    <row r="107" spans="6:6" x14ac:dyDescent="0.3">
      <c r="F107" s="45"/>
    </row>
    <row r="108" spans="6:6" x14ac:dyDescent="0.3">
      <c r="F108" s="45"/>
    </row>
    <row r="109" spans="6:6" x14ac:dyDescent="0.3">
      <c r="F109" s="45"/>
    </row>
    <row r="110" spans="6:6" x14ac:dyDescent="0.3">
      <c r="F110" s="45"/>
    </row>
    <row r="111" spans="6:6" x14ac:dyDescent="0.3">
      <c r="F111" s="45"/>
    </row>
    <row r="112" spans="6:6" x14ac:dyDescent="0.3">
      <c r="F112" s="45"/>
    </row>
    <row r="113" spans="6:6" x14ac:dyDescent="0.3">
      <c r="F113" s="45"/>
    </row>
    <row r="114" spans="6:6" x14ac:dyDescent="0.3">
      <c r="F114" s="45"/>
    </row>
    <row r="115" spans="6:6" x14ac:dyDescent="0.3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144780</xdr:colOff>
                    <xdr:row>0</xdr:row>
                    <xdr:rowOff>68580</xdr:rowOff>
                  </from>
                  <to>
                    <xdr:col>8</xdr:col>
                    <xdr:colOff>510540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6C8C-69D6-409C-805D-A5B1549B4E5B}">
  <sheetPr codeName="Sheet4"/>
  <dimension ref="A1:M5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0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0</v>
      </c>
      <c r="F2" s="4"/>
      <c r="G2" s="4"/>
      <c r="H2" s="4"/>
      <c r="I2" s="4"/>
      <c r="J2" s="4"/>
      <c r="L2" s="45">
        <v>-9.9496393000000002E-2</v>
      </c>
      <c r="M2" s="2">
        <v>-27331</v>
      </c>
    </row>
    <row r="3" spans="1:13" x14ac:dyDescent="0.3">
      <c r="F3" s="4"/>
      <c r="G3" s="4"/>
      <c r="H3" s="4"/>
      <c r="I3" s="4"/>
      <c r="J3" s="4"/>
      <c r="L3" s="45">
        <v>-8.9517393000000001E-2</v>
      </c>
      <c r="M3" s="2">
        <v>-24628</v>
      </c>
    </row>
    <row r="4" spans="1:13" x14ac:dyDescent="0.3">
      <c r="L4" s="45">
        <v>-7.9530425000000002E-2</v>
      </c>
      <c r="M4" s="2">
        <v>-21888</v>
      </c>
    </row>
    <row r="5" spans="1:13" x14ac:dyDescent="0.3">
      <c r="L5" s="45">
        <v>-6.9549019000000004E-2</v>
      </c>
      <c r="M5" s="2">
        <v>-19144</v>
      </c>
    </row>
    <row r="6" spans="1:13" x14ac:dyDescent="0.3">
      <c r="L6" s="45">
        <v>-5.9552619000000001E-2</v>
      </c>
      <c r="M6" s="2">
        <v>-16395</v>
      </c>
    </row>
    <row r="7" spans="1:13" x14ac:dyDescent="0.3">
      <c r="L7" s="45">
        <v>-4.9562086999999998E-2</v>
      </c>
      <c r="M7" s="2">
        <v>-13647</v>
      </c>
    </row>
    <row r="8" spans="1:13" x14ac:dyDescent="0.3">
      <c r="L8" s="45">
        <v>-3.9589331999999998E-2</v>
      </c>
      <c r="M8" s="2">
        <v>-10904</v>
      </c>
    </row>
    <row r="9" spans="1:13" x14ac:dyDescent="0.3">
      <c r="L9" s="45">
        <v>-2.9598962999999999E-2</v>
      </c>
      <c r="M9" s="2">
        <v>-8156</v>
      </c>
    </row>
    <row r="10" spans="1:13" x14ac:dyDescent="0.3">
      <c r="L10" s="45">
        <v>-1.9603637E-2</v>
      </c>
      <c r="M10" s="2">
        <v>-5406</v>
      </c>
    </row>
    <row r="11" spans="1:13" x14ac:dyDescent="0.3">
      <c r="L11" s="45">
        <v>-9.6081216999999997E-3</v>
      </c>
      <c r="M11" s="2">
        <v>-2657</v>
      </c>
    </row>
    <row r="12" spans="1:13" x14ac:dyDescent="0.3">
      <c r="L12" s="45">
        <v>3.962762E-4</v>
      </c>
      <c r="M12" s="2">
        <v>92</v>
      </c>
    </row>
    <row r="13" spans="1:13" x14ac:dyDescent="0.3">
      <c r="L13" s="45">
        <v>1.0389802E-2</v>
      </c>
      <c r="M13" s="2">
        <v>2839</v>
      </c>
    </row>
    <row r="14" spans="1:13" x14ac:dyDescent="0.3">
      <c r="L14" s="45">
        <v>2.0373004E-2</v>
      </c>
      <c r="M14" s="2">
        <v>5581</v>
      </c>
    </row>
    <row r="15" spans="1:13" x14ac:dyDescent="0.3">
      <c r="L15" s="45">
        <v>3.0365667999999998E-2</v>
      </c>
      <c r="M15" s="2">
        <v>8324</v>
      </c>
    </row>
    <row r="16" spans="1:13" x14ac:dyDescent="0.3">
      <c r="L16" s="45">
        <v>4.0348697000000003E-2</v>
      </c>
      <c r="M16" s="2">
        <v>11065</v>
      </c>
    </row>
    <row r="17" spans="12:13" x14ac:dyDescent="0.3">
      <c r="L17" s="45">
        <v>5.0334572000000001E-2</v>
      </c>
      <c r="M17" s="2">
        <v>13807</v>
      </c>
    </row>
    <row r="18" spans="12:13" x14ac:dyDescent="0.3">
      <c r="L18" s="45">
        <v>6.0306621999999997E-2</v>
      </c>
      <c r="M18" s="2">
        <v>16546</v>
      </c>
    </row>
    <row r="19" spans="12:13" x14ac:dyDescent="0.3">
      <c r="L19" s="45">
        <v>7.0305945999999994E-2</v>
      </c>
      <c r="M19" s="2">
        <v>19293</v>
      </c>
    </row>
    <row r="20" spans="12:13" x14ac:dyDescent="0.3">
      <c r="L20" s="45">
        <v>8.0288223000000006E-2</v>
      </c>
      <c r="M20" s="2">
        <v>22034</v>
      </c>
    </row>
    <row r="21" spans="12:13" x14ac:dyDescent="0.3">
      <c r="L21" s="45">
        <v>9.0279025999999998E-2</v>
      </c>
      <c r="M21" s="2">
        <v>24771</v>
      </c>
    </row>
    <row r="22" spans="12:13" x14ac:dyDescent="0.3">
      <c r="L22" s="45">
        <v>0.10022791</v>
      </c>
      <c r="M22" s="2">
        <v>27463</v>
      </c>
    </row>
    <row r="52" s="3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213360</xdr:colOff>
                    <xdr:row>0</xdr:row>
                    <xdr:rowOff>99060</xdr:rowOff>
                  </from>
                  <to>
                    <xdr:col>7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388620</xdr:colOff>
                    <xdr:row>0</xdr:row>
                    <xdr:rowOff>91440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324CEC-83F6-4A37-B7D1-9998D698C51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7C0F-E8CD-4C85-A95B-7BD5CEAF7385}">
  <sheetPr codeName="Sheet5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1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1</v>
      </c>
      <c r="F2" s="4"/>
      <c r="G2" s="4"/>
      <c r="H2" s="4"/>
      <c r="I2" s="4"/>
      <c r="J2" s="4"/>
      <c r="L2" s="45">
        <v>-5.061917E-3</v>
      </c>
      <c r="M2" s="2">
        <v>-27566</v>
      </c>
    </row>
    <row r="3" spans="1:13" x14ac:dyDescent="0.3">
      <c r="F3" s="4"/>
      <c r="G3" s="4"/>
      <c r="H3" s="4"/>
      <c r="I3" s="4"/>
      <c r="J3" s="4"/>
      <c r="L3" s="45">
        <v>-4.5545456000000003E-3</v>
      </c>
      <c r="M3" s="2">
        <v>-24849</v>
      </c>
    </row>
    <row r="4" spans="1:13" x14ac:dyDescent="0.3">
      <c r="L4" s="45">
        <v>-4.0466940999999996E-3</v>
      </c>
      <c r="M4" s="2">
        <v>-22087</v>
      </c>
    </row>
    <row r="5" spans="1:13" x14ac:dyDescent="0.3">
      <c r="L5" s="45">
        <v>-3.5390276999999999E-3</v>
      </c>
      <c r="M5" s="2">
        <v>-19320</v>
      </c>
    </row>
    <row r="6" spans="1:13" x14ac:dyDescent="0.3">
      <c r="L6" s="45">
        <v>-3.0307697999999998E-3</v>
      </c>
      <c r="M6" s="2">
        <v>-16548</v>
      </c>
    </row>
    <row r="7" spans="1:13" x14ac:dyDescent="0.3">
      <c r="L7" s="45">
        <v>-2.5227449999999998E-3</v>
      </c>
      <c r="M7" s="2">
        <v>-13777</v>
      </c>
    </row>
    <row r="8" spans="1:13" x14ac:dyDescent="0.3">
      <c r="L8" s="45">
        <v>-2.0156364E-3</v>
      </c>
      <c r="M8" s="2">
        <v>-11011</v>
      </c>
    </row>
    <row r="9" spans="1:13" x14ac:dyDescent="0.3">
      <c r="L9" s="45">
        <v>-1.5076872E-3</v>
      </c>
      <c r="M9" s="2">
        <v>-8239</v>
      </c>
    </row>
    <row r="10" spans="1:13" x14ac:dyDescent="0.3">
      <c r="L10" s="45">
        <v>-9.9959329999999989E-4</v>
      </c>
      <c r="M10" s="2">
        <v>-5467</v>
      </c>
    </row>
    <row r="11" spans="1:13" x14ac:dyDescent="0.3">
      <c r="L11" s="45">
        <v>-4.9144870000000004E-4</v>
      </c>
      <c r="M11" s="2">
        <v>-2695</v>
      </c>
    </row>
    <row r="12" spans="1:13" x14ac:dyDescent="0.3">
      <c r="L12" s="45">
        <v>1.7178500000000002E-5</v>
      </c>
      <c r="M12" s="2">
        <v>78</v>
      </c>
    </row>
    <row r="13" spans="1:13" x14ac:dyDescent="0.3">
      <c r="L13" s="45">
        <v>5.2529050000000004E-4</v>
      </c>
      <c r="M13" s="2">
        <v>2847</v>
      </c>
    </row>
    <row r="14" spans="1:13" x14ac:dyDescent="0.3">
      <c r="L14" s="45">
        <v>1.0328365E-3</v>
      </c>
      <c r="M14" s="2">
        <v>5611</v>
      </c>
    </row>
    <row r="15" spans="1:13" x14ac:dyDescent="0.3">
      <c r="L15" s="45">
        <v>1.5408423000000001E-3</v>
      </c>
      <c r="M15" s="2">
        <v>8377</v>
      </c>
    </row>
    <row r="16" spans="1:13" x14ac:dyDescent="0.3">
      <c r="L16" s="45">
        <v>2.0484523000000002E-3</v>
      </c>
      <c r="M16" s="2">
        <v>11141</v>
      </c>
    </row>
    <row r="17" spans="12:13" x14ac:dyDescent="0.3">
      <c r="L17" s="45">
        <v>2.5561868000000001E-3</v>
      </c>
      <c r="M17" s="2">
        <v>13906</v>
      </c>
    </row>
    <row r="18" spans="12:13" x14ac:dyDescent="0.3">
      <c r="L18" s="45">
        <v>3.0631624000000001E-3</v>
      </c>
      <c r="M18" s="2">
        <v>16668</v>
      </c>
    </row>
    <row r="19" spans="12:13" x14ac:dyDescent="0.3">
      <c r="L19" s="45">
        <v>3.5716076999999999E-3</v>
      </c>
      <c r="M19" s="2">
        <v>19437</v>
      </c>
    </row>
    <row r="20" spans="12:13" x14ac:dyDescent="0.3">
      <c r="L20" s="45">
        <v>4.0792837999999998E-3</v>
      </c>
      <c r="M20" s="2">
        <v>22201</v>
      </c>
    </row>
    <row r="21" spans="12:13" x14ac:dyDescent="0.3">
      <c r="L21" s="45">
        <v>4.5873638E-3</v>
      </c>
      <c r="M21" s="2">
        <v>24960</v>
      </c>
    </row>
    <row r="22" spans="12:13" x14ac:dyDescent="0.3">
      <c r="L22" s="45">
        <v>5.0945429000000004E-3</v>
      </c>
      <c r="M22" s="2">
        <v>27666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243840</xdr:colOff>
                    <xdr:row>0</xdr:row>
                    <xdr:rowOff>99060</xdr:rowOff>
                  </from>
                  <to>
                    <xdr:col>7</xdr:col>
                    <xdr:colOff>251460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411480</xdr:colOff>
                    <xdr:row>0</xdr:row>
                    <xdr:rowOff>91440</xdr:rowOff>
                  </from>
                  <to>
                    <xdr:col>9</xdr:col>
                    <xdr:colOff>403860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350465-5421-4890-80F2-643F554A38A2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D319-C387-4425-BB58-9E8D056981AE}">
  <sheetPr codeName="Sheet6"/>
  <dimension ref="A1:N2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4" x14ac:dyDescent="0.3">
      <c r="A1" s="3" t="s">
        <v>47</v>
      </c>
      <c r="B1" s="4" t="s">
        <v>2</v>
      </c>
      <c r="C1" s="2" t="str">
        <f>VLOOKUP(B1,Connect!A2:D3, 4)</f>
        <v>COM25</v>
      </c>
      <c r="D1" s="3" t="s">
        <v>66</v>
      </c>
      <c r="E1" s="2">
        <v>2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4" x14ac:dyDescent="0.3">
      <c r="A2" s="3" t="s">
        <v>139</v>
      </c>
      <c r="B2" t="str">
        <f>_xlfn.CONCAT(Connect!G1, " ", Connect!J1, " ", Connect!D1, " ", B1, " ", C1, " ", E1)</f>
        <v>v2 0 COM12 keithley485 COM25 2</v>
      </c>
      <c r="F2" s="4"/>
      <c r="G2" s="4"/>
      <c r="H2" s="4"/>
      <c r="I2" s="4"/>
      <c r="J2" s="4"/>
      <c r="L2" s="45">
        <v>-2.452E-4</v>
      </c>
      <c r="M2" s="2">
        <v>-27591</v>
      </c>
      <c r="N2" s="48"/>
    </row>
    <row r="3" spans="1:14" x14ac:dyDescent="0.3">
      <c r="F3" s="4"/>
      <c r="G3" s="4"/>
      <c r="H3" s="4"/>
      <c r="I3" s="4"/>
      <c r="J3" s="4"/>
      <c r="L3" s="45">
        <v>-2.207E-4</v>
      </c>
      <c r="M3" s="2">
        <v>-24862</v>
      </c>
      <c r="N3" s="48"/>
    </row>
    <row r="4" spans="1:14" x14ac:dyDescent="0.3">
      <c r="L4" s="45">
        <v>-1.9599999999999999E-4</v>
      </c>
      <c r="M4" s="2">
        <v>-22098</v>
      </c>
      <c r="N4" s="48"/>
    </row>
    <row r="5" spans="1:14" x14ac:dyDescent="0.3">
      <c r="L5" s="45">
        <v>-1.7142000000000001E-4</v>
      </c>
      <c r="M5" s="2">
        <v>-19329</v>
      </c>
      <c r="N5" s="48"/>
    </row>
    <row r="6" spans="1:14" x14ac:dyDescent="0.3">
      <c r="L6" s="45">
        <v>-1.4684999999999999E-4</v>
      </c>
      <c r="M6" s="2">
        <v>-16556</v>
      </c>
      <c r="N6" s="48"/>
    </row>
    <row r="7" spans="1:14" x14ac:dyDescent="0.3">
      <c r="L7" s="45">
        <v>-1.2224E-4</v>
      </c>
      <c r="M7" s="2">
        <v>-13783</v>
      </c>
      <c r="N7" s="48"/>
    </row>
    <row r="8" spans="1:14" x14ac:dyDescent="0.3">
      <c r="L8" s="45">
        <v>-9.7670000000000005E-5</v>
      </c>
      <c r="M8" s="2">
        <v>-11015</v>
      </c>
      <c r="N8" s="48"/>
    </row>
    <row r="9" spans="1:14" x14ac:dyDescent="0.3">
      <c r="L9" s="45">
        <v>-7.305E-5</v>
      </c>
      <c r="M9" s="2">
        <v>-8243</v>
      </c>
      <c r="N9" s="48"/>
    </row>
    <row r="10" spans="1:14" x14ac:dyDescent="0.3">
      <c r="L10" s="45">
        <v>-4.8430000000000002E-5</v>
      </c>
      <c r="M10" s="2">
        <v>-5470</v>
      </c>
      <c r="N10" s="48"/>
    </row>
    <row r="11" spans="1:14" x14ac:dyDescent="0.3">
      <c r="L11" s="45">
        <v>-2.3810000000000001E-5</v>
      </c>
      <c r="M11" s="2">
        <v>-2696</v>
      </c>
      <c r="N11" s="48"/>
    </row>
    <row r="12" spans="1:14" x14ac:dyDescent="0.3">
      <c r="L12" s="45">
        <v>8.3870000000000001E-7</v>
      </c>
      <c r="M12" s="2">
        <v>78</v>
      </c>
      <c r="N12" s="48"/>
    </row>
    <row r="13" spans="1:14" x14ac:dyDescent="0.3">
      <c r="L13" s="45">
        <v>2.5449999999999999E-5</v>
      </c>
      <c r="M13" s="2">
        <v>2850</v>
      </c>
      <c r="N13" s="48"/>
    </row>
    <row r="14" spans="1:14" x14ac:dyDescent="0.3">
      <c r="L14" s="45">
        <v>5.0040000000000002E-5</v>
      </c>
      <c r="M14" s="2">
        <v>5614</v>
      </c>
      <c r="N14" s="48"/>
    </row>
    <row r="15" spans="1:14" x14ac:dyDescent="0.3">
      <c r="L15" s="45">
        <v>7.4649999999999998E-5</v>
      </c>
      <c r="M15" s="2">
        <v>8382</v>
      </c>
      <c r="N15" s="48"/>
    </row>
    <row r="16" spans="1:14" x14ac:dyDescent="0.3">
      <c r="L16" s="45">
        <v>9.9240000000000005E-5</v>
      </c>
      <c r="M16" s="2">
        <v>11147</v>
      </c>
      <c r="N16" s="48"/>
    </row>
    <row r="17" spans="12:14" x14ac:dyDescent="0.3">
      <c r="L17" s="45">
        <v>1.2385E-4</v>
      </c>
      <c r="M17" s="2">
        <v>13913</v>
      </c>
      <c r="N17" s="48"/>
    </row>
    <row r="18" spans="12:14" x14ac:dyDescent="0.3">
      <c r="L18" s="45">
        <v>1.4841999999999999E-4</v>
      </c>
      <c r="M18" s="2">
        <v>16676</v>
      </c>
      <c r="N18" s="48"/>
    </row>
    <row r="19" spans="12:14" x14ac:dyDescent="0.3">
      <c r="L19" s="45">
        <v>1.7306E-4</v>
      </c>
      <c r="M19" s="2">
        <v>19447</v>
      </c>
      <c r="N19" s="48"/>
    </row>
    <row r="20" spans="12:14" x14ac:dyDescent="0.3">
      <c r="L20" s="45">
        <v>1.9765000000000001E-4</v>
      </c>
      <c r="M20" s="2">
        <v>22212</v>
      </c>
      <c r="N20" s="48"/>
    </row>
    <row r="21" spans="12:14" x14ac:dyDescent="0.3">
      <c r="L21" s="45">
        <v>2.221E-4</v>
      </c>
      <c r="M21" s="2">
        <v>24973</v>
      </c>
      <c r="N21" s="48"/>
    </row>
    <row r="22" spans="12:14" x14ac:dyDescent="0.3">
      <c r="L22" s="45">
        <v>2.4669999999999998E-4</v>
      </c>
      <c r="M22" s="2">
        <v>27688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259080</xdr:colOff>
                    <xdr:row>0</xdr:row>
                    <xdr:rowOff>106680</xdr:rowOff>
                  </from>
                  <to>
                    <xdr:col>7</xdr:col>
                    <xdr:colOff>251460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403860</xdr:colOff>
                    <xdr:row>0</xdr:row>
                    <xdr:rowOff>99060</xdr:rowOff>
                  </from>
                  <to>
                    <xdr:col>9</xdr:col>
                    <xdr:colOff>396240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76B044-F8C8-4356-B654-F21FE7206A48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9805-E82D-452D-8BE5-8CFAF6AD3DB9}">
  <sheetPr codeName="Sheet7"/>
  <dimension ref="A1:N5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46" customWidth="1"/>
    <col min="3" max="10" width="8.77734375" style="46"/>
    <col min="11" max="11" width="8.77734375" style="46" customWidth="1"/>
    <col min="12" max="12" width="16.33203125" style="46" bestFit="1" customWidth="1"/>
    <col min="13" max="13" width="7.109375" style="46" bestFit="1" customWidth="1"/>
    <col min="14" max="16384" width="8.77734375" style="46"/>
  </cols>
  <sheetData>
    <row r="1" spans="1:14" x14ac:dyDescent="0.3">
      <c r="A1" s="47" t="s">
        <v>47</v>
      </c>
      <c r="B1" s="5" t="s">
        <v>2</v>
      </c>
      <c r="C1" s="2" t="str">
        <f>VLOOKUP(B1,Connect!A2:D3, 4)</f>
        <v>COM25</v>
      </c>
      <c r="D1" s="3" t="s">
        <v>66</v>
      </c>
      <c r="E1" s="46">
        <v>3</v>
      </c>
      <c r="F1" s="110"/>
      <c r="G1" s="110"/>
      <c r="H1" s="110"/>
      <c r="I1" s="110"/>
      <c r="J1" s="110"/>
      <c r="L1" s="3" t="s">
        <v>63</v>
      </c>
      <c r="M1" s="3" t="s">
        <v>7</v>
      </c>
    </row>
    <row r="2" spans="1:14" x14ac:dyDescent="0.3">
      <c r="A2" s="3" t="s">
        <v>139</v>
      </c>
      <c r="B2" t="str">
        <f>_xlfn.CONCAT(Connect!G1, " ", Connect!J1, " ", Connect!D1, " ", B1, " ", C1, " ", E1)</f>
        <v>v2 0 COM12 keithley485 COM25 3</v>
      </c>
      <c r="F2" s="110"/>
      <c r="G2" s="110"/>
      <c r="H2" s="110"/>
      <c r="I2" s="110"/>
      <c r="J2" s="110"/>
      <c r="L2" s="48">
        <v>-1.2678E-5</v>
      </c>
      <c r="M2" s="46">
        <v>-27602</v>
      </c>
      <c r="N2" s="48"/>
    </row>
    <row r="3" spans="1:14" x14ac:dyDescent="0.3">
      <c r="F3" s="110"/>
      <c r="G3" s="110"/>
      <c r="H3" s="110"/>
      <c r="I3" s="110"/>
      <c r="J3" s="110"/>
      <c r="L3" s="48">
        <v>-1.1408E-5</v>
      </c>
      <c r="M3" s="46">
        <v>-24878</v>
      </c>
      <c r="N3" s="48"/>
    </row>
    <row r="4" spans="1:14" x14ac:dyDescent="0.3">
      <c r="L4" s="48">
        <v>-1.0135999999999999E-5</v>
      </c>
      <c r="M4" s="46">
        <v>-22114</v>
      </c>
      <c r="N4" s="48"/>
    </row>
    <row r="5" spans="1:14" x14ac:dyDescent="0.3">
      <c r="L5" s="48">
        <v>-8.8659999999999995E-6</v>
      </c>
      <c r="M5" s="46">
        <v>-19345</v>
      </c>
      <c r="N5" s="48"/>
    </row>
    <row r="6" spans="1:14" x14ac:dyDescent="0.3">
      <c r="L6" s="48">
        <v>-7.593E-6</v>
      </c>
      <c r="M6" s="46">
        <v>-16572</v>
      </c>
      <c r="N6" s="48"/>
    </row>
    <row r="7" spans="1:14" x14ac:dyDescent="0.3">
      <c r="L7" s="48">
        <v>-6.3219999999999998E-6</v>
      </c>
      <c r="M7" s="46">
        <v>-13800</v>
      </c>
      <c r="N7" s="48"/>
    </row>
    <row r="8" spans="1:14" x14ac:dyDescent="0.3">
      <c r="L8" s="48">
        <v>-5.0529999999999997E-6</v>
      </c>
      <c r="M8" s="46">
        <v>-11031</v>
      </c>
      <c r="N8" s="48"/>
    </row>
    <row r="9" spans="1:14" x14ac:dyDescent="0.3">
      <c r="L9" s="48">
        <v>-3.7809999999999999E-6</v>
      </c>
      <c r="M9" s="46">
        <v>-8259</v>
      </c>
      <c r="N9" s="48"/>
    </row>
    <row r="10" spans="1:14" x14ac:dyDescent="0.3">
      <c r="L10" s="48">
        <v>-2.509E-6</v>
      </c>
      <c r="M10" s="46">
        <v>-5486</v>
      </c>
      <c r="N10" s="48"/>
    </row>
    <row r="11" spans="1:14" x14ac:dyDescent="0.3">
      <c r="L11" s="48">
        <v>-1.2368E-6</v>
      </c>
      <c r="M11" s="46">
        <v>-2712</v>
      </c>
      <c r="N11" s="48"/>
    </row>
    <row r="12" spans="1:14" x14ac:dyDescent="0.3">
      <c r="L12" s="48">
        <v>3.5870000000000003E-8</v>
      </c>
      <c r="M12" s="46">
        <v>62</v>
      </c>
      <c r="N12" s="48"/>
    </row>
    <row r="13" spans="1:14" x14ac:dyDescent="0.3">
      <c r="L13" s="48">
        <v>1.3089000000000001E-6</v>
      </c>
      <c r="M13" s="46">
        <v>2834</v>
      </c>
      <c r="N13" s="48"/>
    </row>
    <row r="14" spans="1:14" x14ac:dyDescent="0.3">
      <c r="L14" s="48">
        <v>2.5749999999999999E-6</v>
      </c>
      <c r="M14" s="46">
        <v>5598</v>
      </c>
      <c r="N14" s="48"/>
    </row>
    <row r="15" spans="1:14" x14ac:dyDescent="0.3">
      <c r="L15" s="48">
        <v>3.8480000000000003E-6</v>
      </c>
      <c r="M15" s="46">
        <v>8365</v>
      </c>
      <c r="N15" s="48"/>
    </row>
    <row r="16" spans="1:14" x14ac:dyDescent="0.3">
      <c r="L16" s="48">
        <v>5.1189999999999996E-6</v>
      </c>
      <c r="M16" s="46">
        <v>11131</v>
      </c>
      <c r="N16" s="48"/>
    </row>
    <row r="17" spans="11:14" x14ac:dyDescent="0.3">
      <c r="L17" s="48">
        <v>6.3890000000000002E-6</v>
      </c>
      <c r="M17" s="46">
        <v>13897</v>
      </c>
      <c r="N17" s="48"/>
    </row>
    <row r="18" spans="11:14" x14ac:dyDescent="0.3">
      <c r="L18" s="48">
        <v>7.6590000000000007E-6</v>
      </c>
      <c r="M18" s="46">
        <v>16660</v>
      </c>
      <c r="N18" s="48"/>
    </row>
    <row r="19" spans="11:14" x14ac:dyDescent="0.3">
      <c r="L19" s="48">
        <v>8.9309999999999997E-6</v>
      </c>
      <c r="M19" s="46">
        <v>19431</v>
      </c>
      <c r="N19" s="48"/>
    </row>
    <row r="20" spans="11:14" x14ac:dyDescent="0.3">
      <c r="L20" s="48">
        <v>1.0202E-5</v>
      </c>
      <c r="M20" s="46">
        <v>22196</v>
      </c>
      <c r="N20" s="48"/>
    </row>
    <row r="21" spans="11:14" x14ac:dyDescent="0.3">
      <c r="L21" s="48">
        <v>1.1474000000000001E-5</v>
      </c>
      <c r="M21" s="46">
        <v>24957</v>
      </c>
      <c r="N21" s="48"/>
    </row>
    <row r="22" spans="11:14" x14ac:dyDescent="0.3">
      <c r="L22" s="48">
        <v>1.2743E-5</v>
      </c>
      <c r="M22" s="46">
        <v>27670</v>
      </c>
      <c r="N22" s="48"/>
    </row>
    <row r="26" spans="11:14" x14ac:dyDescent="0.3">
      <c r="K26" s="48"/>
    </row>
    <row r="27" spans="11:14" x14ac:dyDescent="0.3">
      <c r="K27" s="48"/>
    </row>
    <row r="28" spans="11:14" x14ac:dyDescent="0.3">
      <c r="K28" s="48"/>
    </row>
    <row r="29" spans="11:14" x14ac:dyDescent="0.3">
      <c r="K29" s="48"/>
    </row>
    <row r="30" spans="11:14" x14ac:dyDescent="0.3">
      <c r="K30" s="48"/>
    </row>
    <row r="31" spans="11:14" x14ac:dyDescent="0.3">
      <c r="K31" s="48"/>
    </row>
    <row r="32" spans="11:14" x14ac:dyDescent="0.3">
      <c r="K32" s="48"/>
    </row>
    <row r="33" spans="11:11" x14ac:dyDescent="0.3">
      <c r="K33" s="48"/>
    </row>
    <row r="34" spans="11:11" x14ac:dyDescent="0.3">
      <c r="K34" s="48"/>
    </row>
    <row r="35" spans="11:11" x14ac:dyDescent="0.3">
      <c r="K35" s="48"/>
    </row>
    <row r="36" spans="11:11" x14ac:dyDescent="0.3">
      <c r="K36" s="48"/>
    </row>
    <row r="37" spans="11:11" x14ac:dyDescent="0.3">
      <c r="K37" s="48"/>
    </row>
    <row r="38" spans="11:11" x14ac:dyDescent="0.3">
      <c r="K38" s="48"/>
    </row>
    <row r="39" spans="11:11" x14ac:dyDescent="0.3">
      <c r="K39" s="48"/>
    </row>
    <row r="40" spans="11:11" x14ac:dyDescent="0.3">
      <c r="K40" s="48"/>
    </row>
    <row r="41" spans="11:11" x14ac:dyDescent="0.3">
      <c r="K41" s="48"/>
    </row>
    <row r="42" spans="11:11" x14ac:dyDescent="0.3">
      <c r="K42" s="48"/>
    </row>
    <row r="43" spans="11:11" x14ac:dyDescent="0.3">
      <c r="K43" s="48"/>
    </row>
    <row r="44" spans="11:11" x14ac:dyDescent="0.3">
      <c r="K44" s="48"/>
    </row>
    <row r="45" spans="11:11" x14ac:dyDescent="0.3">
      <c r="K45" s="48"/>
    </row>
    <row r="46" spans="11:11" x14ac:dyDescent="0.3">
      <c r="K46" s="48"/>
    </row>
    <row r="52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396240</xdr:colOff>
                    <xdr:row>0</xdr:row>
                    <xdr:rowOff>60960</xdr:rowOff>
                  </from>
                  <to>
                    <xdr:col>9</xdr:col>
                    <xdr:colOff>373380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529993-94E5-4429-86D9-BB64B06D05B8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E187E-71E0-4A29-858D-C2D6F06EFE89}">
  <sheetPr codeName="Sheet8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4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4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F1C580-70E7-49AF-BDB4-BF4A341CAAF9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0538-847E-4062-B887-9944E38AD5E9}">
  <sheetPr codeName="Sheet9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5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5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B994B9-3D65-4729-9F84-DAE3DA75B459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203D6-17A7-4ED4-97D7-A8A1A9C94AFA}">
  <sheetPr codeName="Sheet10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6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6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7DBA4-DA7C-48B8-AC72-C31D0AA693AD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7082F-25B7-4539-B4E7-EB66D6D85F60}">
  <sheetPr codeName="Sheet11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7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v2 0 COM12 hp34401a COM26 7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DA87D-1E4B-4471-97FB-8BBE2941B5E6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9B0B6-FF98-43A7-9409-444F3A06B6E6}">
  <sheetPr codeName="Sheet13"/>
  <dimension ref="A1:L68"/>
  <sheetViews>
    <sheetView tabSelected="1" topLeftCell="A22" workbookViewId="0">
      <selection activeCell="B8" sqref="B8:B68"/>
    </sheetView>
  </sheetViews>
  <sheetFormatPr defaultColWidth="8.77734375" defaultRowHeight="14.4" x14ac:dyDescent="0.3"/>
  <cols>
    <col min="1" max="1" width="14.109375" style="2" bestFit="1" customWidth="1"/>
    <col min="2" max="2" width="12.44140625" style="2" bestFit="1" customWidth="1"/>
    <col min="3" max="3" width="11.77734375" style="2" bestFit="1" customWidth="1"/>
    <col min="4" max="10" width="8.77734375" style="2"/>
    <col min="11" max="11" width="14.109375" style="71" bestFit="1" customWidth="1"/>
    <col min="12" max="12" width="9.6640625" style="71" bestFit="1" customWidth="1"/>
    <col min="13" max="16384" width="8.77734375" style="2"/>
  </cols>
  <sheetData>
    <row r="1" spans="1:12" x14ac:dyDescent="0.3">
      <c r="A1" s="3" t="s">
        <v>47</v>
      </c>
      <c r="B1" s="2" t="s">
        <v>65</v>
      </c>
      <c r="C1" s="2" t="s">
        <v>187</v>
      </c>
      <c r="K1" s="71" t="s">
        <v>24</v>
      </c>
      <c r="L1" s="71">
        <v>3482.6170000000002</v>
      </c>
    </row>
    <row r="2" spans="1:12" x14ac:dyDescent="0.3">
      <c r="A2" s="3" t="s">
        <v>139</v>
      </c>
      <c r="B2" s="2" t="str">
        <f>_xlfn.CONCAT(Connect!$G$1, " ", Connect!$J$1, " ", Connect!$D$1, " ", B1)</f>
        <v>v2 0 COM12 calibrate</v>
      </c>
      <c r="C2" s="2" t="str">
        <f>_xlfn.CONCAT(Connect!$G$1, " ", Connect!$J$1, " ", Connect!$D$1, " ", C1)</f>
        <v>v2 0 COM12 quality</v>
      </c>
      <c r="K2" s="71" t="s">
        <v>25</v>
      </c>
      <c r="L2" s="71">
        <v>3275.4369999999999</v>
      </c>
    </row>
    <row r="3" spans="1:12" x14ac:dyDescent="0.3">
      <c r="A3" s="121"/>
      <c r="B3" s="121"/>
      <c r="C3" s="4"/>
      <c r="D3" s="4"/>
      <c r="E3" s="4"/>
      <c r="F3" s="4"/>
      <c r="G3" s="4"/>
      <c r="H3" s="4"/>
      <c r="K3" s="71" t="s">
        <v>26</v>
      </c>
      <c r="L3" s="71">
        <v>3275.99</v>
      </c>
    </row>
    <row r="4" spans="1:12" x14ac:dyDescent="0.3">
      <c r="A4" s="121"/>
      <c r="B4" s="121"/>
      <c r="C4" s="4"/>
      <c r="D4" s="4"/>
      <c r="E4" s="4"/>
      <c r="F4" s="4"/>
      <c r="G4" s="4"/>
      <c r="H4" s="4"/>
      <c r="K4" s="71" t="s">
        <v>27</v>
      </c>
      <c r="L4" s="71">
        <v>-15.701309999999999</v>
      </c>
    </row>
    <row r="5" spans="1:12" x14ac:dyDescent="0.3">
      <c r="A5" s="121"/>
      <c r="B5" s="121"/>
      <c r="C5" s="4"/>
      <c r="D5" s="4"/>
      <c r="E5" s="4"/>
      <c r="F5" s="4"/>
      <c r="G5" s="4"/>
      <c r="H5" s="4"/>
      <c r="K5" s="71" t="s">
        <v>34</v>
      </c>
      <c r="L5" s="71">
        <v>0</v>
      </c>
    </row>
    <row r="6" spans="1:12" x14ac:dyDescent="0.3">
      <c r="K6" s="71" t="s">
        <v>35</v>
      </c>
      <c r="L6" s="71">
        <v>0</v>
      </c>
    </row>
    <row r="7" spans="1:12" x14ac:dyDescent="0.3">
      <c r="A7" s="3" t="s">
        <v>138</v>
      </c>
      <c r="B7" s="3" t="s">
        <v>139</v>
      </c>
      <c r="C7" s="3" t="s">
        <v>172</v>
      </c>
      <c r="K7" s="71" t="s">
        <v>36</v>
      </c>
      <c r="L7" s="71">
        <v>0</v>
      </c>
    </row>
    <row r="8" spans="1:12" x14ac:dyDescent="0.3">
      <c r="A8" s="2" t="s">
        <v>24</v>
      </c>
      <c r="B8" s="2">
        <f>Data!D35</f>
        <v>3482.6170000000002</v>
      </c>
      <c r="C8" s="2">
        <f>L1</f>
        <v>3482.6170000000002</v>
      </c>
      <c r="E8" s="2">
        <v>3482.6170000000002</v>
      </c>
      <c r="K8" s="71" t="s">
        <v>37</v>
      </c>
      <c r="L8" s="72">
        <v>3.0460349999999998E-4</v>
      </c>
    </row>
    <row r="9" spans="1:12" x14ac:dyDescent="0.3">
      <c r="A9" s="2" t="s">
        <v>25</v>
      </c>
      <c r="B9" s="2">
        <f>Data!D29</f>
        <v>3275.4370543947925</v>
      </c>
      <c r="C9" s="2">
        <f t="shared" ref="C9:C68" si="0">L2</f>
        <v>3275.4369999999999</v>
      </c>
      <c r="K9" s="71" t="s">
        <v>38</v>
      </c>
      <c r="L9" s="72">
        <v>3.0460369999999999E-4</v>
      </c>
    </row>
    <row r="10" spans="1:12" x14ac:dyDescent="0.3">
      <c r="A10" s="2" t="s">
        <v>26</v>
      </c>
      <c r="B10" s="2">
        <f>Data!D26</f>
        <v>3275.9895338525266</v>
      </c>
      <c r="C10" s="2">
        <f t="shared" si="0"/>
        <v>3275.99</v>
      </c>
      <c r="K10" s="71" t="s">
        <v>39</v>
      </c>
      <c r="L10" s="72">
        <v>2.3849489999999999E-3</v>
      </c>
    </row>
    <row r="11" spans="1:12" x14ac:dyDescent="0.3">
      <c r="A11" s="2" t="s">
        <v>27</v>
      </c>
      <c r="B11" s="2">
        <f>Data!D32</f>
        <v>-15.701307131470962</v>
      </c>
      <c r="C11" s="2">
        <f t="shared" si="0"/>
        <v>-15.701309999999999</v>
      </c>
      <c r="K11" s="71" t="s">
        <v>40</v>
      </c>
      <c r="L11" s="72">
        <v>3.045926E-4</v>
      </c>
    </row>
    <row r="12" spans="1:12" x14ac:dyDescent="0.3">
      <c r="A12" s="2" t="s">
        <v>34</v>
      </c>
      <c r="B12" s="2" t="e">
        <f>Data!E29</f>
        <v>#DIV/0!</v>
      </c>
      <c r="C12" s="2">
        <f t="shared" si="0"/>
        <v>0</v>
      </c>
      <c r="K12" s="71" t="s">
        <v>41</v>
      </c>
      <c r="L12" s="72">
        <v>3.0459109999999998E-4</v>
      </c>
    </row>
    <row r="13" spans="1:12" x14ac:dyDescent="0.3">
      <c r="A13" s="2" t="s">
        <v>35</v>
      </c>
      <c r="B13" s="2" t="e">
        <f>Data!E26</f>
        <v>#DIV/0!</v>
      </c>
      <c r="C13" s="2">
        <f t="shared" si="0"/>
        <v>0</v>
      </c>
      <c r="K13" s="71" t="s">
        <v>42</v>
      </c>
      <c r="L13" s="72">
        <v>1.485709E-3</v>
      </c>
    </row>
    <row r="14" spans="1:12" x14ac:dyDescent="0.3">
      <c r="A14" s="2" t="s">
        <v>36</v>
      </c>
      <c r="B14" s="2" t="e">
        <f>Data!E32</f>
        <v>#DIV/0!</v>
      </c>
      <c r="C14" s="2">
        <f t="shared" si="0"/>
        <v>0</v>
      </c>
      <c r="K14" s="71" t="s">
        <v>92</v>
      </c>
      <c r="L14" s="72">
        <v>3.6444559999999999E-3</v>
      </c>
    </row>
    <row r="15" spans="1:12" x14ac:dyDescent="0.3">
      <c r="A15" s="2" t="s">
        <v>37</v>
      </c>
      <c r="B15" s="2">
        <f>Data!G29</f>
        <v>3.0460351052990554E-4</v>
      </c>
      <c r="C15" s="2">
        <f t="shared" si="0"/>
        <v>3.0460349999999998E-4</v>
      </c>
      <c r="K15" s="71" t="s">
        <v>90</v>
      </c>
      <c r="L15" s="72">
        <v>1.8383430000000001E-4</v>
      </c>
    </row>
    <row r="16" spans="1:12" x14ac:dyDescent="0.3">
      <c r="A16" s="2" t="s">
        <v>38</v>
      </c>
      <c r="B16" s="2">
        <f>Data!G26</f>
        <v>3.0460375892431762E-4</v>
      </c>
      <c r="C16" s="2">
        <f t="shared" si="0"/>
        <v>3.0460369999999999E-4</v>
      </c>
      <c r="K16" s="71" t="s">
        <v>91</v>
      </c>
      <c r="L16" s="72">
        <v>8.8972879999999992E-6</v>
      </c>
    </row>
    <row r="17" spans="1:12" x14ac:dyDescent="0.3">
      <c r="A17" s="2" t="s">
        <v>39</v>
      </c>
      <c r="B17" s="2">
        <f>Data!G32</f>
        <v>2.3849492990028398E-3</v>
      </c>
      <c r="C17" s="2">
        <f t="shared" si="0"/>
        <v>2.3849489999999999E-3</v>
      </c>
      <c r="K17" s="71" t="s">
        <v>93</v>
      </c>
      <c r="L17" s="72">
        <v>4.5983109999999998E-7</v>
      </c>
    </row>
    <row r="18" spans="1:12" x14ac:dyDescent="0.3">
      <c r="A18" s="2" t="s">
        <v>40</v>
      </c>
      <c r="B18" s="2">
        <f>Data!K29</f>
        <v>3.0459257834628136E-4</v>
      </c>
      <c r="C18" s="2">
        <f t="shared" si="0"/>
        <v>3.045926E-4</v>
      </c>
      <c r="K18" s="71" t="s">
        <v>94</v>
      </c>
      <c r="L18" s="72">
        <v>0</v>
      </c>
    </row>
    <row r="19" spans="1:12" x14ac:dyDescent="0.3">
      <c r="A19" s="2" t="s">
        <v>41</v>
      </c>
      <c r="B19" s="2">
        <f>Data!K26</f>
        <v>3.0459104434067599E-4</v>
      </c>
      <c r="C19" s="2">
        <f t="shared" si="0"/>
        <v>3.0459109999999998E-4</v>
      </c>
      <c r="K19" s="71" t="s">
        <v>95</v>
      </c>
      <c r="L19" s="72">
        <v>0</v>
      </c>
    </row>
    <row r="20" spans="1:12" x14ac:dyDescent="0.3">
      <c r="A20" s="2" t="s">
        <v>42</v>
      </c>
      <c r="B20" s="2">
        <f>Data!K32</f>
        <v>1.485709441248719E-3</v>
      </c>
      <c r="C20" s="2">
        <f t="shared" si="0"/>
        <v>1.485709E-3</v>
      </c>
      <c r="K20" s="71" t="s">
        <v>96</v>
      </c>
      <c r="L20" s="72">
        <v>0</v>
      </c>
    </row>
    <row r="21" spans="1:12" x14ac:dyDescent="0.3">
      <c r="A21" s="2" t="s">
        <v>92</v>
      </c>
      <c r="B21" s="2">
        <f>Data!P29</f>
        <v>3.6444563365247086E-3</v>
      </c>
      <c r="C21" s="2">
        <f t="shared" si="0"/>
        <v>3.6444559999999999E-3</v>
      </c>
      <c r="K21" s="71" t="s">
        <v>97</v>
      </c>
      <c r="L21" s="72">
        <v>0</v>
      </c>
    </row>
    <row r="22" spans="1:12" x14ac:dyDescent="0.3">
      <c r="A22" s="2" t="s">
        <v>90</v>
      </c>
      <c r="B22" s="2">
        <f>Data!U29</f>
        <v>1.8383432139612528E-4</v>
      </c>
      <c r="C22" s="2">
        <f t="shared" si="0"/>
        <v>1.8383430000000001E-4</v>
      </c>
      <c r="K22" s="71" t="s">
        <v>98</v>
      </c>
      <c r="L22" s="72">
        <v>3.639279E-3</v>
      </c>
    </row>
    <row r="23" spans="1:12" x14ac:dyDescent="0.3">
      <c r="A23" s="2" t="s">
        <v>91</v>
      </c>
      <c r="B23" s="2">
        <f>Data!Z29</f>
        <v>8.8972885347636981E-6</v>
      </c>
      <c r="C23" s="2">
        <f t="shared" si="0"/>
        <v>8.8972879999999992E-6</v>
      </c>
      <c r="K23" s="71" t="s">
        <v>99</v>
      </c>
      <c r="L23" s="72">
        <v>1.8353400000000001E-4</v>
      </c>
    </row>
    <row r="24" spans="1:12" x14ac:dyDescent="0.3">
      <c r="A24" s="2" t="s">
        <v>93</v>
      </c>
      <c r="B24" s="2">
        <f>Data!AE29</f>
        <v>4.5983112932873621E-7</v>
      </c>
      <c r="C24" s="2">
        <f t="shared" si="0"/>
        <v>4.5983109999999998E-7</v>
      </c>
      <c r="K24" s="71" t="s">
        <v>100</v>
      </c>
      <c r="L24" s="72">
        <v>8.8848509999999995E-6</v>
      </c>
    </row>
    <row r="25" spans="1:12" x14ac:dyDescent="0.3">
      <c r="A25" s="2" t="s">
        <v>94</v>
      </c>
      <c r="B25" s="2" t="e">
        <f>Data!AJ29</f>
        <v>#DIV/0!</v>
      </c>
      <c r="C25" s="2">
        <f t="shared" si="0"/>
        <v>0</v>
      </c>
      <c r="K25" s="71" t="s">
        <v>101</v>
      </c>
      <c r="L25" s="72">
        <v>4.5913839999999999E-7</v>
      </c>
    </row>
    <row r="26" spans="1:12" x14ac:dyDescent="0.3">
      <c r="A26" s="2" t="s">
        <v>95</v>
      </c>
      <c r="B26" s="2" t="e">
        <f>Data!AN29</f>
        <v>#DIV/0!</v>
      </c>
      <c r="C26" s="2">
        <f t="shared" si="0"/>
        <v>0</v>
      </c>
      <c r="K26" s="71" t="s">
        <v>102</v>
      </c>
      <c r="L26" s="72">
        <v>0</v>
      </c>
    </row>
    <row r="27" spans="1:12" x14ac:dyDescent="0.3">
      <c r="A27" s="2" t="s">
        <v>96</v>
      </c>
      <c r="B27" s="2" t="e">
        <f>Data!AT29</f>
        <v>#DIV/0!</v>
      </c>
      <c r="C27" s="2">
        <f t="shared" si="0"/>
        <v>0</v>
      </c>
      <c r="K27" s="71" t="s">
        <v>103</v>
      </c>
      <c r="L27" s="72">
        <v>0</v>
      </c>
    </row>
    <row r="28" spans="1:12" x14ac:dyDescent="0.3">
      <c r="A28" s="2" t="s">
        <v>97</v>
      </c>
      <c r="B28" s="2" t="e">
        <f>Data!AY29</f>
        <v>#DIV/0!</v>
      </c>
      <c r="C28" s="2">
        <f t="shared" si="0"/>
        <v>0</v>
      </c>
      <c r="K28" s="71" t="s">
        <v>104</v>
      </c>
      <c r="L28" s="72">
        <v>0</v>
      </c>
    </row>
    <row r="29" spans="1:12" x14ac:dyDescent="0.3">
      <c r="A29" s="2" t="s">
        <v>98</v>
      </c>
      <c r="B29" s="2">
        <f>Data!P26</f>
        <v>3.6392790897289903E-3</v>
      </c>
      <c r="C29" s="2">
        <f t="shared" si="0"/>
        <v>3.639279E-3</v>
      </c>
      <c r="K29" s="71" t="s">
        <v>105</v>
      </c>
      <c r="L29" s="72">
        <v>0</v>
      </c>
    </row>
    <row r="30" spans="1:12" x14ac:dyDescent="0.3">
      <c r="A30" s="2" t="s">
        <v>99</v>
      </c>
      <c r="B30" s="2">
        <f>Data!U26</f>
        <v>1.8353396922305104E-4</v>
      </c>
      <c r="C30" s="2">
        <f t="shared" si="0"/>
        <v>1.8353400000000001E-4</v>
      </c>
      <c r="K30" s="71" t="s">
        <v>106</v>
      </c>
      <c r="L30" s="72">
        <v>9.3721990000000005E-2</v>
      </c>
    </row>
    <row r="31" spans="1:12" x14ac:dyDescent="0.3">
      <c r="A31" s="2" t="s">
        <v>100</v>
      </c>
      <c r="B31" s="2">
        <f>Data!Z26</f>
        <v>8.8848506046871549E-6</v>
      </c>
      <c r="C31" s="2">
        <f t="shared" si="0"/>
        <v>8.8848509999999995E-6</v>
      </c>
      <c r="K31" s="71" t="s">
        <v>107</v>
      </c>
      <c r="L31" s="72">
        <v>4.8549270000000002E-3</v>
      </c>
    </row>
    <row r="32" spans="1:12" x14ac:dyDescent="0.3">
      <c r="A32" s="2" t="s">
        <v>101</v>
      </c>
      <c r="B32" s="2">
        <f>Data!AE26</f>
        <v>4.5913839012877887E-7</v>
      </c>
      <c r="C32" s="2">
        <f t="shared" si="0"/>
        <v>4.5913839999999999E-7</v>
      </c>
      <c r="K32" s="71" t="s">
        <v>108</v>
      </c>
      <c r="L32" s="72">
        <v>2.2595770000000001E-4</v>
      </c>
    </row>
    <row r="33" spans="1:12" x14ac:dyDescent="0.3">
      <c r="A33" s="2" t="s">
        <v>102</v>
      </c>
      <c r="B33" s="2" t="e">
        <f>Data!AJ26</f>
        <v>#DIV/0!</v>
      </c>
      <c r="C33" s="2">
        <f t="shared" si="0"/>
        <v>0</v>
      </c>
      <c r="K33" s="71" t="s">
        <v>109</v>
      </c>
      <c r="L33" s="72">
        <v>1.1514229999999999E-5</v>
      </c>
    </row>
    <row r="34" spans="1:12" x14ac:dyDescent="0.3">
      <c r="A34" s="2" t="s">
        <v>103</v>
      </c>
      <c r="B34" s="2" t="e">
        <f>Data!AO26</f>
        <v>#DIV/0!</v>
      </c>
      <c r="C34" s="2">
        <f t="shared" si="0"/>
        <v>0</v>
      </c>
      <c r="K34" s="71" t="s">
        <v>110</v>
      </c>
      <c r="L34" s="71">
        <v>0</v>
      </c>
    </row>
    <row r="35" spans="1:12" x14ac:dyDescent="0.3">
      <c r="A35" s="2" t="s">
        <v>104</v>
      </c>
      <c r="B35" s="2" t="e">
        <f>Data!AT26</f>
        <v>#DIV/0!</v>
      </c>
      <c r="C35" s="2">
        <f t="shared" si="0"/>
        <v>0</v>
      </c>
      <c r="K35" s="71" t="s">
        <v>111</v>
      </c>
      <c r="L35" s="71">
        <v>0</v>
      </c>
    </row>
    <row r="36" spans="1:12" x14ac:dyDescent="0.3">
      <c r="A36" s="2" t="s">
        <v>105</v>
      </c>
      <c r="B36" s="2" t="e">
        <f>Data!AY26</f>
        <v>#DIV/0!</v>
      </c>
      <c r="C36" s="2">
        <f t="shared" si="0"/>
        <v>0</v>
      </c>
      <c r="K36" s="71" t="s">
        <v>112</v>
      </c>
      <c r="L36" s="71">
        <v>0</v>
      </c>
    </row>
    <row r="37" spans="1:12" x14ac:dyDescent="0.3">
      <c r="A37" s="2" t="s">
        <v>106</v>
      </c>
      <c r="B37" s="2">
        <f>Data!P32</f>
        <v>9.3721993434903783E-2</v>
      </c>
      <c r="C37" s="2">
        <f t="shared" si="0"/>
        <v>9.3721990000000005E-2</v>
      </c>
      <c r="K37" s="71" t="s">
        <v>113</v>
      </c>
      <c r="L37" s="71">
        <v>0</v>
      </c>
    </row>
    <row r="38" spans="1:12" x14ac:dyDescent="0.3">
      <c r="A38" s="2" t="s">
        <v>107</v>
      </c>
      <c r="B38" s="2">
        <f>Data!U32</f>
        <v>4.8549268494974904E-3</v>
      </c>
      <c r="C38" s="2">
        <f t="shared" si="0"/>
        <v>4.8549270000000002E-3</v>
      </c>
      <c r="K38" s="71" t="s">
        <v>114</v>
      </c>
      <c r="L38" s="71">
        <v>50.077419999999996</v>
      </c>
    </row>
    <row r="39" spans="1:12" x14ac:dyDescent="0.3">
      <c r="A39" s="2" t="s">
        <v>108</v>
      </c>
      <c r="B39" s="2">
        <f>Data!Z32</f>
        <v>2.2595769842238605E-4</v>
      </c>
      <c r="C39" s="2">
        <f t="shared" si="0"/>
        <v>2.2595770000000001E-4</v>
      </c>
      <c r="K39" s="71" t="s">
        <v>115</v>
      </c>
      <c r="L39" s="71">
        <v>984.76829999999995</v>
      </c>
    </row>
    <row r="40" spans="1:12" x14ac:dyDescent="0.3">
      <c r="A40" s="2" t="s">
        <v>109</v>
      </c>
      <c r="B40" s="2">
        <f>Data!AE32</f>
        <v>1.1514234534492442E-5</v>
      </c>
      <c r="C40" s="2">
        <f t="shared" si="0"/>
        <v>1.1514229999999999E-5</v>
      </c>
      <c r="K40" s="71" t="s">
        <v>116</v>
      </c>
      <c r="L40" s="71">
        <v>20334.689999999999</v>
      </c>
    </row>
    <row r="41" spans="1:12" x14ac:dyDescent="0.3">
      <c r="A41" s="2" t="s">
        <v>110</v>
      </c>
      <c r="B41" s="2" t="e">
        <f>Data!AJ32</f>
        <v>#DIV/0!</v>
      </c>
      <c r="C41" s="2">
        <f t="shared" si="0"/>
        <v>0</v>
      </c>
      <c r="K41" s="71" t="s">
        <v>117</v>
      </c>
      <c r="L41" s="71">
        <v>393466.8</v>
      </c>
    </row>
    <row r="42" spans="1:12" x14ac:dyDescent="0.3">
      <c r="A42" s="2" t="s">
        <v>111</v>
      </c>
      <c r="B42" s="2" t="e">
        <f>Data!AO32</f>
        <v>#DIV/0!</v>
      </c>
      <c r="C42" s="2">
        <f t="shared" si="0"/>
        <v>0</v>
      </c>
      <c r="K42" s="71" t="s">
        <v>118</v>
      </c>
      <c r="L42" s="71">
        <v>0</v>
      </c>
    </row>
    <row r="43" spans="1:12" x14ac:dyDescent="0.3">
      <c r="A43" s="2" t="s">
        <v>112</v>
      </c>
      <c r="B43" s="2" t="e">
        <f>Data!AT32</f>
        <v>#DIV/0!</v>
      </c>
      <c r="C43" s="2">
        <f t="shared" si="0"/>
        <v>0</v>
      </c>
      <c r="K43" s="71" t="s">
        <v>119</v>
      </c>
      <c r="L43" s="71">
        <v>0</v>
      </c>
    </row>
    <row r="44" spans="1:12" x14ac:dyDescent="0.3">
      <c r="A44" s="2" t="s">
        <v>113</v>
      </c>
      <c r="B44" s="2" t="e">
        <f>Data!AY32</f>
        <v>#DIV/0!</v>
      </c>
      <c r="C44" s="2">
        <f t="shared" si="0"/>
        <v>0</v>
      </c>
      <c r="K44" s="71" t="s">
        <v>120</v>
      </c>
      <c r="L44" s="72">
        <v>0</v>
      </c>
    </row>
    <row r="45" spans="1:12" x14ac:dyDescent="0.3">
      <c r="A45" s="2" t="s">
        <v>114</v>
      </c>
      <c r="B45" s="2">
        <f>Data!O29</f>
        <v>50.077423941373333</v>
      </c>
      <c r="C45" s="2">
        <f t="shared" si="0"/>
        <v>50.077419999999996</v>
      </c>
      <c r="K45" s="71" t="s">
        <v>121</v>
      </c>
      <c r="L45" s="72">
        <v>0</v>
      </c>
    </row>
    <row r="46" spans="1:12" x14ac:dyDescent="0.3">
      <c r="A46" s="2" t="s">
        <v>115</v>
      </c>
      <c r="B46" s="2">
        <f>Data!T29</f>
        <v>984.76832928911335</v>
      </c>
      <c r="C46" s="2">
        <f t="shared" si="0"/>
        <v>984.76829999999995</v>
      </c>
      <c r="K46" s="71" t="s">
        <v>122</v>
      </c>
      <c r="L46" s="71">
        <v>50.057139999999997</v>
      </c>
    </row>
    <row r="47" spans="1:12" x14ac:dyDescent="0.3">
      <c r="A47" s="2" t="s">
        <v>116</v>
      </c>
      <c r="B47" s="2">
        <f>Data!Y29</f>
        <v>20334.691740800292</v>
      </c>
      <c r="C47" s="2">
        <f t="shared" si="0"/>
        <v>20334.689999999999</v>
      </c>
      <c r="K47" s="71" t="s">
        <v>123</v>
      </c>
      <c r="L47" s="71">
        <v>984.48130000000003</v>
      </c>
    </row>
    <row r="48" spans="1:12" x14ac:dyDescent="0.3">
      <c r="A48" s="2" t="s">
        <v>117</v>
      </c>
      <c r="B48" s="2">
        <f>Data!AD29</f>
        <v>393466.84259294235</v>
      </c>
      <c r="C48" s="2">
        <f t="shared" si="0"/>
        <v>393466.8</v>
      </c>
      <c r="K48" s="71" t="s">
        <v>124</v>
      </c>
      <c r="L48" s="71">
        <v>20322.32</v>
      </c>
    </row>
    <row r="49" spans="1:12" x14ac:dyDescent="0.3">
      <c r="A49" s="2" t="s">
        <v>118</v>
      </c>
      <c r="B49" s="2" t="e">
        <f>Data!AI29</f>
        <v>#DIV/0!</v>
      </c>
      <c r="C49" s="2">
        <f t="shared" si="0"/>
        <v>0</v>
      </c>
      <c r="K49" s="71" t="s">
        <v>125</v>
      </c>
      <c r="L49" s="71">
        <v>393292.1</v>
      </c>
    </row>
    <row r="50" spans="1:12" x14ac:dyDescent="0.3">
      <c r="A50" s="2" t="s">
        <v>119</v>
      </c>
      <c r="B50" s="2" t="e">
        <f>Data!AN29</f>
        <v>#DIV/0!</v>
      </c>
      <c r="C50" s="2">
        <f t="shared" si="0"/>
        <v>0</v>
      </c>
      <c r="K50" s="71" t="s">
        <v>126</v>
      </c>
      <c r="L50" s="71">
        <v>0</v>
      </c>
    </row>
    <row r="51" spans="1:12" x14ac:dyDescent="0.3">
      <c r="A51" s="2" t="s">
        <v>120</v>
      </c>
      <c r="B51" s="2" t="e">
        <f>Data!AS29</f>
        <v>#DIV/0!</v>
      </c>
      <c r="C51" s="2">
        <f t="shared" si="0"/>
        <v>0</v>
      </c>
      <c r="K51" s="71" t="s">
        <v>127</v>
      </c>
      <c r="L51" s="71">
        <v>0</v>
      </c>
    </row>
    <row r="52" spans="1:12" x14ac:dyDescent="0.3">
      <c r="A52" s="2" t="s">
        <v>121</v>
      </c>
      <c r="B52" s="2" t="e">
        <f>Data!AX29</f>
        <v>#DIV/0!</v>
      </c>
      <c r="C52" s="2">
        <f t="shared" si="0"/>
        <v>0</v>
      </c>
      <c r="K52" s="71" t="s">
        <v>128</v>
      </c>
      <c r="L52" s="72">
        <v>0</v>
      </c>
    </row>
    <row r="53" spans="1:12" x14ac:dyDescent="0.3">
      <c r="A53" s="2" t="s">
        <v>122</v>
      </c>
      <c r="B53" s="2">
        <f>Data!O26</f>
        <v>50.05714346709906</v>
      </c>
      <c r="C53" s="2">
        <f t="shared" si="0"/>
        <v>50.057139999999997</v>
      </c>
      <c r="K53" s="71" t="s">
        <v>129</v>
      </c>
      <c r="L53" s="72">
        <v>0</v>
      </c>
    </row>
    <row r="54" spans="1:12" x14ac:dyDescent="0.3">
      <c r="A54" s="2" t="s">
        <v>123</v>
      </c>
      <c r="B54" s="2">
        <f>Data!T26</f>
        <v>984.48126599873763</v>
      </c>
      <c r="C54" s="2">
        <f t="shared" si="0"/>
        <v>984.48130000000003</v>
      </c>
      <c r="K54" s="71" t="s">
        <v>130</v>
      </c>
      <c r="L54" s="71">
        <v>-19.087949999999999</v>
      </c>
    </row>
    <row r="55" spans="1:12" x14ac:dyDescent="0.3">
      <c r="A55" s="2" t="s">
        <v>124</v>
      </c>
      <c r="B55" s="2">
        <f>Data!Y26</f>
        <v>20322.319136932096</v>
      </c>
      <c r="C55" s="2">
        <f t="shared" si="0"/>
        <v>20322.32</v>
      </c>
      <c r="K55" s="71" t="s">
        <v>131</v>
      </c>
      <c r="L55" s="71">
        <v>-16.25263</v>
      </c>
    </row>
    <row r="56" spans="1:12" x14ac:dyDescent="0.3">
      <c r="A56" s="2" t="s">
        <v>125</v>
      </c>
      <c r="B56" s="2">
        <f>Data!AD26</f>
        <v>393292.12721545208</v>
      </c>
      <c r="C56" s="2">
        <f t="shared" si="0"/>
        <v>393292.1</v>
      </c>
      <c r="K56" s="71" t="s">
        <v>132</v>
      </c>
      <c r="L56" s="71">
        <v>-16.092860000000002</v>
      </c>
    </row>
    <row r="57" spans="1:12" x14ac:dyDescent="0.3">
      <c r="A57" s="2" t="s">
        <v>126</v>
      </c>
      <c r="B57" s="2" t="e">
        <f>Data!AI26</f>
        <v>#DIV/0!</v>
      </c>
      <c r="C57" s="2">
        <f t="shared" si="0"/>
        <v>0</v>
      </c>
      <c r="K57" s="71" t="s">
        <v>133</v>
      </c>
      <c r="L57" s="71">
        <v>-13.14837</v>
      </c>
    </row>
    <row r="58" spans="1:12" x14ac:dyDescent="0.3">
      <c r="A58" s="2" t="s">
        <v>127</v>
      </c>
      <c r="B58" s="2" t="e">
        <f>Data!AN26</f>
        <v>#DIV/0!</v>
      </c>
      <c r="C58" s="2">
        <f t="shared" si="0"/>
        <v>0</v>
      </c>
      <c r="K58" s="71" t="s">
        <v>134</v>
      </c>
      <c r="L58" s="71">
        <v>0</v>
      </c>
    </row>
    <row r="59" spans="1:12" x14ac:dyDescent="0.3">
      <c r="A59" s="2" t="s">
        <v>128</v>
      </c>
      <c r="B59" s="2" t="e">
        <f>Data!AS26</f>
        <v>#DIV/0!</v>
      </c>
      <c r="C59" s="2">
        <f t="shared" si="0"/>
        <v>0</v>
      </c>
      <c r="K59" s="71" t="s">
        <v>135</v>
      </c>
      <c r="L59" s="71">
        <v>0</v>
      </c>
    </row>
    <row r="60" spans="1:12" x14ac:dyDescent="0.3">
      <c r="A60" s="2" t="s">
        <v>129</v>
      </c>
      <c r="B60" s="2" t="e">
        <f>Data!AX26</f>
        <v>#DIV/0!</v>
      </c>
      <c r="C60" s="2">
        <f t="shared" si="0"/>
        <v>0</v>
      </c>
      <c r="K60" s="71" t="s">
        <v>136</v>
      </c>
      <c r="L60" s="71">
        <v>0</v>
      </c>
    </row>
    <row r="61" spans="1:12" x14ac:dyDescent="0.3">
      <c r="A61" s="2" t="s">
        <v>130</v>
      </c>
      <c r="B61" s="2">
        <f>Data!O32</f>
        <v>-19.087948618934412</v>
      </c>
      <c r="C61" s="2">
        <f t="shared" si="0"/>
        <v>-19.087949999999999</v>
      </c>
      <c r="K61" s="71" t="s">
        <v>137</v>
      </c>
      <c r="L61" s="71">
        <v>0</v>
      </c>
    </row>
    <row r="62" spans="1:12" x14ac:dyDescent="0.3">
      <c r="A62" s="2" t="s">
        <v>131</v>
      </c>
      <c r="B62" s="2">
        <f>Data!T32</f>
        <v>-16.252632062912173</v>
      </c>
      <c r="C62" s="2">
        <f t="shared" si="0"/>
        <v>-16.25263</v>
      </c>
    </row>
    <row r="63" spans="1:12" x14ac:dyDescent="0.3">
      <c r="A63" s="2" t="s">
        <v>132</v>
      </c>
      <c r="B63" s="2">
        <f>Data!Y32</f>
        <v>-16.092861309187104</v>
      </c>
      <c r="C63" s="2">
        <f t="shared" si="0"/>
        <v>-16.092860000000002</v>
      </c>
    </row>
    <row r="64" spans="1:12" x14ac:dyDescent="0.3">
      <c r="A64" s="2" t="s">
        <v>133</v>
      </c>
      <c r="B64" s="2">
        <f>Data!AD32</f>
        <v>-13.148369878567109</v>
      </c>
      <c r="C64" s="2">
        <f t="shared" si="0"/>
        <v>-13.14837</v>
      </c>
    </row>
    <row r="65" spans="1:3" x14ac:dyDescent="0.3">
      <c r="A65" s="2" t="s">
        <v>134</v>
      </c>
      <c r="B65" s="2" t="e">
        <f>Data!AI32</f>
        <v>#DIV/0!</v>
      </c>
      <c r="C65" s="2">
        <f t="shared" si="0"/>
        <v>0</v>
      </c>
    </row>
    <row r="66" spans="1:3" x14ac:dyDescent="0.3">
      <c r="A66" s="2" t="s">
        <v>135</v>
      </c>
      <c r="B66" s="2" t="e">
        <f>Data!AN32</f>
        <v>#DIV/0!</v>
      </c>
      <c r="C66" s="2">
        <f t="shared" si="0"/>
        <v>0</v>
      </c>
    </row>
    <row r="67" spans="1:3" x14ac:dyDescent="0.3">
      <c r="A67" s="2" t="s">
        <v>136</v>
      </c>
      <c r="B67" s="2" t="e">
        <f>Data!AS32</f>
        <v>#DIV/0!</v>
      </c>
      <c r="C67" s="2">
        <f t="shared" si="0"/>
        <v>0</v>
      </c>
    </row>
    <row r="68" spans="1:3" x14ac:dyDescent="0.3">
      <c r="A68" s="2" t="s">
        <v>137</v>
      </c>
      <c r="B68" s="2" t="e">
        <f>Data!AX32</f>
        <v>#DIV/0!</v>
      </c>
      <c r="C68" s="2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1</xdr:col>
                    <xdr:colOff>701040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586740</xdr:colOff>
                    <xdr:row>2</xdr:row>
                    <xdr:rowOff>99060</xdr:rowOff>
                  </from>
                  <to>
                    <xdr:col>7</xdr:col>
                    <xdr:colOff>472440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endCalData">
                <anchor moveWithCells="1" sizeWithCells="1">
                  <from>
                    <xdr:col>2</xdr:col>
                    <xdr:colOff>99060</xdr:colOff>
                    <xdr:row>2</xdr:row>
                    <xdr:rowOff>99060</xdr:rowOff>
                  </from>
                  <to>
                    <xdr:col>3</xdr:col>
                    <xdr:colOff>434340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4824-6B67-4211-9FDF-720C72B09C63}">
  <sheetPr codeName="Sheet14"/>
  <dimension ref="A1:G9"/>
  <sheetViews>
    <sheetView workbookViewId="0">
      <selection activeCell="B10" sqref="B10"/>
    </sheetView>
  </sheetViews>
  <sheetFormatPr defaultColWidth="8.77734375" defaultRowHeight="14.4" x14ac:dyDescent="0.3"/>
  <cols>
    <col min="1" max="1" width="22.44140625" style="2" bestFit="1" customWidth="1"/>
    <col min="2" max="2" width="44.21875" style="2" customWidth="1"/>
    <col min="3" max="3" width="9.5546875" style="2" customWidth="1"/>
    <col min="4" max="16384" width="8.77734375" style="2"/>
  </cols>
  <sheetData>
    <row r="1" spans="1:7" x14ac:dyDescent="0.3">
      <c r="A1" s="3" t="s">
        <v>185</v>
      </c>
      <c r="B1" t="str">
        <f>_xlfn.CONCAT(Connect!$G$1, " ", Connect!$J$1, " ", Connect!$D$1, " ", "save_hw_data")</f>
        <v>v2 0 COM12 save_hw_data</v>
      </c>
    </row>
    <row r="2" spans="1:7" x14ac:dyDescent="0.3">
      <c r="A2" s="3" t="s">
        <v>186</v>
      </c>
      <c r="B2" t="str">
        <f>_xlfn.CONCAT(Connect!$G$1, " ", Connect!$J$1, " ", Connect!$D$1, " ", "send_hw_data")</f>
        <v>v2 0 COM12 send_hw_data</v>
      </c>
    </row>
    <row r="3" spans="1:7" x14ac:dyDescent="0.3">
      <c r="A3" s="121"/>
      <c r="B3" s="121"/>
      <c r="C3" s="4"/>
      <c r="D3" s="4"/>
      <c r="E3" s="4"/>
      <c r="F3" s="4"/>
      <c r="G3" s="4"/>
    </row>
    <row r="4" spans="1:7" x14ac:dyDescent="0.3">
      <c r="A4" s="121"/>
      <c r="B4" s="121"/>
      <c r="C4" s="4"/>
      <c r="D4" s="4"/>
      <c r="E4" s="4"/>
      <c r="F4" s="4"/>
      <c r="G4" s="4"/>
    </row>
    <row r="5" spans="1:7" x14ac:dyDescent="0.3">
      <c r="A5" s="121"/>
      <c r="B5" s="121"/>
      <c r="C5" s="4"/>
      <c r="D5" s="4"/>
      <c r="E5" s="4"/>
      <c r="F5" s="4"/>
      <c r="G5" s="4"/>
    </row>
    <row r="7" spans="1:7" x14ac:dyDescent="0.3">
      <c r="A7" s="3" t="s">
        <v>163</v>
      </c>
      <c r="B7" s="63" t="s">
        <v>203</v>
      </c>
      <c r="C7" s="2">
        <f>VLOOKUP(B7,Internal!M2:N9,2,FALSE)</f>
        <v>5</v>
      </c>
    </row>
    <row r="8" spans="1:7" x14ac:dyDescent="0.3">
      <c r="A8" s="3" t="s">
        <v>165</v>
      </c>
      <c r="B8" s="63" t="s">
        <v>206</v>
      </c>
    </row>
    <row r="9" spans="1:7" x14ac:dyDescent="0.3">
      <c r="A9" s="64" t="s">
        <v>166</v>
      </c>
      <c r="B9" s="65" t="s">
        <v>207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veHwData">
                <anchor moveWithCells="1" sizeWithCells="1">
                  <from>
                    <xdr:col>0</xdr:col>
                    <xdr:colOff>175260</xdr:colOff>
                    <xdr:row>2</xdr:row>
                    <xdr:rowOff>106680</xdr:rowOff>
                  </from>
                  <to>
                    <xdr:col>1</xdr:col>
                    <xdr:colOff>2849880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137160</xdr:colOff>
                    <xdr:row>2</xdr:row>
                    <xdr:rowOff>114300</xdr:rowOff>
                  </from>
                  <to>
                    <xdr:col>6</xdr:col>
                    <xdr:colOff>426720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6DE1B4-0305-4848-ABD4-4DBBF65D6E5D}">
          <x14:formula1>
            <xm:f>Internal!$M$2:$M$9</xm:f>
          </x14:formula1>
          <xm:sqref>B7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1BF6-1572-4331-8CFD-7488DA7D57C5}">
  <sheetPr codeName="Sheet12"/>
  <dimension ref="A1:N41"/>
  <sheetViews>
    <sheetView topLeftCell="J1" workbookViewId="0">
      <selection activeCell="M8" sqref="M8"/>
    </sheetView>
  </sheetViews>
  <sheetFormatPr defaultRowHeight="14.4" x14ac:dyDescent="0.3"/>
  <cols>
    <col min="1" max="1" width="16.21875" bestFit="1" customWidth="1"/>
    <col min="2" max="2" width="10.33203125" customWidth="1"/>
    <col min="3" max="3" width="6.88671875" bestFit="1" customWidth="1"/>
    <col min="4" max="5" width="8.77734375" bestFit="1" customWidth="1"/>
    <col min="6" max="6" width="11.21875" bestFit="1" customWidth="1"/>
    <col min="8" max="8" width="18.109375" bestFit="1" customWidth="1"/>
    <col min="9" max="9" width="9.5546875" style="11" bestFit="1" customWidth="1"/>
    <col min="10" max="10" width="8.88671875" style="54" bestFit="1" customWidth="1"/>
    <col min="11" max="11" width="20.44140625" bestFit="1" customWidth="1"/>
    <col min="12" max="12" width="12.5546875" bestFit="1" customWidth="1"/>
  </cols>
  <sheetData>
    <row r="1" spans="1:14" s="1" customFormat="1" ht="15" thickBot="1" x14ac:dyDescent="0.35">
      <c r="A1" s="1" t="s">
        <v>4</v>
      </c>
      <c r="B1" s="1" t="s">
        <v>1</v>
      </c>
      <c r="C1" s="1" t="s">
        <v>66</v>
      </c>
      <c r="D1" s="1" t="s">
        <v>157</v>
      </c>
      <c r="E1" s="1" t="s">
        <v>158</v>
      </c>
      <c r="F1" s="1" t="s">
        <v>159</v>
      </c>
      <c r="G1" s="1" t="s">
        <v>64</v>
      </c>
      <c r="H1" s="1" t="s">
        <v>9</v>
      </c>
      <c r="I1" s="57" t="s">
        <v>88</v>
      </c>
      <c r="J1" s="57" t="s">
        <v>87</v>
      </c>
      <c r="K1" s="1" t="s">
        <v>140</v>
      </c>
      <c r="L1" s="1" t="s">
        <v>156</v>
      </c>
      <c r="M1" s="1" t="s">
        <v>198</v>
      </c>
    </row>
    <row r="2" spans="1:14" x14ac:dyDescent="0.3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67</v>
      </c>
      <c r="I2" s="11">
        <v>-5000</v>
      </c>
      <c r="J2" s="11">
        <v>-32750</v>
      </c>
      <c r="K2" t="s">
        <v>141</v>
      </c>
      <c r="L2">
        <v>32768</v>
      </c>
      <c r="M2" t="s">
        <v>164</v>
      </c>
      <c r="N2">
        <v>0</v>
      </c>
    </row>
    <row r="3" spans="1:14" x14ac:dyDescent="0.3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IF(Connect!G1=Internal!$A$2,Internal!D3,Internal!E3)</f>
        <v>1000</v>
      </c>
      <c r="G3">
        <v>1</v>
      </c>
      <c r="H3" t="s">
        <v>68</v>
      </c>
      <c r="I3" s="11">
        <v>-4500</v>
      </c>
      <c r="J3" s="11">
        <v>-29475</v>
      </c>
      <c r="L3">
        <v>32767</v>
      </c>
      <c r="M3" t="s">
        <v>199</v>
      </c>
      <c r="N3">
        <v>1</v>
      </c>
    </row>
    <row r="4" spans="1:14" x14ac:dyDescent="0.3">
      <c r="B4" t="s">
        <v>65</v>
      </c>
      <c r="C4">
        <v>1</v>
      </c>
      <c r="D4" s="98">
        <f>0.005*1000</f>
        <v>5</v>
      </c>
      <c r="E4">
        <v>100</v>
      </c>
      <c r="F4">
        <f>IF(Connect!G2=Internal!$A$2,Internal!D4,Internal!E4)</f>
        <v>100</v>
      </c>
      <c r="G4">
        <v>2</v>
      </c>
      <c r="H4" t="s">
        <v>61</v>
      </c>
      <c r="I4" s="11">
        <v>-4000</v>
      </c>
      <c r="J4" s="11">
        <v>-26200</v>
      </c>
      <c r="M4" t="s">
        <v>200</v>
      </c>
      <c r="N4">
        <v>2</v>
      </c>
    </row>
    <row r="5" spans="1:14" x14ac:dyDescent="0.3">
      <c r="C5">
        <v>2</v>
      </c>
      <c r="D5" s="98">
        <f>0.0002*1000</f>
        <v>0.2</v>
      </c>
      <c r="E5">
        <v>10</v>
      </c>
      <c r="F5">
        <f>IF(Connect!G3=Internal!$A$2,Internal!D5,Internal!E5)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  <c r="M5" t="s">
        <v>201</v>
      </c>
      <c r="N5">
        <v>3</v>
      </c>
    </row>
    <row r="6" spans="1:14" x14ac:dyDescent="0.3">
      <c r="C6">
        <v>3</v>
      </c>
      <c r="D6" s="98">
        <f>0.00001*1000</f>
        <v>0.01</v>
      </c>
      <c r="E6">
        <v>1</v>
      </c>
      <c r="F6">
        <f>IF(Connect!G4=Internal!$A$2,Internal!D6,Internal!E6)</f>
        <v>1</v>
      </c>
      <c r="H6" t="s">
        <v>69</v>
      </c>
      <c r="I6" s="11">
        <v>-3000</v>
      </c>
      <c r="J6" s="11">
        <v>-19650</v>
      </c>
      <c r="M6" t="s">
        <v>202</v>
      </c>
      <c r="N6">
        <v>4</v>
      </c>
    </row>
    <row r="7" spans="1:14" x14ac:dyDescent="0.3">
      <c r="C7">
        <v>4</v>
      </c>
      <c r="E7" s="62">
        <v>0.1</v>
      </c>
      <c r="F7">
        <f>IF(Connect!G5=Internal!$A$2,Internal!D7,Internal!E7)</f>
        <v>0.1</v>
      </c>
      <c r="H7" t="s">
        <v>0</v>
      </c>
      <c r="I7" s="11">
        <v>-2500</v>
      </c>
      <c r="J7" s="11">
        <v>-16375</v>
      </c>
      <c r="M7" t="s">
        <v>203</v>
      </c>
      <c r="N7">
        <v>5</v>
      </c>
    </row>
    <row r="8" spans="1:14" x14ac:dyDescent="0.3">
      <c r="C8">
        <v>5</v>
      </c>
      <c r="E8" s="62">
        <v>0.01</v>
      </c>
      <c r="F8">
        <f>IF(Connect!G6=Internal!$A$2,Internal!D8,Internal!E8)</f>
        <v>0.01</v>
      </c>
      <c r="H8" t="s">
        <v>70</v>
      </c>
      <c r="I8" s="11">
        <v>-2000</v>
      </c>
      <c r="J8" s="11">
        <v>-13100</v>
      </c>
      <c r="M8" t="s">
        <v>204</v>
      </c>
      <c r="N8">
        <v>6</v>
      </c>
    </row>
    <row r="9" spans="1:14" x14ac:dyDescent="0.3">
      <c r="C9">
        <v>6</v>
      </c>
      <c r="E9" s="62">
        <v>1E-3</v>
      </c>
      <c r="F9">
        <f>IF(Connect!G7=Internal!$A$2,Internal!D9,Internal!E9)</f>
        <v>1E-3</v>
      </c>
      <c r="H9" t="s">
        <v>71</v>
      </c>
      <c r="I9" s="11">
        <v>-1500</v>
      </c>
      <c r="J9" s="11">
        <v>-9825</v>
      </c>
      <c r="M9" t="s">
        <v>205</v>
      </c>
      <c r="N9">
        <v>7</v>
      </c>
    </row>
    <row r="10" spans="1:14" x14ac:dyDescent="0.3">
      <c r="C10">
        <v>7</v>
      </c>
      <c r="E10" s="62">
        <v>1E-4</v>
      </c>
      <c r="F10">
        <f>IF(Connect!G8=Internal!$A$2,Internal!D10,Internal!E10)</f>
        <v>1E-4</v>
      </c>
      <c r="H10" t="s">
        <v>72</v>
      </c>
      <c r="I10" s="11">
        <v>-1000</v>
      </c>
      <c r="J10" s="11">
        <v>-6550</v>
      </c>
    </row>
    <row r="11" spans="1:14" x14ac:dyDescent="0.3">
      <c r="H11" t="s">
        <v>73</v>
      </c>
      <c r="I11" s="11">
        <v>-500</v>
      </c>
      <c r="J11" s="11">
        <v>-3275</v>
      </c>
    </row>
    <row r="12" spans="1:14" x14ac:dyDescent="0.3">
      <c r="H12" t="s">
        <v>74</v>
      </c>
      <c r="I12" s="17">
        <v>0</v>
      </c>
      <c r="J12" s="17">
        <v>0</v>
      </c>
    </row>
    <row r="13" spans="1:14" x14ac:dyDescent="0.3">
      <c r="H13" t="s">
        <v>75</v>
      </c>
      <c r="I13" s="11">
        <v>500</v>
      </c>
      <c r="J13" s="11">
        <v>3275</v>
      </c>
    </row>
    <row r="14" spans="1:14" x14ac:dyDescent="0.3">
      <c r="H14" t="s">
        <v>76</v>
      </c>
      <c r="I14" s="11">
        <v>1000</v>
      </c>
      <c r="J14" s="11">
        <v>6550</v>
      </c>
    </row>
    <row r="15" spans="1:14" x14ac:dyDescent="0.3">
      <c r="H15" t="s">
        <v>77</v>
      </c>
      <c r="I15" s="11">
        <v>1500</v>
      </c>
      <c r="J15" s="11">
        <v>9825</v>
      </c>
    </row>
    <row r="16" spans="1:14" x14ac:dyDescent="0.3">
      <c r="H16" t="s">
        <v>78</v>
      </c>
      <c r="I16" s="11">
        <v>2000</v>
      </c>
      <c r="J16" s="11">
        <v>13100</v>
      </c>
    </row>
    <row r="17" spans="8:10" x14ac:dyDescent="0.3">
      <c r="H17" t="s">
        <v>79</v>
      </c>
      <c r="I17" s="11">
        <v>2500</v>
      </c>
      <c r="J17" s="11">
        <v>16375</v>
      </c>
    </row>
    <row r="18" spans="8:10" x14ac:dyDescent="0.3">
      <c r="H18" t="s">
        <v>80</v>
      </c>
      <c r="I18" s="11">
        <v>3000</v>
      </c>
      <c r="J18" s="11">
        <v>19650</v>
      </c>
    </row>
    <row r="19" spans="8:10" x14ac:dyDescent="0.3">
      <c r="H19" t="s">
        <v>81</v>
      </c>
      <c r="I19" s="11">
        <v>3500</v>
      </c>
      <c r="J19" s="11">
        <v>22925</v>
      </c>
    </row>
    <row r="20" spans="8:10" x14ac:dyDescent="0.3">
      <c r="H20" t="s">
        <v>82</v>
      </c>
      <c r="I20" s="11">
        <v>4000</v>
      </c>
      <c r="J20" s="11">
        <v>26200</v>
      </c>
    </row>
    <row r="21" spans="8:10" x14ac:dyDescent="0.3">
      <c r="H21" t="s">
        <v>83</v>
      </c>
      <c r="I21" s="11">
        <v>4500</v>
      </c>
      <c r="J21" s="11">
        <v>29475</v>
      </c>
    </row>
    <row r="22" spans="8:10" x14ac:dyDescent="0.3">
      <c r="H22" t="s">
        <v>84</v>
      </c>
      <c r="I22" s="22">
        <v>5000</v>
      </c>
      <c r="J22" s="22">
        <v>32750</v>
      </c>
    </row>
    <row r="23" spans="8:10" x14ac:dyDescent="0.3">
      <c r="H23" t="s">
        <v>85</v>
      </c>
    </row>
    <row r="24" spans="8:10" x14ac:dyDescent="0.3">
      <c r="H24" t="s">
        <v>144</v>
      </c>
      <c r="I24" s="31"/>
      <c r="J24" s="55"/>
    </row>
    <row r="25" spans="8:10" x14ac:dyDescent="0.3">
      <c r="H25" t="s">
        <v>145</v>
      </c>
    </row>
    <row r="26" spans="8:10" x14ac:dyDescent="0.3">
      <c r="H26" t="s">
        <v>146</v>
      </c>
    </row>
    <row r="27" spans="8:10" x14ac:dyDescent="0.3">
      <c r="H27" t="s">
        <v>147</v>
      </c>
      <c r="I27" s="31"/>
      <c r="J27" s="55"/>
    </row>
    <row r="28" spans="8:10" x14ac:dyDescent="0.3">
      <c r="H28" t="s">
        <v>148</v>
      </c>
    </row>
    <row r="29" spans="8:10" x14ac:dyDescent="0.3">
      <c r="H29" t="s">
        <v>149</v>
      </c>
    </row>
    <row r="30" spans="8:10" x14ac:dyDescent="0.3">
      <c r="H30" t="s">
        <v>150</v>
      </c>
      <c r="I30" s="31"/>
      <c r="J30" s="55"/>
    </row>
    <row r="31" spans="8:10" x14ac:dyDescent="0.3">
      <c r="H31" t="s">
        <v>151</v>
      </c>
    </row>
    <row r="32" spans="8:10" x14ac:dyDescent="0.3">
      <c r="H32" t="s">
        <v>188</v>
      </c>
    </row>
    <row r="33" spans="8:10" x14ac:dyDescent="0.3">
      <c r="H33" t="s">
        <v>189</v>
      </c>
      <c r="I33" s="36"/>
      <c r="J33" s="56"/>
    </row>
    <row r="34" spans="8:10" x14ac:dyDescent="0.3">
      <c r="H34" t="s">
        <v>190</v>
      </c>
    </row>
    <row r="35" spans="8:10" x14ac:dyDescent="0.3">
      <c r="H35" t="s">
        <v>191</v>
      </c>
    </row>
    <row r="36" spans="8:10" x14ac:dyDescent="0.3">
      <c r="H36" t="s">
        <v>192</v>
      </c>
    </row>
    <row r="37" spans="8:10" x14ac:dyDescent="0.3">
      <c r="H37" t="s">
        <v>193</v>
      </c>
    </row>
    <row r="38" spans="8:10" x14ac:dyDescent="0.3">
      <c r="H38" t="s">
        <v>194</v>
      </c>
    </row>
    <row r="39" spans="8:10" x14ac:dyDescent="0.3">
      <c r="H39" t="s">
        <v>195</v>
      </c>
    </row>
    <row r="40" spans="8:10" x14ac:dyDescent="0.3">
      <c r="H40" t="s">
        <v>196</v>
      </c>
    </row>
    <row r="41" spans="8:10" x14ac:dyDescent="0.3">
      <c r="H41" t="s">
        <v>197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350</vt:i4>
      </vt:variant>
    </vt:vector>
  </HeadingPairs>
  <TitlesOfParts>
    <vt:vector size="364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'Range 1'!ExternalData_1</vt:lpstr>
      <vt:lpstr>'Range 2'!ExternalData_1</vt:lpstr>
      <vt:lpstr>'Range 3'!ExternalData_1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Voltage!ExternalData_100</vt:lpstr>
      <vt:lpstr>Voltage!ExternalData_101</vt:lpstr>
      <vt:lpstr>Voltage!ExternalData_102</vt:lpstr>
      <vt:lpstr>Voltage!ExternalData_103</vt:lpstr>
      <vt:lpstr>Voltage!ExternalData_104</vt:lpstr>
      <vt:lpstr>Voltage!ExternalData_105</vt:lpstr>
      <vt:lpstr>Voltage!ExternalData_106</vt:lpstr>
      <vt:lpstr>Voltage!ExternalData_107</vt:lpstr>
      <vt:lpstr>Voltage!ExternalData_108</vt:lpstr>
      <vt:lpstr>Voltage!ExternalData_109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Voltage!ExternalData_110</vt:lpstr>
      <vt:lpstr>Voltage!ExternalData_111</vt:lpstr>
      <vt:lpstr>Voltage!ExternalData_112</vt:lpstr>
      <vt:lpstr>Voltage!ExternalData_113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Calibrate!ExternalData_16</vt:lpstr>
      <vt:lpstr>'Range 0'!ExternalData_16</vt:lpstr>
      <vt:lpstr>'Range 1'!ExternalData_16</vt:lpstr>
      <vt:lpstr>'Range 2'!ExternalData_16</vt:lpstr>
      <vt:lpstr>'Range 3'!ExternalData_16</vt:lpstr>
      <vt:lpstr>Calibrate!ExternalData_17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Calibrate!ExternalData_18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Calibrate!ExternalData_19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'Range 0'!ExternalData_2</vt:lpstr>
      <vt:lpstr>'Range 1'!ExternalData_2</vt:lpstr>
      <vt:lpstr>'Range 2'!ExternalData_2</vt:lpstr>
      <vt:lpstr>'Range 3'!ExternalData_2</vt:lpstr>
      <vt:lpstr>Voltage!ExternalData_2</vt:lpstr>
      <vt:lpstr>Calibrate!ExternalData_20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Calibrate!ExternalData_21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Voltage!ExternalData_3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'Range 0'!ExternalData_32</vt:lpstr>
      <vt:lpstr>'Range 1'!ExternalData_32</vt:lpstr>
      <vt:lpstr>'Range 2'!ExternalData_32</vt:lpstr>
      <vt:lpstr>'Range 3'!ExternalData_32</vt:lpstr>
      <vt:lpstr>Voltage!ExternalData_32</vt:lpstr>
      <vt:lpstr>'Range 0'!ExternalData_33</vt:lpstr>
      <vt:lpstr>'Range 1'!ExternalData_33</vt:lpstr>
      <vt:lpstr>'Range 2'!ExternalData_33</vt:lpstr>
      <vt:lpstr>'Range 3'!ExternalData_33</vt:lpstr>
      <vt:lpstr>Voltage!ExternalData_33</vt:lpstr>
      <vt:lpstr>'Range 0'!ExternalData_34</vt:lpstr>
      <vt:lpstr>'Range 1'!ExternalData_34</vt:lpstr>
      <vt:lpstr>'Range 2'!ExternalData_34</vt:lpstr>
      <vt:lpstr>'Range 3'!ExternalData_34</vt:lpstr>
      <vt:lpstr>Voltage!ExternalData_34</vt:lpstr>
      <vt:lpstr>'Range 0'!ExternalData_35</vt:lpstr>
      <vt:lpstr>'Range 1'!ExternalData_35</vt:lpstr>
      <vt:lpstr>'Range 2'!ExternalData_35</vt:lpstr>
      <vt:lpstr>'Range 3'!ExternalData_35</vt:lpstr>
      <vt:lpstr>Voltage!ExternalData_35</vt:lpstr>
      <vt:lpstr>'Range 0'!ExternalData_36</vt:lpstr>
      <vt:lpstr>'Range 1'!ExternalData_36</vt:lpstr>
      <vt:lpstr>'Range 2'!ExternalData_36</vt:lpstr>
      <vt:lpstr>'Range 3'!ExternalData_36</vt:lpstr>
      <vt:lpstr>Voltage!ExternalData_36</vt:lpstr>
      <vt:lpstr>'Range 0'!ExternalData_37</vt:lpstr>
      <vt:lpstr>'Range 1'!ExternalData_37</vt:lpstr>
      <vt:lpstr>'Range 2'!ExternalData_37</vt:lpstr>
      <vt:lpstr>'Range 3'!ExternalData_37</vt:lpstr>
      <vt:lpstr>Voltage!ExternalData_37</vt:lpstr>
      <vt:lpstr>'Range 0'!ExternalData_38</vt:lpstr>
      <vt:lpstr>'Range 1'!ExternalData_38</vt:lpstr>
      <vt:lpstr>'Range 2'!ExternalData_38</vt:lpstr>
      <vt:lpstr>'Range 3'!ExternalData_38</vt:lpstr>
      <vt:lpstr>Voltage!ExternalData_38</vt:lpstr>
      <vt:lpstr>'Range 0'!ExternalData_39</vt:lpstr>
      <vt:lpstr>'Range 1'!ExternalData_39</vt:lpstr>
      <vt:lpstr>'Range 2'!ExternalData_39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Voltage!ExternalData_4</vt:lpstr>
      <vt:lpstr>'Range 0'!ExternalData_40</vt:lpstr>
      <vt:lpstr>'Range 1'!ExternalData_40</vt:lpstr>
      <vt:lpstr>'Range 2'!ExternalData_40</vt:lpstr>
      <vt:lpstr>'Range 3'!ExternalData_40</vt:lpstr>
      <vt:lpstr>Voltage!ExternalData_40</vt:lpstr>
      <vt:lpstr>'Range 0'!ExternalData_41</vt:lpstr>
      <vt:lpstr>'Range 1'!ExternalData_41</vt:lpstr>
      <vt:lpstr>'Range 2'!ExternalData_41</vt:lpstr>
      <vt:lpstr>'Range 3'!ExternalData_41</vt:lpstr>
      <vt:lpstr>Voltage!ExternalData_41</vt:lpstr>
      <vt:lpstr>'Range 0'!ExternalData_42</vt:lpstr>
      <vt:lpstr>'Range 2'!ExternalData_42</vt:lpstr>
      <vt:lpstr>'Range 3'!ExternalData_42</vt:lpstr>
      <vt:lpstr>Voltage!ExternalData_42</vt:lpstr>
      <vt:lpstr>'Range 0'!ExternalData_43</vt:lpstr>
      <vt:lpstr>'Range 2'!ExternalData_43</vt:lpstr>
      <vt:lpstr>'Range 3'!ExternalData_43</vt:lpstr>
      <vt:lpstr>Voltage!ExternalData_43</vt:lpstr>
      <vt:lpstr>'Range 0'!ExternalData_44</vt:lpstr>
      <vt:lpstr>'Range 2'!ExternalData_44</vt:lpstr>
      <vt:lpstr>'Range 3'!ExternalData_44</vt:lpstr>
      <vt:lpstr>Voltage!ExternalData_44</vt:lpstr>
      <vt:lpstr>'Range 0'!ExternalData_45</vt:lpstr>
      <vt:lpstr>'Range 2'!ExternalData_45</vt:lpstr>
      <vt:lpstr>'Range 3'!ExternalData_45</vt:lpstr>
      <vt:lpstr>Voltage!ExternalData_45</vt:lpstr>
      <vt:lpstr>'Range 0'!ExternalData_46</vt:lpstr>
      <vt:lpstr>'Range 2'!ExternalData_46</vt:lpstr>
      <vt:lpstr>'Range 3'!ExternalData_46</vt:lpstr>
      <vt:lpstr>Voltage!ExternalData_46</vt:lpstr>
      <vt:lpstr>'Range 0'!ExternalData_47</vt:lpstr>
      <vt:lpstr>'Range 3'!ExternalData_47</vt:lpstr>
      <vt:lpstr>Voltage!ExternalData_47</vt:lpstr>
      <vt:lpstr>'Range 0'!ExternalData_48</vt:lpstr>
      <vt:lpstr>'Range 3'!ExternalData_48</vt:lpstr>
      <vt:lpstr>Voltage!ExternalData_48</vt:lpstr>
      <vt:lpstr>'Range 0'!ExternalData_49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Voltage!ExternalData_5</vt:lpstr>
      <vt:lpstr>'Range 0'!ExternalData_50</vt:lpstr>
      <vt:lpstr>'Range 3'!ExternalData_50</vt:lpstr>
      <vt:lpstr>Voltage!ExternalData_50</vt:lpstr>
      <vt:lpstr>'Range 0'!ExternalData_51</vt:lpstr>
      <vt:lpstr>'Range 3'!ExternalData_51</vt:lpstr>
      <vt:lpstr>Voltage!ExternalData_51</vt:lpstr>
      <vt:lpstr>'Range 0'!ExternalData_52</vt:lpstr>
      <vt:lpstr>'Range 3'!ExternalData_52</vt:lpstr>
      <vt:lpstr>Voltage!ExternalData_52</vt:lpstr>
      <vt:lpstr>'Range 0'!ExternalData_53</vt:lpstr>
      <vt:lpstr>'Range 3'!ExternalData_53</vt:lpstr>
      <vt:lpstr>Voltage!ExternalData_53</vt:lpstr>
      <vt:lpstr>'Range 0'!ExternalData_54</vt:lpstr>
      <vt:lpstr>'Range 3'!ExternalData_54</vt:lpstr>
      <vt:lpstr>Voltage!ExternalData_54</vt:lpstr>
      <vt:lpstr>'Range 0'!ExternalData_55</vt:lpstr>
      <vt:lpstr>'Range 3'!ExternalData_55</vt:lpstr>
      <vt:lpstr>Voltage!ExternalData_55</vt:lpstr>
      <vt:lpstr>'Range 0'!ExternalData_56</vt:lpstr>
      <vt:lpstr>'Range 3'!ExternalData_56</vt:lpstr>
      <vt:lpstr>Voltage!ExternalData_56</vt:lpstr>
      <vt:lpstr>'Range 0'!ExternalData_57</vt:lpstr>
      <vt:lpstr>'Range 3'!ExternalData_57</vt:lpstr>
      <vt:lpstr>Voltage!ExternalData_57</vt:lpstr>
      <vt:lpstr>'Range 0'!ExternalData_58</vt:lpstr>
      <vt:lpstr>'Range 3'!ExternalData_58</vt:lpstr>
      <vt:lpstr>Voltage!ExternalData_58</vt:lpstr>
      <vt:lpstr>'Range 0'!ExternalData_59</vt:lpstr>
      <vt:lpstr>'Range 3'!ExternalData_59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Voltage!ExternalData_6</vt:lpstr>
      <vt:lpstr>'Range 0'!ExternalData_60</vt:lpstr>
      <vt:lpstr>'Range 3'!ExternalData_60</vt:lpstr>
      <vt:lpstr>Voltage!ExternalData_60</vt:lpstr>
      <vt:lpstr>'Range 0'!ExternalData_61</vt:lpstr>
      <vt:lpstr>'Range 3'!ExternalData_61</vt:lpstr>
      <vt:lpstr>Voltage!ExternalData_61</vt:lpstr>
      <vt:lpstr>'Range 0'!ExternalData_62</vt:lpstr>
      <vt:lpstr>'Range 3'!ExternalData_62</vt:lpstr>
      <vt:lpstr>Voltage!ExternalData_62</vt:lpstr>
      <vt:lpstr>'Range 0'!ExternalData_63</vt:lpstr>
      <vt:lpstr>Voltage!ExternalData_63</vt:lpstr>
      <vt:lpstr>'Range 0'!ExternalData_64</vt:lpstr>
      <vt:lpstr>Voltage!ExternalData_64</vt:lpstr>
      <vt:lpstr>'Range 0'!ExternalData_65</vt:lpstr>
      <vt:lpstr>Voltage!ExternalData_65</vt:lpstr>
      <vt:lpstr>'Range 0'!ExternalData_66</vt:lpstr>
      <vt:lpstr>Voltage!ExternalData_66</vt:lpstr>
      <vt:lpstr>Voltage!ExternalData_67</vt:lpstr>
      <vt:lpstr>Voltage!ExternalData_68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Voltage!ExternalData_70</vt:lpstr>
      <vt:lpstr>Voltage!ExternalData_71</vt:lpstr>
      <vt:lpstr>Voltage!ExternalData_72</vt:lpstr>
      <vt:lpstr>Voltage!ExternalData_73</vt:lpstr>
      <vt:lpstr>Voltage!ExternalData_74</vt:lpstr>
      <vt:lpstr>Voltage!ExternalData_75</vt:lpstr>
      <vt:lpstr>Voltage!ExternalData_76</vt:lpstr>
      <vt:lpstr>Voltage!ExternalData_77</vt:lpstr>
      <vt:lpstr>Voltage!ExternalData_78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Voltage!ExternalData_80</vt:lpstr>
      <vt:lpstr>Voltage!ExternalData_81</vt:lpstr>
      <vt:lpstr>Voltage!ExternalData_82</vt:lpstr>
      <vt:lpstr>Voltage!ExternalData_83</vt:lpstr>
      <vt:lpstr>Voltage!ExternalData_84</vt:lpstr>
      <vt:lpstr>Voltage!ExternalData_85</vt:lpstr>
      <vt:lpstr>Voltage!ExternalData_86</vt:lpstr>
      <vt:lpstr>Voltage!ExternalData_87</vt:lpstr>
      <vt:lpstr>Voltage!ExternalData_88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Voltage!ExternalData_90</vt:lpstr>
      <vt:lpstr>Voltage!ExternalData_91</vt:lpstr>
      <vt:lpstr>Voltage!ExternalData_92</vt:lpstr>
      <vt:lpstr>Voltage!ExternalData_93</vt:lpstr>
      <vt:lpstr>Voltage!ExternalData_94</vt:lpstr>
      <vt:lpstr>Voltage!ExternalData_95</vt:lpstr>
      <vt:lpstr>Voltage!ExternalData_96</vt:lpstr>
      <vt:lpstr>Voltage!ExternalData_97</vt:lpstr>
      <vt:lpstr>Voltage!ExternalData_98</vt:lpstr>
      <vt:lpstr>Voltage!ExternalData_99</vt:lpstr>
      <vt:lpstr>INT16_MAX</vt:lpstr>
      <vt:lpstr>INT16_MIN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</cp:lastModifiedBy>
  <dcterms:created xsi:type="dcterms:W3CDTF">2017-10-17T17:25:27Z</dcterms:created>
  <dcterms:modified xsi:type="dcterms:W3CDTF">2017-11-26T23:05:49Z</dcterms:modified>
</cp:coreProperties>
</file>