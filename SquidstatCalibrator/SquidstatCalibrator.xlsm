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minimized="1" xWindow="0" yWindow="0" windowWidth="23040" windowHeight="8175" tabRatio="898" firstSheet="11" activeTab="11" xr2:uid="{00000000-000D-0000-FFFF-FFFF00000000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Calibrate" sheetId="21" r:id="rId12"/>
    <sheet name="Hardware Data" sheetId="22" r:id="rId13"/>
    <sheet name="Internal" sheetId="11" r:id="rId14"/>
  </sheets>
  <definedNames>
    <definedName name="CUR_RNG_R0">Internal!$F$3</definedName>
    <definedName name="CUR_RNG_R1">Internal!$F$4</definedName>
    <definedName name="CUR_RNG_R2">Internal!$F$5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1">Calibrate!$L$1:$L$61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7">'Range 4'!$L$1:$M$21</definedName>
    <definedName name="ExternalData_1" localSheetId="8">'Range 5'!$L$1:$M$21</definedName>
    <definedName name="ExternalData_1" localSheetId="9">'Range 6'!$L$1:$M$22</definedName>
    <definedName name="ExternalData_1" localSheetId="10">'Range 7'!$L$1:$M$22</definedName>
    <definedName name="ExternalData_1" localSheetId="2">Voltage!$L$1:$O$22</definedName>
    <definedName name="ExternalData_10" localSheetId="11">Calibrate!$L$1:$L$61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3">'Range 0'!$L$1:$M$22</definedName>
    <definedName name="ExternalData_100" localSheetId="6">'Range 3'!$L$1:$M$22</definedName>
    <definedName name="ExternalData_100" localSheetId="2">Voltage!$L$1:$O$22</definedName>
    <definedName name="ExternalData_101" localSheetId="3">'Range 0'!$L$1:$M$22</definedName>
    <definedName name="ExternalData_101" localSheetId="6">'Range 3'!$L$1:$M$22</definedName>
    <definedName name="ExternalData_101" localSheetId="2">Voltage!$L$1:$O$22</definedName>
    <definedName name="ExternalData_102" localSheetId="3">'Range 0'!$L$1:$M$22</definedName>
    <definedName name="ExternalData_102" localSheetId="6">'Range 3'!$L$1:$M$22</definedName>
    <definedName name="ExternalData_102" localSheetId="2">Voltage!$L$1:$O$22</definedName>
    <definedName name="ExternalData_103" localSheetId="3">'Range 0'!$L$1:$M$22</definedName>
    <definedName name="ExternalData_103" localSheetId="6">'Range 3'!$L$1:$M$22</definedName>
    <definedName name="ExternalData_103" localSheetId="2">Voltage!$L$1:$O$22</definedName>
    <definedName name="ExternalData_104" localSheetId="3">'Range 0'!$L$1:$M$22</definedName>
    <definedName name="ExternalData_104" localSheetId="2">Voltage!$L$1:$O$22</definedName>
    <definedName name="ExternalData_105" localSheetId="3">'Range 0'!$L$1:$M$22</definedName>
    <definedName name="ExternalData_105" localSheetId="2">Voltage!$L$1:$O$22</definedName>
    <definedName name="ExternalData_106" localSheetId="3">'Range 0'!$L$1:$M$22</definedName>
    <definedName name="ExternalData_106" localSheetId="2">Voltage!$L$1:$O$22</definedName>
    <definedName name="ExternalData_107" localSheetId="3">'Range 0'!$L$1:$M$22</definedName>
    <definedName name="ExternalData_107" localSheetId="2">Voltage!$L$1:$O$22</definedName>
    <definedName name="ExternalData_108" localSheetId="3">'Range 0'!$L$1:$M$22</definedName>
    <definedName name="ExternalData_108" localSheetId="2">Voltage!$L$1:$O$22</definedName>
    <definedName name="ExternalData_109" localSheetId="2">Voltage!$L$1:$O$22</definedName>
    <definedName name="ExternalData_11" localSheetId="11">Calibrate!$L$1:$L$61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10" localSheetId="2">Voltage!$L$1:$O$22</definedName>
    <definedName name="ExternalData_111" localSheetId="2">Voltage!$L$1:$O$22</definedName>
    <definedName name="ExternalData_112" localSheetId="2">Voltage!$L$1:$O$22</definedName>
    <definedName name="ExternalData_113" localSheetId="2">Voltage!$L$1:$O$22</definedName>
    <definedName name="ExternalData_114" localSheetId="2">Voltage!$L$1:$O$22</definedName>
    <definedName name="ExternalData_115" localSheetId="2">Voltage!$L$1:$O$22</definedName>
    <definedName name="ExternalData_116" localSheetId="2">Voltage!$L$1:$O$22</definedName>
    <definedName name="ExternalData_117" localSheetId="2">Voltage!$L$1:$O$22</definedName>
    <definedName name="ExternalData_118" localSheetId="2">Voltage!$L$1:$O$22</definedName>
    <definedName name="ExternalData_119" localSheetId="2">Voltage!$L$1:$O$22</definedName>
    <definedName name="ExternalData_12" localSheetId="11">Calibrate!$L$1:$L$61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20" localSheetId="2">Voltage!$L$1:$O$22</definedName>
    <definedName name="ExternalData_121" localSheetId="2">Voltage!$L$1:$O$22</definedName>
    <definedName name="ExternalData_122" localSheetId="2">Voltage!$L$1:$O$22</definedName>
    <definedName name="ExternalData_123" localSheetId="2">Voltage!$L$1:$O$22</definedName>
    <definedName name="ExternalData_124" localSheetId="2">Voltage!$L$1:$O$22</definedName>
    <definedName name="ExternalData_125" localSheetId="2">Voltage!$L$1:$O$22</definedName>
    <definedName name="ExternalData_126" localSheetId="2">Voltage!$L$1:$M$22</definedName>
    <definedName name="ExternalData_127" localSheetId="2">Voltage!$L$1:$O$22</definedName>
    <definedName name="ExternalData_128" localSheetId="2">Voltage!$L$1:$O$22</definedName>
    <definedName name="ExternalData_129" localSheetId="2">Voltage!$L$1:$O$22</definedName>
    <definedName name="ExternalData_13" localSheetId="11">Calibrate!$L$1:$L$61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30" localSheetId="2">Voltage!$L$1:$O$22</definedName>
    <definedName name="ExternalData_131" localSheetId="2">Voltage!$L$1:$O$22</definedName>
    <definedName name="ExternalData_132" localSheetId="2">Voltage!$L$1:$O$22</definedName>
    <definedName name="ExternalData_133" localSheetId="2">Voltage!$L$1:$O$22</definedName>
    <definedName name="ExternalData_134" localSheetId="2">Voltage!$L$1:$O$22</definedName>
    <definedName name="ExternalData_135" localSheetId="2">Voltage!$L$1:$O$22</definedName>
    <definedName name="ExternalData_136" localSheetId="2">Voltage!$L$1:$O$22</definedName>
    <definedName name="ExternalData_137" localSheetId="2">Voltage!$L$1:$O$22</definedName>
    <definedName name="ExternalData_138" localSheetId="2">Voltage!$L$1:$O$22</definedName>
    <definedName name="ExternalData_139" localSheetId="2">Voltage!$L$1:$O$22</definedName>
    <definedName name="ExternalData_14" localSheetId="11">Calibrate!$L$1:$L$61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40" localSheetId="2">Voltage!$L$1:$O$22</definedName>
    <definedName name="ExternalData_141" localSheetId="2">Voltage!$L$1:$O$22</definedName>
    <definedName name="ExternalData_142" localSheetId="2">Voltage!$L$1:$O$22</definedName>
    <definedName name="ExternalData_143" localSheetId="2">Voltage!$L$1:$O$22</definedName>
    <definedName name="ExternalData_144" localSheetId="2">Voltage!$L$1:$O$22</definedName>
    <definedName name="ExternalData_145" localSheetId="2">Voltage!$L$1:$O$22</definedName>
    <definedName name="ExternalData_146" localSheetId="2">Voltage!$L$1:$O$22</definedName>
    <definedName name="ExternalData_147" localSheetId="2">Voltage!$L$1:$O$22</definedName>
    <definedName name="ExternalData_148" localSheetId="2">Voltage!$L$1:$O$22</definedName>
    <definedName name="ExternalData_149" localSheetId="2">Voltage!$L$1:$O$22</definedName>
    <definedName name="ExternalData_15" localSheetId="11">Calibrate!$L$1:$L$61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50" localSheetId="2">Voltage!$L$1:$O$22</definedName>
    <definedName name="ExternalData_151" localSheetId="2">Voltage!$L$1:$O$22</definedName>
    <definedName name="ExternalData_152" localSheetId="2">Voltage!$L$1:$O$22</definedName>
    <definedName name="ExternalData_153" localSheetId="2">Voltage!$L$1:$O$22</definedName>
    <definedName name="ExternalData_154" localSheetId="2">Voltage!$L$1:$O$22</definedName>
    <definedName name="ExternalData_155" localSheetId="2">Voltage!$L$1:$O$22</definedName>
    <definedName name="ExternalData_156" localSheetId="2">Voltage!$L$1:$O$22</definedName>
    <definedName name="ExternalData_157" localSheetId="2">Voltage!$L$1:$O$22</definedName>
    <definedName name="ExternalData_158" localSheetId="2">Voltage!$L$1:$O$23</definedName>
    <definedName name="ExternalData_159" localSheetId="2">Voltage!$L$1:$O$22</definedName>
    <definedName name="ExternalData_16" localSheetId="11">Calibrate!$L$1:$L$61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60" localSheetId="2">Voltage!$L$1:$O$22</definedName>
    <definedName name="ExternalData_161" localSheetId="2">Voltage!$L$1:$O$22</definedName>
    <definedName name="ExternalData_17" localSheetId="11">Calibrate!$L$1:$L$61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11">Calibrate!$L$1:$L$61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11">Calibrate!$L$1:$L$61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1">Calibrate!$L$1:$L$61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7">'Range 4'!$L$1:$M$21</definedName>
    <definedName name="ExternalData_2" localSheetId="8">'Range 5'!$L$1:$M$22</definedName>
    <definedName name="ExternalData_2" localSheetId="9">'Range 6'!$L$1:$M$22</definedName>
    <definedName name="ExternalData_2" localSheetId="10">'Range 7'!$L$1:$M$22</definedName>
    <definedName name="ExternalData_2" localSheetId="2">Voltage!$L$1:$O$22</definedName>
    <definedName name="ExternalData_20" localSheetId="11">Calibrate!$L$1:$L$61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11">Calibrate!$L$1:$L$61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11">Calibrate!$L$1:$L$61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11">Calibrate!$L$1:$L$61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11">Calibrate!$L$1:$L$61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11">Calibrate!$L$1:$L$61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11">Calibrate!$L$1:$L$61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11">Calibrate!$L$1:$L$61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11">Calibrate!$L$1:$L$61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11">Calibrate!$L$1:$L$61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1">Calibrate!$L$1:$L$61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7">'Range 4'!$L$1:$M$21</definedName>
    <definedName name="ExternalData_3" localSheetId="8">'Range 5'!$L$1:$M$22</definedName>
    <definedName name="ExternalData_3" localSheetId="9">'Range 6'!$L$1:$M$22</definedName>
    <definedName name="ExternalData_3" localSheetId="10">'Range 7'!$L$1:$M$22</definedName>
    <definedName name="ExternalData_3" localSheetId="2">Voltage!$L$1:$O$22</definedName>
    <definedName name="ExternalData_30" localSheetId="11">Calibrate!$L$1:$L$61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11">Calibrate!$L$1:$L$61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11">Calibrate!$L$1:$L$61</definedName>
    <definedName name="ExternalData_32" localSheetId="3">'Range 0'!$L$1:$M$22</definedName>
    <definedName name="ExternalData_32" localSheetId="4">'Range 1'!$L$1:$M$22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11">Calibrate!$L$1:$L$61</definedName>
    <definedName name="ExternalData_33" localSheetId="3">'Range 0'!$L$1:$M$22</definedName>
    <definedName name="ExternalData_33" localSheetId="4">'Range 1'!$L$1:$M$22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11">Calibrate!$L$1:$L$61</definedName>
    <definedName name="ExternalData_34" localSheetId="3">'Range 0'!$L$1:$M$22</definedName>
    <definedName name="ExternalData_34" localSheetId="4">'Range 1'!$L$1:$M$22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11">Calibrate!$L$1:$L$61</definedName>
    <definedName name="ExternalData_35" localSheetId="3">'Range 0'!$L$1:$M$22</definedName>
    <definedName name="ExternalData_35" localSheetId="4">'Range 1'!$L$1:$M$22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11">Calibrate!$L$1:$L$61</definedName>
    <definedName name="ExternalData_36" localSheetId="3">'Range 0'!$L$1:$M$22</definedName>
    <definedName name="ExternalData_36" localSheetId="4">'Range 1'!$L$1:$M$22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11">Calibrate!$L$1:$L$61</definedName>
    <definedName name="ExternalData_37" localSheetId="3">'Range 0'!$L$1:$M$22</definedName>
    <definedName name="ExternalData_37" localSheetId="4">'Range 1'!$L$1:$M$22</definedName>
    <definedName name="ExternalData_37" localSheetId="5">'Range 2'!$L$1:$M$22</definedName>
    <definedName name="ExternalData_37" localSheetId="6">'Range 3'!$L$1:$M$22</definedName>
    <definedName name="ExternalData_37" localSheetId="2">Voltage!$L$1:$O$22</definedName>
    <definedName name="ExternalData_38" localSheetId="11">Calibrate!$L$1:$L$61</definedName>
    <definedName name="ExternalData_38" localSheetId="3">'Range 0'!$L$1:$M$22</definedName>
    <definedName name="ExternalData_38" localSheetId="4">'Range 1'!$L$1:$M$22</definedName>
    <definedName name="ExternalData_38" localSheetId="5">'Range 2'!$L$1:$M$22</definedName>
    <definedName name="ExternalData_38" localSheetId="6">'Range 3'!$L$1:$M$22</definedName>
    <definedName name="ExternalData_38" localSheetId="2">Voltage!$L$1:$O$22</definedName>
    <definedName name="ExternalData_39" localSheetId="11">Calibrate!$L$1:$L$61</definedName>
    <definedName name="ExternalData_39" localSheetId="3">'Range 0'!$L$1:$M$22</definedName>
    <definedName name="ExternalData_39" localSheetId="4">'Range 1'!$L$1:$M$22</definedName>
    <definedName name="ExternalData_39" localSheetId="5">'Range 2'!$L$1:$M$22</definedName>
    <definedName name="ExternalData_39" localSheetId="6">'Range 3'!$L$1:$M$22</definedName>
    <definedName name="ExternalData_39" localSheetId="2">Voltage!$L$1:$O$22</definedName>
    <definedName name="ExternalData_4" localSheetId="11">Calibrate!$L$1:$L$61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7">'Range 4'!$L$1:$M$21</definedName>
    <definedName name="ExternalData_4" localSheetId="8">'Range 5'!$L$1:$M$22</definedName>
    <definedName name="ExternalData_4" localSheetId="9">'Range 6'!$L$1:$M$22</definedName>
    <definedName name="ExternalData_4" localSheetId="10">'Range 7'!$L$1:$M$22</definedName>
    <definedName name="ExternalData_4" localSheetId="2">Voltage!$L$1:$O$22</definedName>
    <definedName name="ExternalData_40" localSheetId="11">Calibrate!$L$1:$L$61</definedName>
    <definedName name="ExternalData_40" localSheetId="3">'Range 0'!$L$1:$M$22</definedName>
    <definedName name="ExternalData_40" localSheetId="4">'Range 1'!$L$1:$M$22</definedName>
    <definedName name="ExternalData_40" localSheetId="5">'Range 2'!$L$1:$M$22</definedName>
    <definedName name="ExternalData_40" localSheetId="6">'Range 3'!$L$1:$M$22</definedName>
    <definedName name="ExternalData_40" localSheetId="2">Voltage!$L$1:$O$22</definedName>
    <definedName name="ExternalData_41" localSheetId="11">Calibrate!$L$1:$L$61</definedName>
    <definedName name="ExternalData_41" localSheetId="3">'Range 0'!$L$1:$M$22</definedName>
    <definedName name="ExternalData_41" localSheetId="4">'Range 1'!$L$1:$M$22</definedName>
    <definedName name="ExternalData_41" localSheetId="5">'Range 2'!$L$1:$M$22</definedName>
    <definedName name="ExternalData_41" localSheetId="6">'Range 3'!$L$1:$M$22</definedName>
    <definedName name="ExternalData_41" localSheetId="2">Voltage!$L$1:$O$22</definedName>
    <definedName name="ExternalData_42" localSheetId="11">Calibrate!$L$1:$L$61</definedName>
    <definedName name="ExternalData_42" localSheetId="3">'Range 0'!$L$1:$M$22</definedName>
    <definedName name="ExternalData_42" localSheetId="4">'Range 1'!$L$1:$M$22</definedName>
    <definedName name="ExternalData_42" localSheetId="5">'Range 2'!$L$1:$M$22</definedName>
    <definedName name="ExternalData_42" localSheetId="6">'Range 3'!$L$1:$M$22</definedName>
    <definedName name="ExternalData_42" localSheetId="2">Voltage!$L$1:$O$22</definedName>
    <definedName name="ExternalData_43" localSheetId="11">Calibrate!$L$1:$L$61</definedName>
    <definedName name="ExternalData_43" localSheetId="3">'Range 0'!$L$1:$M$22</definedName>
    <definedName name="ExternalData_43" localSheetId="4">'Range 1'!$L$1:$M$22</definedName>
    <definedName name="ExternalData_43" localSheetId="5">'Range 2'!$L$1:$M$22</definedName>
    <definedName name="ExternalData_43" localSheetId="6">'Range 3'!$L$1:$M$22</definedName>
    <definedName name="ExternalData_43" localSheetId="2">Voltage!$L$1:$O$22</definedName>
    <definedName name="ExternalData_44" localSheetId="11">Calibrate!$L$1:$L$61</definedName>
    <definedName name="ExternalData_44" localSheetId="3">'Range 0'!$L$1:$M$22</definedName>
    <definedName name="ExternalData_44" localSheetId="4">'Range 1'!$L$1:$M$22</definedName>
    <definedName name="ExternalData_44" localSheetId="5">'Range 2'!$L$1:$M$22</definedName>
    <definedName name="ExternalData_44" localSheetId="6">'Range 3'!$L$1:$M$22</definedName>
    <definedName name="ExternalData_44" localSheetId="2">Voltage!$L$1:$M$22</definedName>
    <definedName name="ExternalData_45" localSheetId="11">Calibrate!$L$1:$L$61</definedName>
    <definedName name="ExternalData_45" localSheetId="3">'Range 0'!$L$1:$M$22</definedName>
    <definedName name="ExternalData_45" localSheetId="4">'Range 1'!$L$1:$M$22</definedName>
    <definedName name="ExternalData_45" localSheetId="5">'Range 2'!$L$1:$M$22</definedName>
    <definedName name="ExternalData_45" localSheetId="6">'Range 3'!$L$1:$M$22</definedName>
    <definedName name="ExternalData_45" localSheetId="2">Voltage!$L$1:$O$22</definedName>
    <definedName name="ExternalData_46" localSheetId="11">Calibrate!$L$1:$L$61</definedName>
    <definedName name="ExternalData_46" localSheetId="3">'Range 0'!$L$1:$M$22</definedName>
    <definedName name="ExternalData_46" localSheetId="4">'Range 1'!$L$1:$M$22</definedName>
    <definedName name="ExternalData_46" localSheetId="5">'Range 2'!$L$1:$M$22</definedName>
    <definedName name="ExternalData_46" localSheetId="6">'Range 3'!$L$1:$M$22</definedName>
    <definedName name="ExternalData_46" localSheetId="2">Voltage!$L$1:$O$22</definedName>
    <definedName name="ExternalData_47" localSheetId="11">Calibrate!$L$1:$L$61</definedName>
    <definedName name="ExternalData_47" localSheetId="3">'Range 0'!$L$1:$M$22</definedName>
    <definedName name="ExternalData_47" localSheetId="4">'Range 1'!$L$1:$M$22</definedName>
    <definedName name="ExternalData_47" localSheetId="5">'Range 2'!$L$1:$M$22</definedName>
    <definedName name="ExternalData_47" localSheetId="6">'Range 3'!$L$1:$M$22</definedName>
    <definedName name="ExternalData_47" localSheetId="2">Voltage!$L$1:$O$22</definedName>
    <definedName name="ExternalData_48" localSheetId="11">Calibrate!$L$1:$L$61</definedName>
    <definedName name="ExternalData_48" localSheetId="3">'Range 0'!$L$1:$M$22</definedName>
    <definedName name="ExternalData_48" localSheetId="4">'Range 1'!$L$1:$M$22</definedName>
    <definedName name="ExternalData_48" localSheetId="5">'Range 2'!$L$1:$M$22</definedName>
    <definedName name="ExternalData_48" localSheetId="6">'Range 3'!$L$1:$M$22</definedName>
    <definedName name="ExternalData_48" localSheetId="2">Voltage!$L$1:$O$22</definedName>
    <definedName name="ExternalData_49" localSheetId="11">Calibrate!$L$1:$L$61</definedName>
    <definedName name="ExternalData_49" localSheetId="3">'Range 0'!$L$1:$M$22</definedName>
    <definedName name="ExternalData_49" localSheetId="4">'Range 1'!$L$1:$M$22</definedName>
    <definedName name="ExternalData_49" localSheetId="5">'Range 2'!$L$1:$M$22</definedName>
    <definedName name="ExternalData_49" localSheetId="6">'Range 3'!$L$1:$M$22</definedName>
    <definedName name="ExternalData_49" localSheetId="2">Voltage!$L$1:$O$22</definedName>
    <definedName name="ExternalData_5" localSheetId="11">Calibrate!$L$1:$L$61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7">'Range 4'!$L$1:$M$22</definedName>
    <definedName name="ExternalData_5" localSheetId="9">'Range 6'!$L$1:$M$22</definedName>
    <definedName name="ExternalData_5" localSheetId="10">'Range 7'!$L$1:$M$22</definedName>
    <definedName name="ExternalData_5" localSheetId="2">Voltage!$L$1:$O$22</definedName>
    <definedName name="ExternalData_50" localSheetId="11">Calibrate!$L$1:$L$61</definedName>
    <definedName name="ExternalData_50" localSheetId="3">'Range 0'!$L$1:$M$22</definedName>
    <definedName name="ExternalData_50" localSheetId="4">'Range 1'!$L$1:$M$22</definedName>
    <definedName name="ExternalData_50" localSheetId="5">'Range 2'!$L$1:$M$22</definedName>
    <definedName name="ExternalData_50" localSheetId="6">'Range 3'!$L$1:$M$22</definedName>
    <definedName name="ExternalData_50" localSheetId="2">Voltage!$L$1:$O$22</definedName>
    <definedName name="ExternalData_51" localSheetId="11">Calibrate!$L$1:$L$61</definedName>
    <definedName name="ExternalData_51" localSheetId="3">'Range 0'!$L$1:$M$22</definedName>
    <definedName name="ExternalData_51" localSheetId="4">'Range 1'!$L$1:$M$22</definedName>
    <definedName name="ExternalData_51" localSheetId="5">'Range 2'!$L$1:$M$22</definedName>
    <definedName name="ExternalData_51" localSheetId="6">'Range 3'!$L$1:$M$22</definedName>
    <definedName name="ExternalData_51" localSheetId="2">Voltage!$L$1:$O$22</definedName>
    <definedName name="ExternalData_52" localSheetId="11">Calibrate!$L$1:$L$61</definedName>
    <definedName name="ExternalData_52" localSheetId="3">'Range 0'!$L$1:$M$22</definedName>
    <definedName name="ExternalData_52" localSheetId="4">'Range 1'!$L$1:$M$22</definedName>
    <definedName name="ExternalData_52" localSheetId="5">'Range 2'!$L$1:$M$22</definedName>
    <definedName name="ExternalData_52" localSheetId="6">'Range 3'!$L$1:$M$22</definedName>
    <definedName name="ExternalData_52" localSheetId="2">Voltage!$L$1:$O$22</definedName>
    <definedName name="ExternalData_53" localSheetId="11">Calibrate!$L$1:$L$61</definedName>
    <definedName name="ExternalData_53" localSheetId="3">'Range 0'!$L$1:$M$22</definedName>
    <definedName name="ExternalData_53" localSheetId="4">'Range 1'!$L$1:$M$22</definedName>
    <definedName name="ExternalData_53" localSheetId="5">'Range 2'!$L$1:$M$22</definedName>
    <definedName name="ExternalData_53" localSheetId="6">'Range 3'!$L$1:$M$22</definedName>
    <definedName name="ExternalData_53" localSheetId="2">Voltage!$L$1:$O$22</definedName>
    <definedName name="ExternalData_54" localSheetId="11">Calibrate!$L$1:$L$61</definedName>
    <definedName name="ExternalData_54" localSheetId="3">'Range 0'!$L$1:$M$22</definedName>
    <definedName name="ExternalData_54" localSheetId="4">'Range 1'!$L$1:$M$22</definedName>
    <definedName name="ExternalData_54" localSheetId="5">'Range 2'!$L$1:$M$22</definedName>
    <definedName name="ExternalData_54" localSheetId="6">'Range 3'!$L$1:$M$22</definedName>
    <definedName name="ExternalData_54" localSheetId="2">Voltage!$L$1:$O$22</definedName>
    <definedName name="ExternalData_55" localSheetId="11">Calibrate!$L$1:$L$61</definedName>
    <definedName name="ExternalData_55" localSheetId="3">'Range 0'!$L$1:$M$22</definedName>
    <definedName name="ExternalData_55" localSheetId="4">'Range 1'!$L$1:$M$22</definedName>
    <definedName name="ExternalData_55" localSheetId="5">'Range 2'!$L$1:$M$21</definedName>
    <definedName name="ExternalData_55" localSheetId="6">'Range 3'!$L$1:$M$22</definedName>
    <definedName name="ExternalData_55" localSheetId="2">Voltage!$L$1:$O$22</definedName>
    <definedName name="ExternalData_56" localSheetId="11">Calibrate!$L$1:$L$61</definedName>
    <definedName name="ExternalData_56" localSheetId="3">'Range 0'!$L$1:$M$22</definedName>
    <definedName name="ExternalData_56" localSheetId="4">'Range 1'!$L$1:$M$22</definedName>
    <definedName name="ExternalData_56" localSheetId="5">'Range 2'!$L$1:$M$22</definedName>
    <definedName name="ExternalData_56" localSheetId="6">'Range 3'!$L$1:$M$22</definedName>
    <definedName name="ExternalData_56" localSheetId="2">Voltage!$L$1:$O$22</definedName>
    <definedName name="ExternalData_57" localSheetId="11">Calibrate!$L$1:$L$61</definedName>
    <definedName name="ExternalData_57" localSheetId="3">'Range 0'!$L$1:$M$22</definedName>
    <definedName name="ExternalData_57" localSheetId="4">'Range 1'!$L$1:$M$22</definedName>
    <definedName name="ExternalData_57" localSheetId="5">'Range 2'!$L$1:$M$22</definedName>
    <definedName name="ExternalData_57" localSheetId="6">'Range 3'!$L$1:$M$22</definedName>
    <definedName name="ExternalData_57" localSheetId="2">Voltage!$L$1:$O$22</definedName>
    <definedName name="ExternalData_58" localSheetId="11">Calibrate!$L$1:$L$61</definedName>
    <definedName name="ExternalData_58" localSheetId="3">'Range 0'!$L$1:$M$22</definedName>
    <definedName name="ExternalData_58" localSheetId="4">'Range 1'!$L$1:$M$22</definedName>
    <definedName name="ExternalData_58" localSheetId="5">'Range 2'!$L$1:$M$22</definedName>
    <definedName name="ExternalData_58" localSheetId="6">'Range 3'!$L$1:$M$22</definedName>
    <definedName name="ExternalData_58" localSheetId="2">Voltage!$L$1:$O$22</definedName>
    <definedName name="ExternalData_59" localSheetId="11">Calibrate!$L$1:$L$61</definedName>
    <definedName name="ExternalData_59" localSheetId="3">'Range 0'!$L$1:$M$22</definedName>
    <definedName name="ExternalData_59" localSheetId="4">'Range 1'!$L$1:$M$22</definedName>
    <definedName name="ExternalData_59" localSheetId="5">'Range 2'!$L$1:$M$22</definedName>
    <definedName name="ExternalData_59" localSheetId="6">'Range 3'!$L$1:$M$22</definedName>
    <definedName name="ExternalData_59" localSheetId="2">Voltage!$L$1:$O$22</definedName>
    <definedName name="ExternalData_6" localSheetId="11">Calibrate!$L$1:$L$61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7">'Range 4'!$L$1:$M$22</definedName>
    <definedName name="ExternalData_6" localSheetId="2">Voltage!$L$1:$O$22</definedName>
    <definedName name="ExternalData_60" localSheetId="11">Calibrate!$L$1:$L$61</definedName>
    <definedName name="ExternalData_60" localSheetId="3">'Range 0'!$L$1:$M$22</definedName>
    <definedName name="ExternalData_60" localSheetId="4">'Range 1'!$L$1:$M$22</definedName>
    <definedName name="ExternalData_60" localSheetId="5">'Range 2'!$L$1:$M$22</definedName>
    <definedName name="ExternalData_60" localSheetId="6">'Range 3'!$L$1:$M$22</definedName>
    <definedName name="ExternalData_60" localSheetId="2">Voltage!$L$1:$O$22</definedName>
    <definedName name="ExternalData_61" localSheetId="11">Calibrate!$L$1:$L$61</definedName>
    <definedName name="ExternalData_61" localSheetId="3">'Range 0'!$L$1:$M$22</definedName>
    <definedName name="ExternalData_61" localSheetId="4">'Range 1'!$L$1:$M$22</definedName>
    <definedName name="ExternalData_61" localSheetId="5">'Range 2'!$L$1:$M$22</definedName>
    <definedName name="ExternalData_61" localSheetId="6">'Range 3'!$L$1:$M$22</definedName>
    <definedName name="ExternalData_61" localSheetId="2">Voltage!$L$1:$O$22</definedName>
    <definedName name="ExternalData_62" localSheetId="11">Calibrate!$L$1:$L$61</definedName>
    <definedName name="ExternalData_62" localSheetId="3">'Range 0'!$L$1:$M$22</definedName>
    <definedName name="ExternalData_62" localSheetId="4">'Range 1'!$L$1:$M$22</definedName>
    <definedName name="ExternalData_62" localSheetId="5">'Range 2'!$L$1:$M$22</definedName>
    <definedName name="ExternalData_62" localSheetId="6">'Range 3'!$L$1:$M$22</definedName>
    <definedName name="ExternalData_62" localSheetId="2">Voltage!$L$1:$O$22</definedName>
    <definedName name="ExternalData_63" localSheetId="11">Calibrate!$L$1:$L$61</definedName>
    <definedName name="ExternalData_63" localSheetId="3">'Range 0'!$L$1:$M$22</definedName>
    <definedName name="ExternalData_63" localSheetId="4">'Range 1'!$L$1:$M$22</definedName>
    <definedName name="ExternalData_63" localSheetId="5">'Range 2'!$L$1:$M$22</definedName>
    <definedName name="ExternalData_63" localSheetId="6">'Range 3'!$L$1:$M$22</definedName>
    <definedName name="ExternalData_63" localSheetId="2">Voltage!$L$1:$O$22</definedName>
    <definedName name="ExternalData_64" localSheetId="11">Calibrate!$L$1:$L$61</definedName>
    <definedName name="ExternalData_64" localSheetId="3">'Range 0'!$L$1:$M$22</definedName>
    <definedName name="ExternalData_64" localSheetId="4">'Range 1'!$L$1:$M$22</definedName>
    <definedName name="ExternalData_64" localSheetId="5">'Range 2'!$L$1:$M$22</definedName>
    <definedName name="ExternalData_64" localSheetId="6">'Range 3'!$L$1:$M$22</definedName>
    <definedName name="ExternalData_64" localSheetId="2">Voltage!$L$1:$O$22</definedName>
    <definedName name="ExternalData_65" localSheetId="11">Calibrate!$L$1:$L$61</definedName>
    <definedName name="ExternalData_65" localSheetId="3">'Range 0'!$L$1:$M$22</definedName>
    <definedName name="ExternalData_65" localSheetId="4">'Range 1'!$L$1:$M$22</definedName>
    <definedName name="ExternalData_65" localSheetId="5">'Range 2'!$L$1:$M$22</definedName>
    <definedName name="ExternalData_65" localSheetId="6">'Range 3'!$L$1:$M$22</definedName>
    <definedName name="ExternalData_65" localSheetId="2">Voltage!$L$1:$O$22</definedName>
    <definedName name="ExternalData_66" localSheetId="11">Calibrate!$L$1:$L$61</definedName>
    <definedName name="ExternalData_66" localSheetId="3">'Range 0'!$L$1:$M$22</definedName>
    <definedName name="ExternalData_66" localSheetId="4">'Range 1'!$L$1:$M$22</definedName>
    <definedName name="ExternalData_66" localSheetId="5">'Range 2'!$L$1:$M$22</definedName>
    <definedName name="ExternalData_66" localSheetId="6">'Range 3'!$L$1:$M$22</definedName>
    <definedName name="ExternalData_66" localSheetId="2">Voltage!$L$1:$O$22</definedName>
    <definedName name="ExternalData_67" localSheetId="11">Calibrate!$L$1:$L$61</definedName>
    <definedName name="ExternalData_67" localSheetId="3">'Range 0'!$L$1:$M$22</definedName>
    <definedName name="ExternalData_67" localSheetId="4">'Range 1'!$L$1:$M$22</definedName>
    <definedName name="ExternalData_67" localSheetId="5">'Range 2'!$L$1:$M$22</definedName>
    <definedName name="ExternalData_67" localSheetId="6">'Range 3'!$L$1:$M$22</definedName>
    <definedName name="ExternalData_67" localSheetId="2">Voltage!$L$1:$O$22</definedName>
    <definedName name="ExternalData_68" localSheetId="11">Calibrate!$L$1:$L$61</definedName>
    <definedName name="ExternalData_68" localSheetId="3">'Range 0'!$L$1:$M$22</definedName>
    <definedName name="ExternalData_68" localSheetId="4">'Range 1'!$L$1:$M$22</definedName>
    <definedName name="ExternalData_68" localSheetId="5">'Range 2'!$L$1:$M$22</definedName>
    <definedName name="ExternalData_68" localSheetId="6">'Range 3'!$L$1:$M$22</definedName>
    <definedName name="ExternalData_68" localSheetId="2">Voltage!$L$1:$O$22</definedName>
    <definedName name="ExternalData_69" localSheetId="11">Calibrate!$L$1:$L$61</definedName>
    <definedName name="ExternalData_69" localSheetId="3">'Range 0'!$L$1:$M$22</definedName>
    <definedName name="ExternalData_69" localSheetId="4">'Range 1'!$L$1:$M$22</definedName>
    <definedName name="ExternalData_69" localSheetId="5">'Range 2'!$L$1:$M$22</definedName>
    <definedName name="ExternalData_69" localSheetId="6">'Range 3'!$L$1:$M$22</definedName>
    <definedName name="ExternalData_69" localSheetId="2">Voltage!$L$1:$O$22</definedName>
    <definedName name="ExternalData_7" localSheetId="11">Calibrate!$L$1:$L$61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11">Calibrate!$L$1:$L$61</definedName>
    <definedName name="ExternalData_70" localSheetId="3">'Range 0'!$L$1:$M$22</definedName>
    <definedName name="ExternalData_70" localSheetId="4">'Range 1'!$L$1:$M$22</definedName>
    <definedName name="ExternalData_70" localSheetId="5">'Range 2'!$L$1:$M$22</definedName>
    <definedName name="ExternalData_70" localSheetId="6">'Range 3'!$L$1:$M$22</definedName>
    <definedName name="ExternalData_70" localSheetId="2">Voltage!$L$1:$O$22</definedName>
    <definedName name="ExternalData_71" localSheetId="11">Calibrate!$L$1:$L$61</definedName>
    <definedName name="ExternalData_71" localSheetId="3">'Range 0'!$L$1:$M$22</definedName>
    <definedName name="ExternalData_71" localSheetId="4">'Range 1'!$L$1:$M$22</definedName>
    <definedName name="ExternalData_71" localSheetId="5">'Range 2'!$L$1:$M$22</definedName>
    <definedName name="ExternalData_71" localSheetId="6">'Range 3'!$L$1:$M$21</definedName>
    <definedName name="ExternalData_71" localSheetId="2">Voltage!$L$1:$O$22</definedName>
    <definedName name="ExternalData_72" localSheetId="11">Calibrate!$L$1:$L$61</definedName>
    <definedName name="ExternalData_72" localSheetId="3">'Range 0'!$L$1:$M$22</definedName>
    <definedName name="ExternalData_72" localSheetId="4">'Range 1'!$L$1:$M$22</definedName>
    <definedName name="ExternalData_72" localSheetId="5">'Range 2'!$L$1:$M$22</definedName>
    <definedName name="ExternalData_72" localSheetId="6">'Range 3'!$L$1:$M$22</definedName>
    <definedName name="ExternalData_72" localSheetId="2">Voltage!$L$1:$O$22</definedName>
    <definedName name="ExternalData_73" localSheetId="11">Calibrate!$L$1:$L$61</definedName>
    <definedName name="ExternalData_73" localSheetId="3">'Range 0'!$L$1:$M$22</definedName>
    <definedName name="ExternalData_73" localSheetId="4">'Range 1'!$L$1:$M$22</definedName>
    <definedName name="ExternalData_73" localSheetId="5">'Range 2'!$L$1:$M$22</definedName>
    <definedName name="ExternalData_73" localSheetId="6">'Range 3'!$L$1:$M$22</definedName>
    <definedName name="ExternalData_73" localSheetId="2">Voltage!$L$1:$O$22</definedName>
    <definedName name="ExternalData_74" localSheetId="3">'Range 0'!$L$1:$M$22</definedName>
    <definedName name="ExternalData_74" localSheetId="4">'Range 1'!$L$1:$M$22</definedName>
    <definedName name="ExternalData_74" localSheetId="5">'Range 2'!$L$1:$M$22</definedName>
    <definedName name="ExternalData_74" localSheetId="6">'Range 3'!$L$1:$M$22</definedName>
    <definedName name="ExternalData_74" localSheetId="2">Voltage!$L$1:$O$22</definedName>
    <definedName name="ExternalData_75" localSheetId="3">'Range 0'!$L$1:$M$22</definedName>
    <definedName name="ExternalData_75" localSheetId="4">'Range 1'!$L$1:$M$22</definedName>
    <definedName name="ExternalData_75" localSheetId="5">'Range 2'!$L$1:$M$22</definedName>
    <definedName name="ExternalData_75" localSheetId="6">'Range 3'!$L$1:$M$22</definedName>
    <definedName name="ExternalData_75" localSheetId="2">Voltage!$L$1:$O$22</definedName>
    <definedName name="ExternalData_76" localSheetId="3">'Range 0'!$L$1:$M$22</definedName>
    <definedName name="ExternalData_76" localSheetId="4">'Range 1'!$L$1:$M$22</definedName>
    <definedName name="ExternalData_76" localSheetId="5">'Range 2'!$L$1:$M$22</definedName>
    <definedName name="ExternalData_76" localSheetId="6">'Range 3'!$L$1:$M$22</definedName>
    <definedName name="ExternalData_76" localSheetId="2">Voltage!$L$1:$O$22</definedName>
    <definedName name="ExternalData_77" localSheetId="3">'Range 0'!$L$1:$M$22</definedName>
    <definedName name="ExternalData_77" localSheetId="4">'Range 1'!$L$1:$M$22</definedName>
    <definedName name="ExternalData_77" localSheetId="5">'Range 2'!$L$1:$M$22</definedName>
    <definedName name="ExternalData_77" localSheetId="6">'Range 3'!$L$1:$M$22</definedName>
    <definedName name="ExternalData_77" localSheetId="2">Voltage!$L$1:$O$22</definedName>
    <definedName name="ExternalData_78" localSheetId="3">'Range 0'!$L$1:$M$22</definedName>
    <definedName name="ExternalData_78" localSheetId="4">'Range 1'!$L$1:$M$22</definedName>
    <definedName name="ExternalData_78" localSheetId="5">'Range 2'!$L$1:$M$22</definedName>
    <definedName name="ExternalData_78" localSheetId="6">'Range 3'!$L$1:$M$22</definedName>
    <definedName name="ExternalData_78" localSheetId="2">Voltage!$L$1:$O$22</definedName>
    <definedName name="ExternalData_79" localSheetId="3">'Range 0'!$L$1:$M$22</definedName>
    <definedName name="ExternalData_79" localSheetId="5">'Range 2'!$L$1:$M$22</definedName>
    <definedName name="ExternalData_79" localSheetId="6">'Range 3'!$L$1:$M$22</definedName>
    <definedName name="ExternalData_79" localSheetId="2">Voltage!$L$1:$O$22</definedName>
    <definedName name="ExternalData_8" localSheetId="11">Calibrate!$L$1:$L$61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3">'Range 0'!$L$1:$M$22</definedName>
    <definedName name="ExternalData_80" localSheetId="5">'Range 2'!$L$1:$M$22</definedName>
    <definedName name="ExternalData_80" localSheetId="6">'Range 3'!$L$1:$M$22</definedName>
    <definedName name="ExternalData_80" localSheetId="2">Voltage!$L$1:$O$22</definedName>
    <definedName name="ExternalData_81" localSheetId="3">'Range 0'!$L$1:$M$22</definedName>
    <definedName name="ExternalData_81" localSheetId="6">'Range 3'!$L$1:$M$22</definedName>
    <definedName name="ExternalData_81" localSheetId="2">Voltage!$L$1:$O$22</definedName>
    <definedName name="ExternalData_82" localSheetId="3">'Range 0'!$L$1:$M$22</definedName>
    <definedName name="ExternalData_82" localSheetId="6">'Range 3'!$L$1:$M$22</definedName>
    <definedName name="ExternalData_82" localSheetId="2">Voltage!$L$1:$O$22</definedName>
    <definedName name="ExternalData_83" localSheetId="3">'Range 0'!$L$1:$M$22</definedName>
    <definedName name="ExternalData_83" localSheetId="6">'Range 3'!$L$1:$M$22</definedName>
    <definedName name="ExternalData_83" localSheetId="2">Voltage!$L$1:$O$22</definedName>
    <definedName name="ExternalData_84" localSheetId="3">'Range 0'!$L$1:$M$22</definedName>
    <definedName name="ExternalData_84" localSheetId="6">'Range 3'!$L$1:$M$22</definedName>
    <definedName name="ExternalData_84" localSheetId="2">Voltage!$L$1:$O$22</definedName>
    <definedName name="ExternalData_85" localSheetId="3">'Range 0'!$L$1:$M$22</definedName>
    <definedName name="ExternalData_85" localSheetId="6">'Range 3'!$L$1:$M$21</definedName>
    <definedName name="ExternalData_85" localSheetId="2">Voltage!$L$1:$O$22</definedName>
    <definedName name="ExternalData_86" localSheetId="3">'Range 0'!$L$1:$M$22</definedName>
    <definedName name="ExternalData_86" localSheetId="6">'Range 3'!$L$1:$M$21</definedName>
    <definedName name="ExternalData_86" localSheetId="2">Voltage!$L$1:$O$22</definedName>
    <definedName name="ExternalData_87" localSheetId="3">'Range 0'!$L$1:$M$22</definedName>
    <definedName name="ExternalData_87" localSheetId="6">'Range 3'!$L$1:$M$21</definedName>
    <definedName name="ExternalData_87" localSheetId="2">Voltage!$L$1:$O$22</definedName>
    <definedName name="ExternalData_88" localSheetId="3">'Range 0'!$L$1:$M$22</definedName>
    <definedName name="ExternalData_88" localSheetId="6">'Range 3'!$L$1:$M$21</definedName>
    <definedName name="ExternalData_88" localSheetId="2">Voltage!$L$1:$O$22</definedName>
    <definedName name="ExternalData_89" localSheetId="3">'Range 0'!$L$1:$M$22</definedName>
    <definedName name="ExternalData_89" localSheetId="6">'Range 3'!$L$1:$M$22</definedName>
    <definedName name="ExternalData_89" localSheetId="2">Voltage!$L$1:$O$22</definedName>
    <definedName name="ExternalData_9" localSheetId="11">Calibrate!$L$1:$L$61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3">'Range 0'!$L$1:$M$21</definedName>
    <definedName name="ExternalData_90" localSheetId="6">'Range 3'!$L$1:$M$22</definedName>
    <definedName name="ExternalData_90" localSheetId="2">Voltage!$L$1:$O$22</definedName>
    <definedName name="ExternalData_91" localSheetId="3">'Range 0'!$L$1:$M$21</definedName>
    <definedName name="ExternalData_91" localSheetId="6">'Range 3'!$L$1:$M$22</definedName>
    <definedName name="ExternalData_91" localSheetId="2">Voltage!$L$1:$O$22</definedName>
    <definedName name="ExternalData_92" localSheetId="3">'Range 0'!$L$1:$M$21</definedName>
    <definedName name="ExternalData_92" localSheetId="6">'Range 3'!$L$1:$M$22</definedName>
    <definedName name="ExternalData_92" localSheetId="2">Voltage!$L$1:$O$22</definedName>
    <definedName name="ExternalData_93" localSheetId="3">'Range 0'!$L$1:$M$21</definedName>
    <definedName name="ExternalData_93" localSheetId="6">'Range 3'!$L$1:$M$22</definedName>
    <definedName name="ExternalData_93" localSheetId="2">Voltage!$L$1:$O$22</definedName>
    <definedName name="ExternalData_94" localSheetId="3">'Range 0'!$L$1:$M$22</definedName>
    <definedName name="ExternalData_94" localSheetId="6">'Range 3'!$L$1:$M$22</definedName>
    <definedName name="ExternalData_94" localSheetId="2">Voltage!$L$1:$O$22</definedName>
    <definedName name="ExternalData_95" localSheetId="3">'Range 0'!$L$1:$M$22</definedName>
    <definedName name="ExternalData_95" localSheetId="6">'Range 3'!$L$1:$M$22</definedName>
    <definedName name="ExternalData_95" localSheetId="2">Voltage!$L$1:$O$22</definedName>
    <definedName name="ExternalData_96" localSheetId="3">'Range 0'!$L$1:$M$22</definedName>
    <definedName name="ExternalData_96" localSheetId="6">'Range 3'!$L$1:$M$22</definedName>
    <definedName name="ExternalData_96" localSheetId="2">Voltage!$L$1:$O$22</definedName>
    <definedName name="ExternalData_97" localSheetId="3">'Range 0'!$L$1:$M$22</definedName>
    <definedName name="ExternalData_97" localSheetId="6">'Range 3'!$L$1:$M$22</definedName>
    <definedName name="ExternalData_97" localSheetId="2">Voltage!$L$1:$O$22</definedName>
    <definedName name="ExternalData_98" localSheetId="3">'Range 0'!$L$1:$M$22</definedName>
    <definedName name="ExternalData_98" localSheetId="6">'Range 3'!$L$1:$M$22</definedName>
    <definedName name="ExternalData_98" localSheetId="2">Voltage!$L$1:$O$22</definedName>
    <definedName name="ExternalData_99" localSheetId="3">'Range 0'!$L$1:$M$22</definedName>
    <definedName name="ExternalData_99" localSheetId="6">'Range 3'!$L$1:$M$22</definedName>
    <definedName name="ExternalData_99" localSheetId="2">Voltage!$L$1:$O$22</definedName>
    <definedName name="Igain">Internal!$R$4</definedName>
    <definedName name="INT16_MAX">Internal!$L$3</definedName>
    <definedName name="INT16_MIN">Internal!$L$2</definedName>
    <definedName name="Vgain">Internal!$R$3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21" l="1"/>
  <c r="BH32" i="1" l="1"/>
  <c r="BH29" i="1"/>
  <c r="BH26" i="1"/>
  <c r="BB32" i="1"/>
  <c r="BB29" i="1"/>
  <c r="BB26" i="1"/>
  <c r="AV32" i="1"/>
  <c r="AV29" i="1"/>
  <c r="AV26" i="1"/>
  <c r="AP32" i="1"/>
  <c r="AP29" i="1"/>
  <c r="AP26" i="1"/>
  <c r="AJ32" i="1"/>
  <c r="AJ29" i="1"/>
  <c r="AJ26" i="1"/>
  <c r="AD32" i="1"/>
  <c r="AD29" i="1"/>
  <c r="AD26" i="1"/>
  <c r="X32" i="1"/>
  <c r="X29" i="1"/>
  <c r="X26" i="1"/>
  <c r="R32" i="1"/>
  <c r="R29" i="1"/>
  <c r="R26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BJ2" i="1"/>
  <c r="BD2" i="1"/>
  <c r="AX2" i="1"/>
  <c r="BB2" i="1" l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R4" i="11"/>
  <c r="R3" i="11"/>
  <c r="BH3" i="1" l="1"/>
  <c r="BI3" i="1"/>
  <c r="BH4" i="1"/>
  <c r="BI4" i="1"/>
  <c r="BH5" i="1"/>
  <c r="BI5" i="1"/>
  <c r="BH6" i="1"/>
  <c r="BI6" i="1"/>
  <c r="BH7" i="1"/>
  <c r="BI7" i="1"/>
  <c r="BH8" i="1"/>
  <c r="BI8" i="1"/>
  <c r="BH9" i="1"/>
  <c r="BI9" i="1"/>
  <c r="BH10" i="1"/>
  <c r="BI10" i="1"/>
  <c r="BH11" i="1"/>
  <c r="BI11" i="1"/>
  <c r="BH12" i="1"/>
  <c r="BI12" i="1"/>
  <c r="BH13" i="1"/>
  <c r="BI13" i="1"/>
  <c r="BH14" i="1"/>
  <c r="BI14" i="1"/>
  <c r="BH15" i="1"/>
  <c r="BI15" i="1"/>
  <c r="BH16" i="1"/>
  <c r="BI16" i="1"/>
  <c r="BH17" i="1"/>
  <c r="BI17" i="1"/>
  <c r="BH18" i="1"/>
  <c r="BI18" i="1"/>
  <c r="BH19" i="1"/>
  <c r="BI19" i="1"/>
  <c r="BH20" i="1"/>
  <c r="BI20" i="1"/>
  <c r="BH21" i="1"/>
  <c r="BI21" i="1"/>
  <c r="BH22" i="1"/>
  <c r="BI2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I2" i="1"/>
  <c r="BC2" i="1"/>
  <c r="BH2" i="1"/>
  <c r="AV2" i="1"/>
  <c r="AV3" i="1"/>
  <c r="AW3" i="1"/>
  <c r="AV4" i="1"/>
  <c r="AW4" i="1"/>
  <c r="AV5" i="1"/>
  <c r="AW5" i="1"/>
  <c r="AV6" i="1"/>
  <c r="AW6" i="1"/>
  <c r="AV7" i="1"/>
  <c r="AW7" i="1"/>
  <c r="AV8" i="1"/>
  <c r="AW8" i="1"/>
  <c r="AV9" i="1"/>
  <c r="AW9" i="1"/>
  <c r="AV10" i="1"/>
  <c r="AW10" i="1"/>
  <c r="AV11" i="1"/>
  <c r="AW11" i="1"/>
  <c r="AV12" i="1"/>
  <c r="AW12" i="1"/>
  <c r="AV13" i="1"/>
  <c r="AW13" i="1"/>
  <c r="AV14" i="1"/>
  <c r="AW14" i="1"/>
  <c r="AV15" i="1"/>
  <c r="AW15" i="1"/>
  <c r="AV16" i="1"/>
  <c r="AW16" i="1"/>
  <c r="AV17" i="1"/>
  <c r="AW17" i="1"/>
  <c r="AV18" i="1"/>
  <c r="AW18" i="1"/>
  <c r="AV19" i="1"/>
  <c r="AW19" i="1"/>
  <c r="AV20" i="1"/>
  <c r="AW20" i="1"/>
  <c r="AV21" i="1"/>
  <c r="AW21" i="1"/>
  <c r="AV22" i="1"/>
  <c r="AW22" i="1"/>
  <c r="AW2" i="1"/>
  <c r="AQ2" i="1"/>
  <c r="AP2" i="1"/>
  <c r="AX26" i="1" l="1"/>
  <c r="AX29" i="1"/>
  <c r="BD26" i="1"/>
  <c r="BD32" i="1"/>
  <c r="BJ26" i="1"/>
  <c r="BD29" i="1"/>
  <c r="BJ29" i="1"/>
  <c r="AX3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F4" i="11" l="1"/>
  <c r="F5" i="11"/>
  <c r="F6" i="11"/>
  <c r="F7" i="11"/>
  <c r="F8" i="11"/>
  <c r="F9" i="11"/>
  <c r="F10" i="11"/>
  <c r="F3" i="1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K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J2" i="1"/>
  <c r="AY2" i="1" l="1"/>
  <c r="AZ2" i="1" s="1"/>
  <c r="AY3" i="1"/>
  <c r="AZ3" i="1" s="1"/>
  <c r="AR29" i="1"/>
  <c r="AR32" i="1"/>
  <c r="AR26" i="1"/>
  <c r="B42" i="21"/>
  <c r="B34" i="21"/>
  <c r="C7" i="22" l="1"/>
  <c r="C2" i="21" l="1"/>
  <c r="B2" i="21" l="1"/>
  <c r="B1" i="22"/>
  <c r="B2" i="22"/>
  <c r="AY22" i="1"/>
  <c r="AZ22" i="1" s="1"/>
  <c r="AY21" i="1"/>
  <c r="AZ21" i="1" s="1"/>
  <c r="AY20" i="1"/>
  <c r="AZ20" i="1" s="1"/>
  <c r="AY19" i="1"/>
  <c r="AZ19" i="1" s="1"/>
  <c r="AY18" i="1"/>
  <c r="AZ18" i="1" s="1"/>
  <c r="AY17" i="1"/>
  <c r="AZ17" i="1" s="1"/>
  <c r="AY16" i="1"/>
  <c r="AZ16" i="1" s="1"/>
  <c r="AY15" i="1"/>
  <c r="AZ15" i="1" s="1"/>
  <c r="AY14" i="1"/>
  <c r="AZ14" i="1" s="1"/>
  <c r="AY13" i="1"/>
  <c r="AZ13" i="1" s="1"/>
  <c r="AY12" i="1"/>
  <c r="AZ12" i="1" s="1"/>
  <c r="AY11" i="1"/>
  <c r="AZ11" i="1" s="1"/>
  <c r="AY10" i="1"/>
  <c r="AZ10" i="1" s="1"/>
  <c r="AY9" i="1"/>
  <c r="AZ9" i="1" s="1"/>
  <c r="AY8" i="1"/>
  <c r="AZ8" i="1" s="1"/>
  <c r="AY7" i="1"/>
  <c r="AZ7" i="1" s="1"/>
  <c r="AY6" i="1"/>
  <c r="AZ6" i="1" s="1"/>
  <c r="AY5" i="1"/>
  <c r="AZ5" i="1" s="1"/>
  <c r="AY4" i="1"/>
  <c r="AZ4" i="1" s="1"/>
  <c r="D6" i="11" l="1"/>
  <c r="D5" i="11"/>
  <c r="D4" i="11"/>
  <c r="X2" i="1"/>
  <c r="Y2" i="1"/>
  <c r="AD2" i="1"/>
  <c r="AE2" i="1"/>
  <c r="D3" i="11"/>
  <c r="C9" i="21"/>
  <c r="G29" i="1" s="1"/>
  <c r="C10" i="21"/>
  <c r="G26" i="1" s="1"/>
  <c r="C11" i="21"/>
  <c r="G32" i="1" s="1"/>
  <c r="C12" i="21"/>
  <c r="I29" i="1" s="1"/>
  <c r="C13" i="21"/>
  <c r="I26" i="1" s="1"/>
  <c r="C14" i="21"/>
  <c r="I32" i="1" s="1"/>
  <c r="C15" i="21"/>
  <c r="K29" i="1" s="1"/>
  <c r="C16" i="21"/>
  <c r="K26" i="1" s="1"/>
  <c r="C17" i="21"/>
  <c r="K32" i="1" s="1"/>
  <c r="C18" i="21"/>
  <c r="O29" i="1" s="1"/>
  <c r="C19" i="21"/>
  <c r="O26" i="1" s="1"/>
  <c r="C20" i="21"/>
  <c r="O32" i="1" s="1"/>
  <c r="C21" i="21"/>
  <c r="U29" i="1" s="1"/>
  <c r="C22" i="21"/>
  <c r="AA29" i="1" s="1"/>
  <c r="C23" i="21"/>
  <c r="AG29" i="1" s="1"/>
  <c r="C24" i="21"/>
  <c r="AM29" i="1" s="1"/>
  <c r="C25" i="21"/>
  <c r="AS29" i="1" s="1"/>
  <c r="C26" i="21"/>
  <c r="AY29" i="1" s="1"/>
  <c r="C27" i="21"/>
  <c r="BE29" i="1" s="1"/>
  <c r="C28" i="21"/>
  <c r="BK29" i="1" s="1"/>
  <c r="C29" i="21"/>
  <c r="U26" i="1" s="1"/>
  <c r="C30" i="21"/>
  <c r="AA26" i="1" s="1"/>
  <c r="C31" i="21"/>
  <c r="AG26" i="1" s="1"/>
  <c r="C32" i="21"/>
  <c r="AM26" i="1" s="1"/>
  <c r="C33" i="21"/>
  <c r="AS26" i="1" s="1"/>
  <c r="C34" i="21"/>
  <c r="AY26" i="1" s="1"/>
  <c r="C35" i="21"/>
  <c r="BE26" i="1" s="1"/>
  <c r="C36" i="21"/>
  <c r="BK26" i="1" s="1"/>
  <c r="C37" i="21"/>
  <c r="U32" i="1" s="1"/>
  <c r="C38" i="21"/>
  <c r="AA32" i="1" s="1"/>
  <c r="C39" i="21"/>
  <c r="AG32" i="1" s="1"/>
  <c r="C40" i="21"/>
  <c r="AM32" i="1" s="1"/>
  <c r="C41" i="21"/>
  <c r="AS32" i="1" s="1"/>
  <c r="C42" i="21"/>
  <c r="AY32" i="1" s="1"/>
  <c r="C43" i="21"/>
  <c r="BE32" i="1" s="1"/>
  <c r="C44" i="21"/>
  <c r="BK32" i="1" s="1"/>
  <c r="C45" i="21"/>
  <c r="S29" i="1" s="1"/>
  <c r="C46" i="21"/>
  <c r="Y29" i="1" s="1"/>
  <c r="C47" i="21"/>
  <c r="AE29" i="1" s="1"/>
  <c r="C48" i="21"/>
  <c r="AK29" i="1" s="1"/>
  <c r="C49" i="21"/>
  <c r="AQ29" i="1" s="1"/>
  <c r="C50" i="21"/>
  <c r="AW29" i="1" s="1"/>
  <c r="C51" i="21"/>
  <c r="BC29" i="1" s="1"/>
  <c r="C52" i="21"/>
  <c r="BI29" i="1" s="1"/>
  <c r="C53" i="21"/>
  <c r="S26" i="1" s="1"/>
  <c r="C54" i="21"/>
  <c r="Y26" i="1" s="1"/>
  <c r="C55" i="21"/>
  <c r="AE26" i="1" s="1"/>
  <c r="C56" i="21"/>
  <c r="AK26" i="1" s="1"/>
  <c r="C57" i="21"/>
  <c r="AQ26" i="1" s="1"/>
  <c r="C58" i="21"/>
  <c r="AW26" i="1" s="1"/>
  <c r="C59" i="21"/>
  <c r="BC26" i="1" s="1"/>
  <c r="C60" i="21"/>
  <c r="BI26" i="1" s="1"/>
  <c r="C61" i="21"/>
  <c r="S32" i="1" s="1"/>
  <c r="C62" i="21"/>
  <c r="Y32" i="1" s="1"/>
  <c r="C63" i="21"/>
  <c r="AE32" i="1" s="1"/>
  <c r="C64" i="21"/>
  <c r="AK32" i="1" s="1"/>
  <c r="C65" i="21"/>
  <c r="AQ32" i="1" s="1"/>
  <c r="C66" i="21"/>
  <c r="AW32" i="1" s="1"/>
  <c r="C67" i="21"/>
  <c r="BC32" i="1" s="1"/>
  <c r="C68" i="21"/>
  <c r="BI32" i="1" s="1"/>
  <c r="C8" i="21"/>
  <c r="G35" i="1" s="1"/>
  <c r="BM3" i="1" l="1"/>
  <c r="BM7" i="1"/>
  <c r="BM11" i="1"/>
  <c r="BM15" i="1"/>
  <c r="BM19" i="1"/>
  <c r="BM4" i="1"/>
  <c r="BM8" i="1"/>
  <c r="BM12" i="1"/>
  <c r="BM16" i="1"/>
  <c r="BM20" i="1"/>
  <c r="BM10" i="1"/>
  <c r="BM18" i="1"/>
  <c r="BM2" i="1"/>
  <c r="BM5" i="1"/>
  <c r="BM9" i="1"/>
  <c r="BM13" i="1"/>
  <c r="BM17" i="1"/>
  <c r="BM21" i="1"/>
  <c r="BM6" i="1"/>
  <c r="BM14" i="1"/>
  <c r="BM22" i="1"/>
  <c r="BG3" i="1"/>
  <c r="BG7" i="1"/>
  <c r="BG11" i="1"/>
  <c r="BG15" i="1"/>
  <c r="BG19" i="1"/>
  <c r="BG4" i="1"/>
  <c r="BG8" i="1"/>
  <c r="BG12" i="1"/>
  <c r="BG16" i="1"/>
  <c r="BG20" i="1"/>
  <c r="BG6" i="1"/>
  <c r="BG14" i="1"/>
  <c r="BG22" i="1"/>
  <c r="BG5" i="1"/>
  <c r="BG9" i="1"/>
  <c r="BG13" i="1"/>
  <c r="BG17" i="1"/>
  <c r="BG21" i="1"/>
  <c r="BG2" i="1"/>
  <c r="BG10" i="1"/>
  <c r="BG18" i="1"/>
  <c r="AC3" i="1"/>
  <c r="AC7" i="1"/>
  <c r="AC11" i="1"/>
  <c r="AC15" i="1"/>
  <c r="AC19" i="1"/>
  <c r="AC14" i="1"/>
  <c r="AC4" i="1"/>
  <c r="AC8" i="1"/>
  <c r="AC12" i="1"/>
  <c r="AC16" i="1"/>
  <c r="AC20" i="1"/>
  <c r="AC2" i="1"/>
  <c r="AC10" i="1"/>
  <c r="AC22" i="1"/>
  <c r="AC5" i="1"/>
  <c r="AC9" i="1"/>
  <c r="AC13" i="1"/>
  <c r="AC17" i="1"/>
  <c r="AC21" i="1"/>
  <c r="AC6" i="1"/>
  <c r="AC18" i="1"/>
  <c r="AO3" i="1"/>
  <c r="AO7" i="1"/>
  <c r="AO11" i="1"/>
  <c r="AO15" i="1"/>
  <c r="AO19" i="1"/>
  <c r="AO6" i="1"/>
  <c r="AO2" i="1"/>
  <c r="AO4" i="1"/>
  <c r="AO8" i="1"/>
  <c r="AO12" i="1"/>
  <c r="AO16" i="1"/>
  <c r="AO20" i="1"/>
  <c r="AO10" i="1"/>
  <c r="AO18" i="1"/>
  <c r="AO5" i="1"/>
  <c r="AO9" i="1"/>
  <c r="AO13" i="1"/>
  <c r="AO17" i="1"/>
  <c r="AO21" i="1"/>
  <c r="AO14" i="1"/>
  <c r="AO22" i="1"/>
  <c r="AI3" i="1"/>
  <c r="AI7" i="1"/>
  <c r="AI11" i="1"/>
  <c r="AI15" i="1"/>
  <c r="AI19" i="1"/>
  <c r="AI4" i="1"/>
  <c r="AI8" i="1"/>
  <c r="AI12" i="1"/>
  <c r="AI16" i="1"/>
  <c r="AI20" i="1"/>
  <c r="AI6" i="1"/>
  <c r="AI14" i="1"/>
  <c r="AI22" i="1"/>
  <c r="AI5" i="1"/>
  <c r="AI9" i="1"/>
  <c r="AI13" i="1"/>
  <c r="AI17" i="1"/>
  <c r="AI21" i="1"/>
  <c r="AI2" i="1"/>
  <c r="AI10" i="1"/>
  <c r="AI18" i="1"/>
  <c r="BA3" i="1"/>
  <c r="BA7" i="1"/>
  <c r="BA11" i="1"/>
  <c r="BA15" i="1"/>
  <c r="BA19" i="1"/>
  <c r="BA4" i="1"/>
  <c r="BA8" i="1"/>
  <c r="BA12" i="1"/>
  <c r="BA16" i="1"/>
  <c r="BA20" i="1"/>
  <c r="BA2" i="1"/>
  <c r="BA10" i="1"/>
  <c r="BA18" i="1"/>
  <c r="BA22" i="1"/>
  <c r="BA5" i="1"/>
  <c r="BA9" i="1"/>
  <c r="BA13" i="1"/>
  <c r="BA17" i="1"/>
  <c r="BA21" i="1"/>
  <c r="BA6" i="1"/>
  <c r="BA14" i="1"/>
  <c r="AU3" i="1"/>
  <c r="AU7" i="1"/>
  <c r="AU11" i="1"/>
  <c r="AU15" i="1"/>
  <c r="AU19" i="1"/>
  <c r="AU2" i="1"/>
  <c r="AU4" i="1"/>
  <c r="AU8" i="1"/>
  <c r="AU12" i="1"/>
  <c r="AU16" i="1"/>
  <c r="AU20" i="1"/>
  <c r="AU10" i="1"/>
  <c r="AU18" i="1"/>
  <c r="AU5" i="1"/>
  <c r="AU9" i="1"/>
  <c r="AU13" i="1"/>
  <c r="AU17" i="1"/>
  <c r="AU21" i="1"/>
  <c r="AU6" i="1"/>
  <c r="AU14" i="1"/>
  <c r="AU22" i="1"/>
  <c r="W3" i="1"/>
  <c r="W7" i="1"/>
  <c r="W11" i="1"/>
  <c r="W15" i="1"/>
  <c r="W19" i="1"/>
  <c r="W2" i="1"/>
  <c r="W14" i="1"/>
  <c r="W4" i="1"/>
  <c r="W8" i="1"/>
  <c r="W12" i="1"/>
  <c r="W16" i="1"/>
  <c r="W20" i="1"/>
  <c r="W10" i="1"/>
  <c r="W18" i="1"/>
  <c r="W5" i="1"/>
  <c r="W9" i="1"/>
  <c r="W13" i="1"/>
  <c r="W17" i="1"/>
  <c r="W21" i="1"/>
  <c r="W6" i="1"/>
  <c r="W22" i="1"/>
  <c r="AF6" i="1"/>
  <c r="AF10" i="1"/>
  <c r="AF14" i="1"/>
  <c r="AF18" i="1"/>
  <c r="AF22" i="1"/>
  <c r="AF3" i="1"/>
  <c r="AF7" i="1"/>
  <c r="AF11" i="1"/>
  <c r="AF15" i="1"/>
  <c r="AF19" i="1"/>
  <c r="AF4" i="1"/>
  <c r="AF8" i="1"/>
  <c r="AF12" i="1"/>
  <c r="AF16" i="1"/>
  <c r="AF20" i="1"/>
  <c r="AF2" i="1"/>
  <c r="AF5" i="1"/>
  <c r="AF9" i="1"/>
  <c r="AF13" i="1"/>
  <c r="AF17" i="1"/>
  <c r="AF21" i="1"/>
  <c r="Z6" i="1"/>
  <c r="Z10" i="1"/>
  <c r="Z14" i="1"/>
  <c r="Z18" i="1"/>
  <c r="Z22" i="1"/>
  <c r="Z3" i="1"/>
  <c r="Z7" i="1"/>
  <c r="Z11" i="1"/>
  <c r="Z15" i="1"/>
  <c r="Z19" i="1"/>
  <c r="Z4" i="1"/>
  <c r="Z8" i="1"/>
  <c r="Z12" i="1"/>
  <c r="Z16" i="1"/>
  <c r="Z20" i="1"/>
  <c r="Z5" i="1"/>
  <c r="Z9" i="1"/>
  <c r="Z13" i="1"/>
  <c r="Z17" i="1"/>
  <c r="Z21" i="1"/>
  <c r="Z2" i="1"/>
  <c r="AR6" i="1"/>
  <c r="AR10" i="1"/>
  <c r="AR14" i="1"/>
  <c r="AR18" i="1"/>
  <c r="AR22" i="1"/>
  <c r="AR2" i="1"/>
  <c r="AR3" i="1"/>
  <c r="AR7" i="1"/>
  <c r="AR11" i="1"/>
  <c r="AR15" i="1"/>
  <c r="AR19" i="1"/>
  <c r="AR4" i="1"/>
  <c r="AR8" i="1"/>
  <c r="AR12" i="1"/>
  <c r="AR16" i="1"/>
  <c r="AR20" i="1"/>
  <c r="AR5" i="1"/>
  <c r="AR9" i="1"/>
  <c r="AR13" i="1"/>
  <c r="AR17" i="1"/>
  <c r="AR21" i="1"/>
  <c r="T6" i="1"/>
  <c r="T10" i="1"/>
  <c r="T14" i="1"/>
  <c r="T18" i="1"/>
  <c r="T22" i="1"/>
  <c r="T3" i="1"/>
  <c r="T7" i="1"/>
  <c r="T11" i="1"/>
  <c r="T15" i="1"/>
  <c r="T19" i="1"/>
  <c r="T4" i="1"/>
  <c r="T8" i="1"/>
  <c r="T12" i="1"/>
  <c r="T16" i="1"/>
  <c r="T20" i="1"/>
  <c r="T5" i="1"/>
  <c r="T9" i="1"/>
  <c r="T13" i="1"/>
  <c r="T17" i="1"/>
  <c r="T21" i="1"/>
  <c r="T2" i="1"/>
  <c r="AL6" i="1"/>
  <c r="AL10" i="1"/>
  <c r="AL14" i="1"/>
  <c r="AL18" i="1"/>
  <c r="AL22" i="1"/>
  <c r="AL3" i="1"/>
  <c r="AL7" i="1"/>
  <c r="AL11" i="1"/>
  <c r="AL15" i="1"/>
  <c r="AL19" i="1"/>
  <c r="AL2" i="1"/>
  <c r="AL4" i="1"/>
  <c r="AL8" i="1"/>
  <c r="AL12" i="1"/>
  <c r="AL16" i="1"/>
  <c r="AL20" i="1"/>
  <c r="AL5" i="1"/>
  <c r="AL9" i="1"/>
  <c r="AL13" i="1"/>
  <c r="AL17" i="1"/>
  <c r="AL21" i="1"/>
  <c r="K3" i="1"/>
  <c r="AS13" i="1"/>
  <c r="AT13" i="1" s="1"/>
  <c r="AS17" i="1" l="1"/>
  <c r="AT17" i="1" s="1"/>
  <c r="AS4" i="1"/>
  <c r="AT4" i="1" s="1"/>
  <c r="AS22" i="1"/>
  <c r="AT22" i="1" s="1"/>
  <c r="AS10" i="1"/>
  <c r="AT10" i="1" s="1"/>
  <c r="AS7" i="1"/>
  <c r="AT7" i="1" s="1"/>
  <c r="AS16" i="1"/>
  <c r="AT16" i="1" s="1"/>
  <c r="AS14" i="1"/>
  <c r="AT14" i="1" s="1"/>
  <c r="AS15" i="1"/>
  <c r="AT15" i="1" s="1"/>
  <c r="AS3" i="1"/>
  <c r="AT3" i="1" s="1"/>
  <c r="AS19" i="1"/>
  <c r="AT19" i="1" s="1"/>
  <c r="AS18" i="1"/>
  <c r="AT18" i="1" s="1"/>
  <c r="AS8" i="1"/>
  <c r="AT8" i="1" s="1"/>
  <c r="AS2" i="1"/>
  <c r="AT2" i="1" s="1"/>
  <c r="AS11" i="1"/>
  <c r="AT11" i="1" s="1"/>
  <c r="AS6" i="1"/>
  <c r="AT6" i="1" s="1"/>
  <c r="AS5" i="1"/>
  <c r="AT5" i="1" s="1"/>
  <c r="AS12" i="1"/>
  <c r="AT12" i="1" s="1"/>
  <c r="AS21" i="1"/>
  <c r="AT21" i="1" s="1"/>
  <c r="AS20" i="1"/>
  <c r="AT20" i="1" s="1"/>
  <c r="AS9" i="1"/>
  <c r="AT9" i="1" s="1"/>
  <c r="AM2" i="1"/>
  <c r="AN2" i="1" s="1"/>
  <c r="AG2" i="1"/>
  <c r="AH2" i="1" s="1"/>
  <c r="AA2" i="1"/>
  <c r="AB2" i="1" s="1"/>
  <c r="U2" i="2"/>
  <c r="T2" i="2"/>
  <c r="S2" i="2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" i="1"/>
  <c r="C1" i="19" l="1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BH23" i="1" l="1"/>
  <c r="AV23" i="1"/>
  <c r="AP23" i="1"/>
  <c r="AJ23" i="1"/>
  <c r="AD23" i="1"/>
  <c r="X23" i="1"/>
  <c r="R23" i="1"/>
  <c r="F23" i="1"/>
  <c r="AK3" i="1" l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F2" i="1"/>
  <c r="Y3" i="1"/>
  <c r="AE3" i="1"/>
  <c r="Y4" i="1"/>
  <c r="AE4" i="1"/>
  <c r="Y5" i="1"/>
  <c r="AE5" i="1"/>
  <c r="Y6" i="1"/>
  <c r="AE6" i="1"/>
  <c r="Y7" i="1"/>
  <c r="AE7" i="1"/>
  <c r="Y8" i="1"/>
  <c r="AE8" i="1"/>
  <c r="Y9" i="1"/>
  <c r="AE9" i="1"/>
  <c r="Y10" i="1"/>
  <c r="AE10" i="1"/>
  <c r="Y11" i="1"/>
  <c r="AE11" i="1"/>
  <c r="Y12" i="1"/>
  <c r="AE12" i="1"/>
  <c r="Y13" i="1"/>
  <c r="AE13" i="1"/>
  <c r="Y14" i="1"/>
  <c r="AE14" i="1"/>
  <c r="Y15" i="1"/>
  <c r="AE15" i="1"/>
  <c r="Y16" i="1"/>
  <c r="AE16" i="1"/>
  <c r="Y17" i="1"/>
  <c r="AE17" i="1"/>
  <c r="Y18" i="1"/>
  <c r="AE18" i="1"/>
  <c r="Y19" i="1"/>
  <c r="AE19" i="1"/>
  <c r="Y20" i="1"/>
  <c r="AE20" i="1"/>
  <c r="Y21" i="1"/>
  <c r="AE21" i="1"/>
  <c r="Y22" i="1"/>
  <c r="AE22" i="1"/>
  <c r="B67" i="21"/>
  <c r="B65" i="2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" i="1"/>
  <c r="F3" i="1"/>
  <c r="H3" i="1"/>
  <c r="J3" i="1"/>
  <c r="N3" i="1"/>
  <c r="O3" i="1" s="1"/>
  <c r="F4" i="1"/>
  <c r="H4" i="1"/>
  <c r="J4" i="1"/>
  <c r="K4" i="1" s="1"/>
  <c r="N4" i="1"/>
  <c r="O4" i="1" s="1"/>
  <c r="F5" i="1"/>
  <c r="H5" i="1"/>
  <c r="J5" i="1"/>
  <c r="K5" i="1" s="1"/>
  <c r="N5" i="1"/>
  <c r="O5" i="1" s="1"/>
  <c r="F6" i="1"/>
  <c r="H6" i="1"/>
  <c r="J6" i="1"/>
  <c r="K6" i="1" s="1"/>
  <c r="N6" i="1"/>
  <c r="O6" i="1" s="1"/>
  <c r="F7" i="1"/>
  <c r="H7" i="1"/>
  <c r="J7" i="1"/>
  <c r="K7" i="1" s="1"/>
  <c r="N7" i="1"/>
  <c r="O7" i="1" s="1"/>
  <c r="F8" i="1"/>
  <c r="H8" i="1"/>
  <c r="J8" i="1"/>
  <c r="K8" i="1" s="1"/>
  <c r="N8" i="1"/>
  <c r="O8" i="1" s="1"/>
  <c r="F9" i="1"/>
  <c r="H9" i="1"/>
  <c r="J9" i="1"/>
  <c r="K9" i="1" s="1"/>
  <c r="N9" i="1"/>
  <c r="O9" i="1" s="1"/>
  <c r="F10" i="1"/>
  <c r="H10" i="1"/>
  <c r="J10" i="1"/>
  <c r="K10" i="1" s="1"/>
  <c r="N10" i="1"/>
  <c r="O10" i="1" s="1"/>
  <c r="F11" i="1"/>
  <c r="H11" i="1"/>
  <c r="J11" i="1"/>
  <c r="K11" i="1" s="1"/>
  <c r="N11" i="1"/>
  <c r="O11" i="1" s="1"/>
  <c r="F12" i="1"/>
  <c r="H12" i="1"/>
  <c r="J12" i="1"/>
  <c r="K12" i="1" s="1"/>
  <c r="N12" i="1"/>
  <c r="O12" i="1" s="1"/>
  <c r="F13" i="1"/>
  <c r="H13" i="1"/>
  <c r="J13" i="1"/>
  <c r="K13" i="1" s="1"/>
  <c r="N13" i="1"/>
  <c r="O13" i="1" s="1"/>
  <c r="F14" i="1"/>
  <c r="G14" i="1" s="1"/>
  <c r="H14" i="1"/>
  <c r="J14" i="1"/>
  <c r="K14" i="1" s="1"/>
  <c r="N14" i="1"/>
  <c r="O14" i="1" s="1"/>
  <c r="F15" i="1"/>
  <c r="H15" i="1"/>
  <c r="J15" i="1"/>
  <c r="K15" i="1" s="1"/>
  <c r="N15" i="1"/>
  <c r="O15" i="1" s="1"/>
  <c r="F16" i="1"/>
  <c r="H16" i="1"/>
  <c r="J16" i="1"/>
  <c r="K16" i="1" s="1"/>
  <c r="N16" i="1"/>
  <c r="O16" i="1" s="1"/>
  <c r="F17" i="1"/>
  <c r="H17" i="1"/>
  <c r="J17" i="1"/>
  <c r="K17" i="1" s="1"/>
  <c r="N17" i="1"/>
  <c r="O17" i="1" s="1"/>
  <c r="F18" i="1"/>
  <c r="H18" i="1"/>
  <c r="J18" i="1"/>
  <c r="K18" i="1" s="1"/>
  <c r="N18" i="1"/>
  <c r="O18" i="1" s="1"/>
  <c r="F19" i="1"/>
  <c r="H19" i="1"/>
  <c r="J19" i="1"/>
  <c r="K19" i="1" s="1"/>
  <c r="N19" i="1"/>
  <c r="O19" i="1" s="1"/>
  <c r="F20" i="1"/>
  <c r="H20" i="1"/>
  <c r="J20" i="1"/>
  <c r="K20" i="1" s="1"/>
  <c r="N20" i="1"/>
  <c r="O20" i="1" s="1"/>
  <c r="F21" i="1"/>
  <c r="H21" i="1"/>
  <c r="J21" i="1"/>
  <c r="K21" i="1" s="1"/>
  <c r="N21" i="1"/>
  <c r="O21" i="1" s="1"/>
  <c r="F22" i="1"/>
  <c r="H22" i="1"/>
  <c r="J22" i="1"/>
  <c r="K22" i="1" s="1"/>
  <c r="N22" i="1"/>
  <c r="O22" i="1" s="1"/>
  <c r="H2" i="1"/>
  <c r="J2" i="1"/>
  <c r="K2" i="1" s="1"/>
  <c r="L2" i="1" s="1"/>
  <c r="N2" i="1"/>
  <c r="O2" i="1" s="1"/>
  <c r="T32" i="1" l="1"/>
  <c r="B37" i="21" s="1"/>
  <c r="T26" i="1"/>
  <c r="B29" i="21" s="1"/>
  <c r="AA12" i="1"/>
  <c r="AB12" i="1" s="1"/>
  <c r="Z29" i="1"/>
  <c r="B22" i="21" s="1"/>
  <c r="AG3" i="1"/>
  <c r="AH3" i="1" s="1"/>
  <c r="AF26" i="1"/>
  <c r="B31" i="21" s="1"/>
  <c r="AM17" i="1"/>
  <c r="AN17" i="1" s="1"/>
  <c r="AM13" i="1"/>
  <c r="AN13" i="1" s="1"/>
  <c r="AA3" i="1"/>
  <c r="AB3" i="1" s="1"/>
  <c r="Z26" i="1"/>
  <c r="B30" i="21" s="1"/>
  <c r="Z32" i="1"/>
  <c r="B38" i="21" s="1"/>
  <c r="AM20" i="1"/>
  <c r="AN20" i="1" s="1"/>
  <c r="AL29" i="1"/>
  <c r="B24" i="21" s="1"/>
  <c r="AM4" i="1"/>
  <c r="AN4" i="1" s="1"/>
  <c r="H29" i="1"/>
  <c r="B12" i="21" s="1"/>
  <c r="N29" i="1"/>
  <c r="B18" i="21" s="1"/>
  <c r="J29" i="1"/>
  <c r="F29" i="1"/>
  <c r="B9" i="21" s="1"/>
  <c r="T29" i="1"/>
  <c r="B21" i="21" s="1"/>
  <c r="AG12" i="1"/>
  <c r="AH12" i="1" s="1"/>
  <c r="AF29" i="1"/>
  <c r="J32" i="1"/>
  <c r="B17" i="21" s="1"/>
  <c r="F26" i="1"/>
  <c r="N26" i="1"/>
  <c r="B19" i="21" s="1"/>
  <c r="F32" i="1"/>
  <c r="B11" i="21" s="1"/>
  <c r="N32" i="1"/>
  <c r="B20" i="21" s="1"/>
  <c r="J26" i="1"/>
  <c r="B16" i="21" s="1"/>
  <c r="H32" i="1"/>
  <c r="H26" i="1"/>
  <c r="B13" i="21" s="1"/>
  <c r="AM19" i="1"/>
  <c r="AN19" i="1" s="1"/>
  <c r="AM11" i="1"/>
  <c r="AN11" i="1" s="1"/>
  <c r="AM3" i="1"/>
  <c r="AN3" i="1" s="1"/>
  <c r="AL26" i="1"/>
  <c r="B32" i="21" s="1"/>
  <c r="G22" i="1"/>
  <c r="L22" i="1"/>
  <c r="M22" i="1" s="1"/>
  <c r="G21" i="1"/>
  <c r="L21" i="1"/>
  <c r="M21" i="1" s="1"/>
  <c r="G20" i="1"/>
  <c r="L20" i="1"/>
  <c r="M20" i="1" s="1"/>
  <c r="G19" i="1"/>
  <c r="L19" i="1"/>
  <c r="M19" i="1" s="1"/>
  <c r="G18" i="1"/>
  <c r="L18" i="1"/>
  <c r="M18" i="1" s="1"/>
  <c r="G17" i="1"/>
  <c r="L17" i="1"/>
  <c r="M17" i="1" s="1"/>
  <c r="G16" i="1"/>
  <c r="L16" i="1"/>
  <c r="M16" i="1" s="1"/>
  <c r="G15" i="1"/>
  <c r="L15" i="1"/>
  <c r="M15" i="1" s="1"/>
  <c r="L14" i="1"/>
  <c r="M14" i="1" s="1"/>
  <c r="G13" i="1"/>
  <c r="L13" i="1"/>
  <c r="M13" i="1" s="1"/>
  <c r="G12" i="1"/>
  <c r="L12" i="1"/>
  <c r="M12" i="1" s="1"/>
  <c r="G11" i="1"/>
  <c r="L11" i="1"/>
  <c r="M11" i="1" s="1"/>
  <c r="G10" i="1"/>
  <c r="L10" i="1"/>
  <c r="M10" i="1" s="1"/>
  <c r="G9" i="1"/>
  <c r="L9" i="1"/>
  <c r="M9" i="1" s="1"/>
  <c r="G8" i="1"/>
  <c r="L8" i="1"/>
  <c r="M8" i="1" s="1"/>
  <c r="G7" i="1"/>
  <c r="L7" i="1"/>
  <c r="M7" i="1" s="1"/>
  <c r="G6" i="1"/>
  <c r="L6" i="1"/>
  <c r="M6" i="1" s="1"/>
  <c r="G5" i="1"/>
  <c r="L5" i="1"/>
  <c r="M5" i="1" s="1"/>
  <c r="G4" i="1"/>
  <c r="L4" i="1"/>
  <c r="M4" i="1" s="1"/>
  <c r="G3" i="1"/>
  <c r="L3" i="1"/>
  <c r="M3" i="1" s="1"/>
  <c r="G2" i="1"/>
  <c r="M2" i="1"/>
  <c r="AM14" i="1"/>
  <c r="AN14" i="1" s="1"/>
  <c r="AM5" i="1"/>
  <c r="AN5" i="1" s="1"/>
  <c r="AG21" i="1"/>
  <c r="AH21" i="1" s="1"/>
  <c r="AG19" i="1"/>
  <c r="AH19" i="1" s="1"/>
  <c r="AG17" i="1"/>
  <c r="AH17" i="1" s="1"/>
  <c r="AG15" i="1"/>
  <c r="AH15" i="1" s="1"/>
  <c r="AG13" i="1"/>
  <c r="AH13" i="1" s="1"/>
  <c r="AG11" i="1"/>
  <c r="AH11" i="1" s="1"/>
  <c r="AG9" i="1"/>
  <c r="AH9" i="1" s="1"/>
  <c r="AG7" i="1"/>
  <c r="AH7" i="1" s="1"/>
  <c r="AG5" i="1"/>
  <c r="AH5" i="1" s="1"/>
  <c r="AG22" i="1"/>
  <c r="AH22" i="1" s="1"/>
  <c r="AG20" i="1"/>
  <c r="AH20" i="1" s="1"/>
  <c r="AG18" i="1"/>
  <c r="AH18" i="1" s="1"/>
  <c r="AG16" i="1"/>
  <c r="AH16" i="1" s="1"/>
  <c r="AG14" i="1"/>
  <c r="AH14" i="1" s="1"/>
  <c r="AG10" i="1"/>
  <c r="AH10" i="1" s="1"/>
  <c r="AG8" i="1"/>
  <c r="AH8" i="1" s="1"/>
  <c r="AG6" i="1"/>
  <c r="AH6" i="1" s="1"/>
  <c r="AG4" i="1"/>
  <c r="AH4" i="1" s="1"/>
  <c r="AA22" i="1"/>
  <c r="AB22" i="1" s="1"/>
  <c r="AA18" i="1"/>
  <c r="AB18" i="1" s="1"/>
  <c r="AA16" i="1"/>
  <c r="AB16" i="1" s="1"/>
  <c r="AA10" i="1"/>
  <c r="AB10" i="1" s="1"/>
  <c r="AA6" i="1"/>
  <c r="AB6" i="1" s="1"/>
  <c r="AA4" i="1"/>
  <c r="AB4" i="1" s="1"/>
  <c r="AA21" i="1"/>
  <c r="AB21" i="1" s="1"/>
  <c r="AA19" i="1"/>
  <c r="AB19" i="1" s="1"/>
  <c r="AA17" i="1"/>
  <c r="AB17" i="1" s="1"/>
  <c r="AA15" i="1"/>
  <c r="AB15" i="1" s="1"/>
  <c r="AA13" i="1"/>
  <c r="AB13" i="1" s="1"/>
  <c r="AA11" i="1"/>
  <c r="AB11" i="1" s="1"/>
  <c r="AA9" i="1"/>
  <c r="AB9" i="1" s="1"/>
  <c r="AA7" i="1"/>
  <c r="AB7" i="1" s="1"/>
  <c r="AA5" i="1"/>
  <c r="AB5" i="1" s="1"/>
  <c r="AA20" i="1"/>
  <c r="AB20" i="1" s="1"/>
  <c r="AA14" i="1"/>
  <c r="AB14" i="1" s="1"/>
  <c r="AA8" i="1"/>
  <c r="AB8" i="1" s="1"/>
  <c r="U2" i="1"/>
  <c r="V2" i="1" s="1"/>
  <c r="P12" i="1"/>
  <c r="Q12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1" i="1"/>
  <c r="Q11" i="1" s="1"/>
  <c r="P10" i="1"/>
  <c r="Q10" i="1" s="1"/>
  <c r="P9" i="1"/>
  <c r="Q9" i="1" s="1"/>
  <c r="P8" i="1"/>
  <c r="Q8" i="1" s="1"/>
  <c r="P7" i="1"/>
  <c r="Q7" i="1" s="1"/>
  <c r="P6" i="1"/>
  <c r="Q6" i="1" s="1"/>
  <c r="P5" i="1"/>
  <c r="Q5" i="1" s="1"/>
  <c r="P4" i="1"/>
  <c r="Q4" i="1" s="1"/>
  <c r="P3" i="1"/>
  <c r="Q3" i="1" s="1"/>
  <c r="P2" i="1"/>
  <c r="Q2" i="1" s="1"/>
  <c r="B41" i="21"/>
  <c r="B33" i="21"/>
  <c r="B25" i="21"/>
  <c r="B23" i="21"/>
  <c r="AF32" i="1"/>
  <c r="B39" i="21" s="1"/>
  <c r="BJ32" i="1"/>
  <c r="AL32" i="1"/>
  <c r="B40" i="21" s="1"/>
  <c r="B52" i="21"/>
  <c r="B60" i="21"/>
  <c r="B59" i="21"/>
  <c r="B57" i="21"/>
  <c r="B49" i="21"/>
  <c r="B47" i="21"/>
  <c r="B48" i="21"/>
  <c r="B14" i="21"/>
  <c r="B45" i="21"/>
  <c r="B61" i="21"/>
  <c r="B53" i="21"/>
  <c r="B51" i="21"/>
  <c r="B58" i="21"/>
  <c r="B66" i="21"/>
  <c r="B64" i="21"/>
  <c r="B46" i="21"/>
  <c r="B68" i="21"/>
  <c r="B56" i="21"/>
  <c r="B55" i="21"/>
  <c r="B63" i="21"/>
  <c r="B62" i="21"/>
  <c r="B54" i="21"/>
  <c r="AM8" i="1" l="1"/>
  <c r="AN8" i="1" s="1"/>
  <c r="AM10" i="1"/>
  <c r="AN10" i="1" s="1"/>
  <c r="AM7" i="1"/>
  <c r="AN7" i="1" s="1"/>
  <c r="AM16" i="1"/>
  <c r="AN16" i="1" s="1"/>
  <c r="AM21" i="1"/>
  <c r="AN21" i="1" s="1"/>
  <c r="AM18" i="1"/>
  <c r="AN18" i="1" s="1"/>
  <c r="AM12" i="1"/>
  <c r="AN12" i="1" s="1"/>
  <c r="AM15" i="1"/>
  <c r="AN15" i="1" s="1"/>
  <c r="AM6" i="1"/>
  <c r="AN6" i="1" s="1"/>
  <c r="AM9" i="1"/>
  <c r="AN9" i="1" s="1"/>
  <c r="AM22" i="1"/>
  <c r="AN22" i="1" s="1"/>
  <c r="BK3" i="1"/>
  <c r="BL3" i="1" s="1"/>
  <c r="BK2" i="1"/>
  <c r="BL2" i="1" s="1"/>
  <c r="BE3" i="1"/>
  <c r="BF3" i="1" s="1"/>
  <c r="BE2" i="1"/>
  <c r="BF2" i="1" s="1"/>
  <c r="U16" i="1"/>
  <c r="V16" i="1" s="1"/>
  <c r="U9" i="1"/>
  <c r="V9" i="1" s="1"/>
  <c r="U11" i="1"/>
  <c r="V11" i="1" s="1"/>
  <c r="U18" i="1"/>
  <c r="V18" i="1" s="1"/>
  <c r="U20" i="1"/>
  <c r="V20" i="1" s="1"/>
  <c r="U7" i="1"/>
  <c r="V7" i="1" s="1"/>
  <c r="U13" i="1"/>
  <c r="V13" i="1" s="1"/>
  <c r="U6" i="1"/>
  <c r="V6" i="1" s="1"/>
  <c r="U22" i="1"/>
  <c r="V22" i="1" s="1"/>
  <c r="U4" i="1"/>
  <c r="V4" i="1" s="1"/>
  <c r="U15" i="1"/>
  <c r="V15" i="1" s="1"/>
  <c r="U17" i="1"/>
  <c r="V17" i="1" s="1"/>
  <c r="U10" i="1"/>
  <c r="V10" i="1" s="1"/>
  <c r="U3" i="1"/>
  <c r="V3" i="1" s="1"/>
  <c r="U12" i="1"/>
  <c r="V12" i="1" s="1"/>
  <c r="U8" i="1"/>
  <c r="V8" i="1" s="1"/>
  <c r="U5" i="1"/>
  <c r="V5" i="1" s="1"/>
  <c r="U21" i="1"/>
  <c r="V21" i="1" s="1"/>
  <c r="U14" i="1"/>
  <c r="V14" i="1" s="1"/>
  <c r="U19" i="1"/>
  <c r="V19" i="1" s="1"/>
  <c r="B27" i="21"/>
  <c r="BE21" i="1"/>
  <c r="BF21" i="1" s="1"/>
  <c r="BE18" i="1"/>
  <c r="BF18" i="1" s="1"/>
  <c r="BE15" i="1"/>
  <c r="BF15" i="1" s="1"/>
  <c r="BE20" i="1"/>
  <c r="BF20" i="1" s="1"/>
  <c r="BE17" i="1"/>
  <c r="BF17" i="1" s="1"/>
  <c r="BE14" i="1"/>
  <c r="BF14" i="1" s="1"/>
  <c r="BE19" i="1"/>
  <c r="BF19" i="1" s="1"/>
  <c r="BE16" i="1"/>
  <c r="BF16" i="1" s="1"/>
  <c r="BE13" i="1"/>
  <c r="BF13" i="1" s="1"/>
  <c r="BE22" i="1"/>
  <c r="BF22" i="1" s="1"/>
  <c r="B44" i="21"/>
  <c r="B35" i="21"/>
  <c r="BE9" i="1"/>
  <c r="BF9" i="1" s="1"/>
  <c r="BE6" i="1"/>
  <c r="BF6" i="1" s="1"/>
  <c r="BE11" i="1"/>
  <c r="BF11" i="1" s="1"/>
  <c r="BE8" i="1"/>
  <c r="BF8" i="1" s="1"/>
  <c r="BE4" i="1"/>
  <c r="BF4" i="1" s="1"/>
  <c r="BE10" i="1"/>
  <c r="BF10" i="1" s="1"/>
  <c r="BE5" i="1"/>
  <c r="BF5" i="1" s="1"/>
  <c r="BE7" i="1"/>
  <c r="BF7" i="1" s="1"/>
  <c r="B36" i="21"/>
  <c r="B43" i="21"/>
  <c r="BE12" i="1"/>
  <c r="BF12" i="1" s="1"/>
  <c r="B50" i="21"/>
  <c r="B28" i="21"/>
  <c r="BK21" i="1"/>
  <c r="BL21" i="1" s="1"/>
  <c r="BK14" i="1"/>
  <c r="BL14" i="1" s="1"/>
  <c r="BK13" i="1"/>
  <c r="BL13" i="1" s="1"/>
  <c r="BK22" i="1"/>
  <c r="BL22" i="1" s="1"/>
  <c r="B15" i="21"/>
  <c r="B10" i="21"/>
  <c r="BK19" i="1" l="1"/>
  <c r="BL19" i="1" s="1"/>
  <c r="BK20" i="1"/>
  <c r="BL20" i="1" s="1"/>
  <c r="BK8" i="1"/>
  <c r="BL8" i="1" s="1"/>
  <c r="BK4" i="1"/>
  <c r="BL4" i="1" s="1"/>
  <c r="BK10" i="1"/>
  <c r="BL10" i="1" s="1"/>
  <c r="BK15" i="1"/>
  <c r="BL15" i="1" s="1"/>
  <c r="BK11" i="1"/>
  <c r="BL11" i="1" s="1"/>
  <c r="BK18" i="1"/>
  <c r="BL18" i="1" s="1"/>
  <c r="BK16" i="1"/>
  <c r="BL16" i="1" s="1"/>
  <c r="BK5" i="1"/>
  <c r="BL5" i="1" s="1"/>
  <c r="BK17" i="1"/>
  <c r="BL17" i="1" s="1"/>
  <c r="BK9" i="1"/>
  <c r="BL9" i="1" s="1"/>
  <c r="BK6" i="1"/>
  <c r="BL6" i="1" s="1"/>
  <c r="BK12" i="1"/>
  <c r="BL12" i="1" s="1"/>
  <c r="BK7" i="1"/>
  <c r="BL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" xr16:uid="{00000000-0015-0000-FFFF-FFFF01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" xr16:uid="{00000000-0015-0000-FFFF-FFFF03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5" xr16:uid="{00000000-0015-0000-FFFF-FFFF04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6" xr16:uid="{00000000-0015-0000-FFFF-FFFF05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" xr16:uid="{00000000-0015-0000-FFFF-FFFF06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8" xr16:uid="{00000000-0015-0000-FFFF-FFFF07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1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0" xr16:uid="{00000000-0015-0000-FFFF-FFFF09000000}" name="cal_rsp1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00000000-0015-0000-FFFF-FFFF0A000000}" name="cal_rsp1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00000000-0015-0000-FFFF-FFFF0B000000}" name="cal_rsp1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00000000-0015-0000-FFFF-FFFF0C000000}" name="cal_rsp1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4" xr16:uid="{00000000-0015-0000-FFFF-FFFF0D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00000000-0015-0000-FFFF-FFFF0E000000}" name="cal_rsp2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6" xr16:uid="{00000000-0015-0000-FFFF-FFFF0F000000}" name="cal_rsp2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7" xr16:uid="{00000000-0015-0000-FFFF-FFFF10000000}" name="cal_rsp2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8" xr16:uid="{00000000-0015-0000-FFFF-FFFF11000000}" name="cal_rsp2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9" xr16:uid="{00000000-0015-0000-FFFF-FFFF12000000}" name="cal_rsp2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0" xr16:uid="{00000000-0015-0000-FFFF-FFFF13000000}" name="cal_rsp2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1" xr16:uid="{00000000-0015-0000-FFFF-FFFF14000000}" name="cal_rsp2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2" xr16:uid="{00000000-0015-0000-FFFF-FFFF15000000}" name="cal_rsp2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3" xr16:uid="{00000000-0015-0000-FFFF-FFFF16000000}" name="cal_rsp2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4" xr16:uid="{00000000-0015-0000-FFFF-FFFF17000000}" name="cal_rsp2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5" xr16:uid="{00000000-0015-0000-FFFF-FFFF18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6" xr16:uid="{00000000-0015-0000-FFFF-FFFF19000000}" name="cal_rsp3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7" xr16:uid="{00000000-0015-0000-FFFF-FFFF1A000000}" name="cal_rsp3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8" xr16:uid="{00000000-0015-0000-FFFF-FFFF1B000000}" name="cal_rsp3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9" xr16:uid="{00000000-0015-0000-FFFF-FFFF1C000000}" name="cal_rsp3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0" xr16:uid="{00000000-0015-0000-FFFF-FFFF1D000000}" name="cal_rsp3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1" xr16:uid="{00000000-0015-0000-FFFF-FFFF1E000000}" name="cal_rsp3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2" xr16:uid="{00000000-0015-0000-FFFF-FFFF1F000000}" name="cal_rsp3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3" xr16:uid="{00000000-0015-0000-FFFF-FFFF20000000}" name="cal_rsp3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4" xr16:uid="{00000000-0015-0000-FFFF-FFFF21000000}" name="cal_rsp3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5" xr16:uid="{00000000-0015-0000-FFFF-FFFF22000000}" name="cal_rsp3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6" xr16:uid="{00000000-0015-0000-FFFF-FFFF23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7" xr16:uid="{00000000-0015-0000-FFFF-FFFF24000000}" name="cal_rsp4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8" xr16:uid="{00000000-0015-0000-FFFF-FFFF25000000}" name="cal_rsp4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9" xr16:uid="{00000000-0015-0000-FFFF-FFFF26000000}" name="cal_rsp4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0" xr16:uid="{00000000-0015-0000-FFFF-FFFF27000000}" name="cal_rsp4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1" xr16:uid="{00000000-0015-0000-FFFF-FFFF28000000}" name="cal_rsp4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2" xr16:uid="{00000000-0015-0000-FFFF-FFFF29000000}" name="cal_rsp4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3" xr16:uid="{00000000-0015-0000-FFFF-FFFF2A000000}" name="cal_rsp4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4" xr16:uid="{00000000-0015-0000-FFFF-FFFF2B000000}" name="cal_rsp4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5" xr16:uid="{00000000-0015-0000-FFFF-FFFF2C000000}" name="cal_rsp4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6" xr16:uid="{00000000-0015-0000-FFFF-FFFF2D000000}" name="cal_rsp4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7" xr16:uid="{00000000-0015-0000-FFFF-FFFF2E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8" xr16:uid="{00000000-0015-0000-FFFF-FFFF2F000000}" name="cal_rsp5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9" xr16:uid="{00000000-0015-0000-FFFF-FFFF30000000}" name="cal_rsp5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0" xr16:uid="{00000000-0015-0000-FFFF-FFFF31000000}" name="cal_rsp5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1" xr16:uid="{00000000-0015-0000-FFFF-FFFF32000000}" name="cal_rsp5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2" xr16:uid="{00000000-0015-0000-FFFF-FFFF33000000}" name="cal_rsp5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3" xr16:uid="{00000000-0015-0000-FFFF-FFFF34000000}" name="cal_rsp5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4" xr16:uid="{00000000-0015-0000-FFFF-FFFF35000000}" name="cal_rsp5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5" xr16:uid="{00000000-0015-0000-FFFF-FFFF36000000}" name="cal_rsp5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6" xr16:uid="{00000000-0015-0000-FFFF-FFFF37000000}" name="cal_rsp5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7" xr16:uid="{00000000-0015-0000-FFFF-FFFF38000000}" name="cal_rsp5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8" xr16:uid="{00000000-0015-0000-FFFF-FFFF39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9" xr16:uid="{00000000-0015-0000-FFFF-FFFF3A000000}" name="cal_rsp6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0" xr16:uid="{00000000-0015-0000-FFFF-FFFF3B000000}" name="cal_rsp6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1" xr16:uid="{00000000-0015-0000-FFFF-FFFF3C000000}" name="cal_rsp6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2" xr16:uid="{00000000-0015-0000-FFFF-FFFF3D000000}" name="cal_rsp6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3" xr16:uid="{00000000-0015-0000-FFFF-FFFF3E000000}" name="cal_rsp6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4" xr16:uid="{00000000-0015-0000-FFFF-FFFF3F000000}" name="cal_rsp6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5" xr16:uid="{5CB0A989-3826-4B13-8A16-D65A3C6938F3}" name="cal_rsp6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6" xr16:uid="{00000000-0015-0000-FFFF-FFFF40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7" xr16:uid="{00000000-0015-0000-FFFF-FFFF41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8" xr16:uid="{00000000-0015-0000-FFFF-FFFF42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69" xr16:uid="{00000000-0015-0000-FFFF-FFFF43000000}" name="cal1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0" xr16:uid="{00000000-0015-0000-FFFF-FFFF44000000}" name="cal2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1" xr16:uid="{00000000-0015-0000-FFFF-FFFF45000000}" name="cal3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2" xr16:uid="{00000000-0015-0000-FFFF-FFFF46000000}" name="cal4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3" xr16:uid="{96AD4043-0679-4B91-AADB-2308CAE31F56}" name="cal5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4" xr16:uid="{00000000-0015-0000-FFFF-FFFF47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75" xr16:uid="{00000000-0015-0000-FFFF-FFFF48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76" xr16:uid="{00000000-0015-0000-FFFF-FFFF49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77" xr16:uid="{00000000-0015-0000-FFFF-FFFF4A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78" xr16:uid="{00000000-0015-0000-FFFF-FFFF4B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9" xr16:uid="{00000000-0015-0000-FFFF-FFFF4C000000}" name="r010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0" xr16:uid="{00000000-0015-0000-FFFF-FFFF4D000000}" name="r010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1" xr16:uid="{00000000-0015-0000-FFFF-FFFF4E000000}" name="r010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2" xr16:uid="{00000000-0015-0000-FFFF-FFFF4F000000}" name="r010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3" xr16:uid="{00000000-0015-0000-FFFF-FFFF50000000}" name="r010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4" xr16:uid="{00000000-0015-0000-FFFF-FFFF51000000}" name="r010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5" xr16:uid="{00000000-0015-0000-FFFF-FFFF52000000}" name="r0106" type="6" refreshedVersion="6" background="1" saveData="1">
    <textPr prompt="0" codePage="936" sourceFile="C:\Users\Matt Dion\Dropbox\MFC Systems files\Calibration files\Prime1035\ch0\r0.csv" comma="1">
      <textFields>
        <textField/>
      </textFields>
    </textPr>
  </connection>
  <connection id="86" xr16:uid="{00000000-0015-0000-FFFF-FFFF53000000}" name="r01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7" xr16:uid="{00000000-0015-0000-FFFF-FFFF54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8" xr16:uid="{00000000-0015-0000-FFFF-FFFF55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9" xr16:uid="{00000000-0015-0000-FFFF-FFFF56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0" xr16:uid="{00000000-0015-0000-FFFF-FFFF57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1" xr16:uid="{00000000-0015-0000-FFFF-FFFF58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2" xr16:uid="{00000000-0015-0000-FFFF-FFFF59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3" xr16:uid="{00000000-0015-0000-FFFF-FFFF5A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4" xr16:uid="{00000000-0015-0000-FFFF-FFFF5B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5" xr16:uid="{00000000-0015-0000-FFFF-FFFF5C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96" xr16:uid="{00000000-0015-0000-FFFF-FFFF5D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97" xr16:uid="{00000000-0015-0000-FFFF-FFFF5E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98" xr16:uid="{00000000-0015-0000-FFFF-FFFF5F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99" xr16:uid="{00000000-0015-0000-FFFF-FFFF60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100" xr16:uid="{00000000-0015-0000-FFFF-FFFF61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101" xr16:uid="{00000000-0015-0000-FFFF-FFFF62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2" xr16:uid="{00000000-0015-0000-FFFF-FFFF63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3" xr16:uid="{00000000-0015-0000-FFFF-FFFF64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4" xr16:uid="{00000000-0015-0000-FFFF-FFFF65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5" xr16:uid="{00000000-0015-0000-FFFF-FFFF66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6" xr16:uid="{00000000-0015-0000-FFFF-FFFF67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107" xr16:uid="{00000000-0015-0000-FFFF-FFFF68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08" xr16:uid="{00000000-0015-0000-FFFF-FFFF69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9" xr16:uid="{00000000-0015-0000-FFFF-FFFF6A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0" xr16:uid="{00000000-0015-0000-FFFF-FFFF6B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1" xr16:uid="{00000000-0015-0000-FFFF-FFFF6C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2" xr16:uid="{00000000-0015-0000-FFFF-FFFF6D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3" xr16:uid="{00000000-0015-0000-FFFF-FFFF6E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114" xr16:uid="{00000000-0015-0000-FFFF-FFFF6F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5" xr16:uid="{00000000-0015-0000-FFFF-FFFF70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6" xr16:uid="{00000000-0015-0000-FFFF-FFFF71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7" xr16:uid="{00000000-0015-0000-FFFF-FFFF72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8" xr16:uid="{00000000-0015-0000-FFFF-FFFF73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19" xr16:uid="{00000000-0015-0000-FFFF-FFFF74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0" xr16:uid="{00000000-0015-0000-FFFF-FFFF75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1" xr16:uid="{00000000-0015-0000-FFFF-FFFF76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2" xr16:uid="{00000000-0015-0000-FFFF-FFFF77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3" xr16:uid="{00000000-0015-0000-FFFF-FFFF78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4" xr16:uid="{00000000-0015-0000-FFFF-FFFF79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5" xr16:uid="{00000000-0015-0000-FFFF-FFFF7A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6" xr16:uid="{00000000-0015-0000-FFFF-FFFF7B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7" xr16:uid="{00000000-0015-0000-FFFF-FFFF7C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8" xr16:uid="{00000000-0015-0000-FFFF-FFFF7D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9" xr16:uid="{00000000-0015-0000-FFFF-FFFF7E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30" xr16:uid="{00000000-0015-0000-FFFF-FFFF7F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1" xr16:uid="{00000000-0015-0000-FFFF-FFFF80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2" xr16:uid="{00000000-0015-0000-FFFF-FFFF81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133" xr16:uid="{00000000-0015-0000-FFFF-FFFF82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134" xr16:uid="{00000000-0015-0000-FFFF-FFFF83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5" xr16:uid="{00000000-0015-0000-FFFF-FFFF84000000}" name="r05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6" xr16:uid="{00000000-0015-0000-FFFF-FFFF85000000}" name="r05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7" xr16:uid="{00000000-0015-0000-FFFF-FFFF86000000}" name="r05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8" xr16:uid="{00000000-0015-0000-FFFF-FFFF87000000}" name="r05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9" xr16:uid="{00000000-0015-0000-FFFF-FFFF88000000}" name="r05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0" xr16:uid="{00000000-0015-0000-FFFF-FFFF89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141" xr16:uid="{00000000-0015-0000-FFFF-FFFF8A000000}" name="r06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2" xr16:uid="{00000000-0015-0000-FFFF-FFFF8B000000}" name="r06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3" xr16:uid="{00000000-0015-0000-FFFF-FFFF8C000000}" name="r06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4" xr16:uid="{00000000-0015-0000-FFFF-FFFF8D000000}" name="r06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5" xr16:uid="{00000000-0015-0000-FFFF-FFFF8E000000}" name="r06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6" xr16:uid="{00000000-0015-0000-FFFF-FFFF8F000000}" name="r06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7" xr16:uid="{00000000-0015-0000-FFFF-FFFF90000000}" name="r06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8" xr16:uid="{00000000-0015-0000-FFFF-FFFF91000000}" name="r06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9" xr16:uid="{00000000-0015-0000-FFFF-FFFF92000000}" name="r06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0" xr16:uid="{00000000-0015-0000-FFFF-FFFF93000000}" name="r06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1" xr16:uid="{00000000-0015-0000-FFFF-FFFF94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2" xr16:uid="{00000000-0015-0000-FFFF-FFFF95000000}" name="r07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3" xr16:uid="{00000000-0015-0000-FFFF-FFFF96000000}" name="r07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4" xr16:uid="{00000000-0015-0000-FFFF-FFFF97000000}" name="r07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5" xr16:uid="{00000000-0015-0000-FFFF-FFFF98000000}" name="r07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6" xr16:uid="{00000000-0015-0000-FFFF-FFFF99000000}" name="r07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7" xr16:uid="{00000000-0015-0000-FFFF-FFFF9A000000}" name="r07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8" xr16:uid="{00000000-0015-0000-FFFF-FFFF9B000000}" name="r07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9" xr16:uid="{00000000-0015-0000-FFFF-FFFF9C000000}" name="r07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0" xr16:uid="{00000000-0015-0000-FFFF-FFFF9D000000}" name="r07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1" xr16:uid="{00000000-0015-0000-FFFF-FFFF9E000000}" name="r07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2" xr16:uid="{00000000-0015-0000-FFFF-FFFF9F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3" xr16:uid="{00000000-0015-0000-FFFF-FFFFA0000000}" name="r08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4" xr16:uid="{00000000-0015-0000-FFFF-FFFFA1000000}" name="r08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5" xr16:uid="{00000000-0015-0000-FFFF-FFFFA2000000}" name="r08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6" xr16:uid="{00000000-0015-0000-FFFF-FFFFA3000000}" name="r08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7" xr16:uid="{00000000-0015-0000-FFFF-FFFFA4000000}" name="r08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8" xr16:uid="{00000000-0015-0000-FFFF-FFFFA5000000}" name="r08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9" xr16:uid="{00000000-0015-0000-FFFF-FFFFA6000000}" name="r08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0" xr16:uid="{00000000-0015-0000-FFFF-FFFFA7000000}" name="r08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1" xr16:uid="{00000000-0015-0000-FFFF-FFFFA8000000}" name="r08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2" xr16:uid="{00000000-0015-0000-FFFF-FFFFA9000000}" name="r08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3" xr16:uid="{00000000-0015-0000-FFFF-FFFFAA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4" xr16:uid="{00000000-0015-0000-FFFF-FFFFAB000000}" name="r09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5" xr16:uid="{00000000-0015-0000-FFFF-FFFFAC000000}" name="r09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6" xr16:uid="{00000000-0015-0000-FFFF-FFFFAD000000}" name="r09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7" xr16:uid="{00000000-0015-0000-FFFF-FFFFAE000000}" name="r09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8" xr16:uid="{00000000-0015-0000-FFFF-FFFFAF000000}" name="r09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9" xr16:uid="{00000000-0015-0000-FFFF-FFFFB0000000}" name="r09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0" xr16:uid="{00000000-0015-0000-FFFF-FFFFB1000000}" name="r09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1" xr16:uid="{00000000-0015-0000-FFFF-FFFFB2000000}" name="r09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2" xr16:uid="{00000000-0015-0000-FFFF-FFFFB3000000}" name="r09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3" xr16:uid="{00000000-0015-0000-FFFF-FFFFB4000000}" name="r09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4" xr16:uid="{00000000-0015-0000-FFFF-FFFFB5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85" xr16:uid="{00000000-0015-0000-FFFF-FFFFB6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186" xr16:uid="{00000000-0015-0000-FFFF-FFFFB7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87" xr16:uid="{00000000-0015-0000-FFFF-FFFFB8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88" xr16:uid="{00000000-0015-0000-FFFF-FFFFB9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89" xr16:uid="{00000000-0015-0000-FFFF-FFFFBA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90" xr16:uid="{00000000-0015-0000-FFFF-FFFFBB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191" xr16:uid="{00000000-0015-0000-FFFF-FFFFBC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92" xr16:uid="{00000000-0015-0000-FFFF-FFFFBD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193" xr16:uid="{00000000-0015-0000-FFFF-FFFFBE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194" xr16:uid="{00000000-0015-0000-FFFF-FFFFBF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95" xr16:uid="{00000000-0015-0000-FFFF-FFFFC0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96" xr16:uid="{00000000-0015-0000-FFFF-FFFFC1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97" xr16:uid="{00000000-0015-0000-FFFF-FFFFC2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98" xr16:uid="{00000000-0015-0000-FFFF-FFFFC3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199" xr16:uid="{00000000-0015-0000-FFFF-FFFFC4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0" xr16:uid="{00000000-0015-0000-FFFF-FFFFC5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1" xr16:uid="{00000000-0015-0000-FFFF-FFFFC6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2" xr16:uid="{00000000-0015-0000-FFFF-FFFFC7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3" xr16:uid="{00000000-0015-0000-FFFF-FFFFC8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4" xr16:uid="{00000000-0015-0000-FFFF-FFFFC9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5" xr16:uid="{00000000-0015-0000-FFFF-FFFFCA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206" xr16:uid="{00000000-0015-0000-FFFF-FFFFCB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207" xr16:uid="{00000000-0015-0000-FFFF-FFFFCC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8" xr16:uid="{00000000-0015-0000-FFFF-FFFFCD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09" xr16:uid="{00000000-0015-0000-FFFF-FFFFCE000000}" name="r13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0" xr16:uid="{00000000-0015-0000-FFFF-FFFFCF000000}" name="r13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1" xr16:uid="{00000000-0015-0000-FFFF-FFFFD0000000}" name="r13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2" xr16:uid="{00000000-0015-0000-FFFF-FFFFD1000000}" name="r13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3" xr16:uid="{00000000-0015-0000-FFFF-FFFFD2000000}" name="r13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4" xr16:uid="{00000000-0015-0000-FFFF-FFFFD3000000}" name="r13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5" xr16:uid="{00000000-0015-0000-FFFF-FFFFD4000000}" name="r13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6" xr16:uid="{00000000-0015-0000-FFFF-FFFFD5000000}" name="r13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7" xr16:uid="{00000000-0015-0000-FFFF-FFFFD6000000}" name="r13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8" xr16:uid="{00000000-0015-0000-FFFF-FFFFD7000000}" name="r13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9" xr16:uid="{00000000-0015-0000-FFFF-FFFFD8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20" xr16:uid="{00000000-0015-0000-FFFF-FFFFD9000000}" name="r14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1" xr16:uid="{00000000-0015-0000-FFFF-FFFFDA000000}" name="r14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2" xr16:uid="{00000000-0015-0000-FFFF-FFFFDB000000}" name="r14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3" xr16:uid="{00000000-0015-0000-FFFF-FFFFDC000000}" name="r14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4" xr16:uid="{00000000-0015-0000-FFFF-FFFFDD000000}" name="r14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5" xr16:uid="{00000000-0015-0000-FFFF-FFFFDE000000}" name="r14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6" xr16:uid="{00000000-0015-0000-FFFF-FFFFDF000000}" name="r14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7" xr16:uid="{00000000-0015-0000-FFFF-FFFFE0000000}" name="r14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8" xr16:uid="{00000000-0015-0000-FFFF-FFFFE1000000}" name="r14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9" xr16:uid="{00000000-0015-0000-FFFF-FFFFE2000000}" name="r14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0" xr16:uid="{00000000-0015-0000-FFFF-FFFFE3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1" xr16:uid="{00000000-0015-0000-FFFF-FFFFE4000000}" name="r15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2" xr16:uid="{00000000-0015-0000-FFFF-FFFFE5000000}" name="r15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3" xr16:uid="{00000000-0015-0000-FFFF-FFFFE6000000}" name="r15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4" xr16:uid="{00000000-0015-0000-FFFF-FFFFE7000000}" name="r15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5" xr16:uid="{00000000-0015-0000-FFFF-FFFFE8000000}" name="r15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6" xr16:uid="{00000000-0015-0000-FFFF-FFFFE9000000}" name="r15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7" xr16:uid="{00000000-0015-0000-FFFF-FFFFEA000000}" name="r15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8" xr16:uid="{00000000-0015-0000-FFFF-FFFFEB000000}" name="r15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9" xr16:uid="{00000000-0015-0000-FFFF-FFFFEC000000}" name="r15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0" xr16:uid="{00000000-0015-0000-FFFF-FFFFED000000}" name="r15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1" xr16:uid="{00000000-0015-0000-FFFF-FFFFEE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2" xr16:uid="{00000000-0015-0000-FFFF-FFFFEF000000}" name="r16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3" xr16:uid="{00000000-0015-0000-FFFF-FFFFF0000000}" name="r16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4" xr16:uid="{00000000-0015-0000-FFFF-FFFFF1000000}" name="r16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5" xr16:uid="{00000000-0015-0000-FFFF-FFFFF2000000}" name="r16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6" xr16:uid="{00000000-0015-0000-FFFF-FFFFF3000000}" name="r16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7" xr16:uid="{00000000-0015-0000-FFFF-FFFFF4000000}" name="r16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8" xr16:uid="{00000000-0015-0000-FFFF-FFFFF5000000}" name="r16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9" xr16:uid="{00000000-0015-0000-FFFF-FFFFF6000000}" name="r16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0" xr16:uid="{00000000-0015-0000-FFFF-FFFFF7000000}" name="r16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1" xr16:uid="{00000000-0015-0000-FFFF-FFFFF8000000}" name="r16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2" xr16:uid="{00000000-0015-0000-FFFF-FFFFF9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3" xr16:uid="{00000000-0015-0000-FFFF-FFFFFA000000}" name="r17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4" xr16:uid="{00000000-0015-0000-FFFF-FFFFFB000000}" name="r17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5" xr16:uid="{00000000-0015-0000-FFFF-FFFFFC000000}" name="r17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6" xr16:uid="{00000000-0015-0000-FFFF-FFFFFD000000}" name="r17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7" xr16:uid="{00000000-0015-0000-FFFF-FFFFFE000000}" name="r17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8" xr16:uid="{00000000-0015-0000-FFFF-FFFFFF000000}" name="r175" type="6" refreshedVersion="6" background="1" saveData="1">
    <textPr prompt="0" codePage="936" sourceFile="C:\Users\Matt Dion\Dropbox\MFC Systems files\Calibration files\Prime1035\ch0\r1.csv" comma="1">
      <textFields>
        <textField/>
      </textFields>
    </textPr>
  </connection>
  <connection id="259" xr16:uid="{00000000-0015-0000-FFFF-FFFF00010000}" name="r17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0" xr16:uid="{00000000-0015-0000-FFFF-FFFF0101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1" xr16:uid="{00000000-0015-0000-FFFF-FFFF0201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2" xr16:uid="{00000000-0015-0000-FFFF-FFFF0301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63" xr16:uid="{00000000-0015-0000-FFFF-FFFF0401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264" xr16:uid="{00000000-0015-0000-FFFF-FFFF0501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265" xr16:uid="{00000000-0015-0000-FFFF-FFFF0601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66" xr16:uid="{00000000-0015-0000-FFFF-FFFF0701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67" xr16:uid="{00000000-0015-0000-FFFF-FFFF0801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68" xr16:uid="{00000000-0015-0000-FFFF-FFFF0901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69" xr16:uid="{00000000-0015-0000-FFFF-FFFF0A01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0" xr16:uid="{00000000-0015-0000-FFFF-FFFF0B01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271" xr16:uid="{00000000-0015-0000-FFFF-FFFF0C01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272" xr16:uid="{00000000-0015-0000-FFFF-FFFF0D01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273" xr16:uid="{00000000-0015-0000-FFFF-FFFF0E01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274" xr16:uid="{00000000-0015-0000-FFFF-FFFF0F01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275" xr16:uid="{00000000-0015-0000-FFFF-FFFF1001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6" xr16:uid="{00000000-0015-0000-FFFF-FFFF1101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77" xr16:uid="{00000000-0015-0000-FFFF-FFFF1201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8" xr16:uid="{00000000-0015-0000-FFFF-FFFF1301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9" xr16:uid="{00000000-0015-0000-FFFF-FFFF1401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280" xr16:uid="{00000000-0015-0000-FFFF-FFFF1501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1" xr16:uid="{00000000-0015-0000-FFFF-FFFF1601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2" xr16:uid="{00000000-0015-0000-FFFF-FFFF1701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3" xr16:uid="{00000000-0015-0000-FFFF-FFFF1801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4" xr16:uid="{00000000-0015-0000-FFFF-FFFF1901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5" xr16:uid="{00000000-0015-0000-FFFF-FFFF1A01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6" xr16:uid="{00000000-0015-0000-FFFF-FFFF1B01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7" xr16:uid="{00000000-0015-0000-FFFF-FFFF1C01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88" xr16:uid="{00000000-0015-0000-FFFF-FFFF1D01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289" xr16:uid="{00000000-0015-0000-FFFF-FFFF1E01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290" xr16:uid="{00000000-0015-0000-FFFF-FFFF1F01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1" xr16:uid="{00000000-0015-0000-FFFF-FFFF20010000}" name="r23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2" xr16:uid="{00000000-0015-0000-FFFF-FFFF21010000}" name="r23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3" xr16:uid="{00000000-0015-0000-FFFF-FFFF22010000}" name="r23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4" xr16:uid="{00000000-0015-0000-FFFF-FFFF23010000}" name="r23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5" xr16:uid="{00000000-0015-0000-FFFF-FFFF24010000}" name="r23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6" xr16:uid="{00000000-0015-0000-FFFF-FFFF25010000}" name="r23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7" xr16:uid="{00000000-0015-0000-FFFF-FFFF26010000}" name="r23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8" xr16:uid="{00000000-0015-0000-FFFF-FFFF2701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9" xr16:uid="{00000000-0015-0000-FFFF-FFFF28010000}" name="r24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0" xr16:uid="{00000000-0015-0000-FFFF-FFFF29010000}" name="r24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1" xr16:uid="{00000000-0015-0000-FFFF-FFFF2A010000}" name="r24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2" xr16:uid="{00000000-0015-0000-FFFF-FFFF2B010000}" name="r24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3" xr16:uid="{00000000-0015-0000-FFFF-FFFF2C010000}" name="r24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4" xr16:uid="{00000000-0015-0000-FFFF-FFFF2D010000}" name="r24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5" xr16:uid="{00000000-0015-0000-FFFF-FFFF2E010000}" name="r24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6" xr16:uid="{00000000-0015-0000-FFFF-FFFF2F010000}" name="r24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7" xr16:uid="{00000000-0015-0000-FFFF-FFFF30010000}" name="r24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8" xr16:uid="{00000000-0015-0000-FFFF-FFFF31010000}" name="r24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9" xr16:uid="{00000000-0015-0000-FFFF-FFFF3201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0" xr16:uid="{00000000-0015-0000-FFFF-FFFF33010000}" name="r25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1" xr16:uid="{00000000-0015-0000-FFFF-FFFF34010000}" name="r25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2" xr16:uid="{00000000-0015-0000-FFFF-FFFF35010000}" name="r25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3" xr16:uid="{00000000-0015-0000-FFFF-FFFF36010000}" name="r25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4" xr16:uid="{00000000-0015-0000-FFFF-FFFF37010000}" name="r25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5" xr16:uid="{00000000-0015-0000-FFFF-FFFF38010000}" name="r25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6" xr16:uid="{00000000-0015-0000-FFFF-FFFF39010000}" name="r25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7" xr16:uid="{00000000-0015-0000-FFFF-FFFF3A010000}" name="r25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8" xr16:uid="{00000000-0015-0000-FFFF-FFFF3B010000}" name="r25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9" xr16:uid="{00000000-0015-0000-FFFF-FFFF3C010000}" name="r25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0" xr16:uid="{00000000-0015-0000-FFFF-FFFF3D01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1" xr16:uid="{00000000-0015-0000-FFFF-FFFF3E010000}" name="r26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2" xr16:uid="{00000000-0015-0000-FFFF-FFFF3F010000}" name="r26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3" xr16:uid="{00000000-0015-0000-FFFF-FFFF40010000}" name="r26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4" xr16:uid="{00000000-0015-0000-FFFF-FFFF41010000}" name="r26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5" xr16:uid="{00000000-0015-0000-FFFF-FFFF42010000}" name="r26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6" xr16:uid="{00000000-0015-0000-FFFF-FFFF43010000}" name="r26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7" xr16:uid="{00000000-0015-0000-FFFF-FFFF44010000}" name="r26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8" xr16:uid="{00000000-0015-0000-FFFF-FFFF45010000}" name="r26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9" xr16:uid="{00000000-0015-0000-FFFF-FFFF46010000}" name="r26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0" xr16:uid="{00000000-0015-0000-FFFF-FFFF47010000}" name="r26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1" xr16:uid="{00000000-0015-0000-FFFF-FFFF4801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2" xr16:uid="{00000000-0015-0000-FFFF-FFFF49010000}" name="r27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3" xr16:uid="{00000000-0015-0000-FFFF-FFFF4A010000}" name="r27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4" xr16:uid="{00000000-0015-0000-FFFF-FFFF4B010000}" name="r27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5" xr16:uid="{00000000-0015-0000-FFFF-FFFF4C010000}" name="r27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6" xr16:uid="{00000000-0015-0000-FFFF-FFFF4D010000}" name="r27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7" xr16:uid="{00000000-0015-0000-FFFF-FFFF4E010000}" name="r275" type="6" refreshedVersion="6" background="1" saveData="1">
    <textPr prompt="0" codePage="936" sourceFile="C:\Users\Matt Dion\Dropbox\MFC Systems files\Calibration files\Prime1035\ch0\r2.csv" comma="1">
      <textFields>
        <textField/>
      </textFields>
    </textPr>
  </connection>
  <connection id="338" xr16:uid="{00000000-0015-0000-FFFF-FFFF4F010000}" name="r27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9" xr16:uid="{00000000-0015-0000-FFFF-FFFF5001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0" xr16:uid="{00000000-0015-0000-FFFF-FFFF5101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1" xr16:uid="{00000000-0015-0000-FFFF-FFFF5201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342" xr16:uid="{00000000-0015-0000-FFFF-FFFF5301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343" xr16:uid="{00000000-0015-0000-FFFF-FFFF5401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344" xr16:uid="{00000000-0015-0000-FFFF-FFFF5501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45" xr16:uid="{00000000-0015-0000-FFFF-FFFF56010000}" name="r310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46" xr16:uid="{00000000-0015-0000-FFFF-FFFF57010000}" name="r3101" type="6" refreshedVersion="6" background="1" saveData="1">
    <textPr prompt="0" codePage="936" sourceFile="C:\Users\Matt Dion\Dropbox\MFC Systems files\Calibration files\Prime1035\ch0\r3.csv" comma="1">
      <textFields>
        <textField/>
      </textFields>
    </textPr>
  </connection>
  <connection id="347" xr16:uid="{00000000-0015-0000-FFFF-FFFF58010000}" name="r310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48" xr16:uid="{00000000-0015-0000-FFFF-FFFF5901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49" xr16:uid="{00000000-0015-0000-FFFF-FFFF5A01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0" xr16:uid="{00000000-0015-0000-FFFF-FFFF5B01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1" xr16:uid="{00000000-0015-0000-FFFF-FFFF5C01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2" xr16:uid="{00000000-0015-0000-FFFF-FFFF5D01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3" xr16:uid="{00000000-0015-0000-FFFF-FFFF5E01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4" xr16:uid="{00000000-0015-0000-FFFF-FFFF5F01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5" xr16:uid="{00000000-0015-0000-FFFF-FFFF6001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6" xr16:uid="{00000000-0015-0000-FFFF-FFFF6101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7" xr16:uid="{00000000-0015-0000-FFFF-FFFF6201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8" xr16:uid="{00000000-0015-0000-FFFF-FFFF6301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9" xr16:uid="{00000000-0015-0000-FFFF-FFFF6401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0" xr16:uid="{00000000-0015-0000-FFFF-FFFF6501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1" xr16:uid="{00000000-0015-0000-FFFF-FFFF6601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2" xr16:uid="{00000000-0015-0000-FFFF-FFFF6701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3" xr16:uid="{00000000-0015-0000-FFFF-FFFF6801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4" xr16:uid="{00000000-0015-0000-FFFF-FFFF6901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5" xr16:uid="{00000000-0015-0000-FFFF-FFFF6A01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66" xr16:uid="{00000000-0015-0000-FFFF-FFFF6B01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67" xr16:uid="{00000000-0015-0000-FFFF-FFFF6C01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68" xr16:uid="{00000000-0015-0000-FFFF-FFFF6D01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9" xr16:uid="{00000000-0015-0000-FFFF-FFFF6E01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0" xr16:uid="{00000000-0015-0000-FFFF-FFFF6F01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1" xr16:uid="{00000000-0015-0000-FFFF-FFFF7001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2" xr16:uid="{00000000-0015-0000-FFFF-FFFF7101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3" xr16:uid="{00000000-0015-0000-FFFF-FFFF7201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4" xr16:uid="{00000000-0015-0000-FFFF-FFFF7301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75" xr16:uid="{00000000-0015-0000-FFFF-FFFF7401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76" xr16:uid="{00000000-0015-0000-FFFF-FFFF7501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377" xr16:uid="{00000000-0015-0000-FFFF-FFFF7601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78" xr16:uid="{00000000-0015-0000-FFFF-FFFF7701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379" xr16:uid="{00000000-0015-0000-FFFF-FFFF7801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80" xr16:uid="{00000000-0015-0000-FFFF-FFFF7901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381" xr16:uid="{00000000-0015-0000-FFFF-FFFF7A01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2" xr16:uid="{00000000-0015-0000-FFFF-FFFF7B01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3" xr16:uid="{00000000-0015-0000-FFFF-FFFF7C01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4" xr16:uid="{00000000-0015-0000-FFFF-FFFF7D01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385" xr16:uid="{00000000-0015-0000-FFFF-FFFF7E01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6" xr16:uid="{00000000-0015-0000-FFFF-FFFF7F01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7" xr16:uid="{00000000-0015-0000-FFFF-FFFF8001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8" xr16:uid="{00000000-0015-0000-FFFF-FFFF8101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389" xr16:uid="{00000000-0015-0000-FFFF-FFFF8201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390" xr16:uid="{00000000-0015-0000-FFFF-FFFF8301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91" xr16:uid="{00000000-0015-0000-FFFF-FFFF8401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2" xr16:uid="{00000000-0015-0000-FFFF-FFFF85010000}" name="r35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3" xr16:uid="{00000000-0015-0000-FFFF-FFFF86010000}" name="r35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4" xr16:uid="{00000000-0015-0000-FFFF-FFFF87010000}" name="r35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5" xr16:uid="{00000000-0015-0000-FFFF-FFFF88010000}" name="r35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6" xr16:uid="{00000000-0015-0000-FFFF-FFFF89010000}" name="r35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7" xr16:uid="{00000000-0015-0000-FFFF-FFFF8A010000}" name="r35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8" xr16:uid="{00000000-0015-0000-FFFF-FFFF8B010000}" name="r35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9" xr16:uid="{00000000-0015-0000-FFFF-FFFF8C010000}" name="r35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0" xr16:uid="{00000000-0015-0000-FFFF-FFFF8D010000}" name="r35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1" xr16:uid="{00000000-0015-0000-FFFF-FFFF8E01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02" xr16:uid="{00000000-0015-0000-FFFF-FFFF8F010000}" name="r36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3" xr16:uid="{00000000-0015-0000-FFFF-FFFF90010000}" name="r36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4" xr16:uid="{00000000-0015-0000-FFFF-FFFF91010000}" name="r36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5" xr16:uid="{00000000-0015-0000-FFFF-FFFF92010000}" name="r36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6" xr16:uid="{00000000-0015-0000-FFFF-FFFF93010000}" name="r36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7" xr16:uid="{00000000-0015-0000-FFFF-FFFF94010000}" name="r36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8" xr16:uid="{00000000-0015-0000-FFFF-FFFF95010000}" name="r36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9" xr16:uid="{00000000-0015-0000-FFFF-FFFF96010000}" name="r36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0" xr16:uid="{00000000-0015-0000-FFFF-FFFF97010000}" name="r36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1" xr16:uid="{00000000-0015-0000-FFFF-FFFF98010000}" name="r36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2" xr16:uid="{00000000-0015-0000-FFFF-FFFF9901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13" xr16:uid="{00000000-0015-0000-FFFF-FFFF9A010000}" name="r37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4" xr16:uid="{00000000-0015-0000-FFFF-FFFF9B010000}" name="r37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5" xr16:uid="{00000000-0015-0000-FFFF-FFFF9C010000}" name="r37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6" xr16:uid="{00000000-0015-0000-FFFF-FFFF9D010000}" name="r37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7" xr16:uid="{00000000-0015-0000-FFFF-FFFF9E010000}" name="r37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8" xr16:uid="{00000000-0015-0000-FFFF-FFFF9F010000}" name="r37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9" xr16:uid="{00000000-0015-0000-FFFF-FFFFA0010000}" name="r37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0" xr16:uid="{00000000-0015-0000-FFFF-FFFFA1010000}" name="r37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1" xr16:uid="{00000000-0015-0000-FFFF-FFFFA2010000}" name="r37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2" xr16:uid="{00000000-0015-0000-FFFF-FFFFA3010000}" name="r37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3" xr16:uid="{00000000-0015-0000-FFFF-FFFFA401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24" xr16:uid="{00000000-0015-0000-FFFF-FFFFA5010000}" name="r38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5" xr16:uid="{00000000-0015-0000-FFFF-FFFFA6010000}" name="r38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6" xr16:uid="{00000000-0015-0000-FFFF-FFFFA7010000}" name="r38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7" xr16:uid="{00000000-0015-0000-FFFF-FFFFA8010000}" name="r38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8" xr16:uid="{00000000-0015-0000-FFFF-FFFFA9010000}" name="r38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9" xr16:uid="{00000000-0015-0000-FFFF-FFFFAA010000}" name="r38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0" xr16:uid="{00000000-0015-0000-FFFF-FFFFAB010000}" name="r38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1" xr16:uid="{00000000-0015-0000-FFFF-FFFFAC010000}" name="r38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2" xr16:uid="{00000000-0015-0000-FFFF-FFFFAD010000}" name="r38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3" xr16:uid="{00000000-0015-0000-FFFF-FFFFAE010000}" name="r38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4" xr16:uid="{00000000-0015-0000-FFFF-FFFFAF01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35" xr16:uid="{00000000-0015-0000-FFFF-FFFFB0010000}" name="r39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6" xr16:uid="{00000000-0015-0000-FFFF-FFFFB101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37" xr16:uid="{00000000-0015-0000-FFFF-FFFFB2010000}" name="r39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8" xr16:uid="{00000000-0015-0000-FFFF-FFFFB3010000}" name="r39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9" xr16:uid="{00000000-0015-0000-FFFF-FFFFB4010000}" name="r39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0" xr16:uid="{00000000-0015-0000-FFFF-FFFFB5010000}" name="r39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1" xr16:uid="{00000000-0015-0000-FFFF-FFFFB6010000}" name="r39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2" xr16:uid="{00000000-0015-0000-FFFF-FFFFB7010000}" name="r39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3" xr16:uid="{00000000-0015-0000-FFFF-FFFFB8010000}" name="r39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4" xr16:uid="{00000000-0015-0000-FFFF-FFFFB9010000}" name="r39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5" xr16:uid="{00000000-0015-0000-FFFF-FFFFBA010000}" name="r4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46" xr16:uid="{00000000-0015-0000-FFFF-FFFFBB010000}" name="r41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47" xr16:uid="{00000000-0015-0000-FFFF-FFFFBC010000}" name="r42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48" xr16:uid="{00000000-0015-0000-FFFF-FFFFBD010000}" name="r43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49" xr16:uid="{00000000-0015-0000-FFFF-FFFFBE010000}" name="r44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0" xr16:uid="{00000000-0015-0000-FFFF-FFFFBF010000}" name="r45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1" xr16:uid="{00000000-0015-0000-FFFF-FFFFC0010000}" name="r5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52" xr16:uid="{00000000-0015-0000-FFFF-FFFFC1010000}" name="r51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53" xr16:uid="{00000000-0015-0000-FFFF-FFFFC2010000}" name="r52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54" xr16:uid="{00000000-0015-0000-FFFF-FFFFC3010000}" name="r53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55" xr16:uid="{00000000-0015-0000-FFFF-FFFFC4010000}" name="r6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56" xr16:uid="{00000000-0015-0000-FFFF-FFFFC5010000}" name="r61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57" xr16:uid="{00000000-0015-0000-FFFF-FFFFC6010000}" name="r62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58" xr16:uid="{00000000-0015-0000-FFFF-FFFFC7010000}" name="r63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59" xr16:uid="{00000000-0015-0000-FFFF-FFFFC8010000}" name="r64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60" xr16:uid="{00000000-0015-0000-FFFF-FFFFC9010000}" name="r7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61" xr16:uid="{00000000-0015-0000-FFFF-FFFFCA010000}" name="r71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62" xr16:uid="{00000000-0015-0000-FFFF-FFFFCB010000}" name="r72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63" xr16:uid="{00000000-0015-0000-FFFF-FFFFCC010000}" name="r73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64" xr16:uid="{00000000-0015-0000-FFFF-FFFFCD010000}" name="r74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65" xr16:uid="{00000000-0015-0000-FFFF-FFFFCE01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66" xr16:uid="{00000000-0015-0000-FFFF-FFFFCF01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67" xr16:uid="{00000000-0015-0000-FFFF-FFFFD001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468" xr16:uid="{00000000-0015-0000-FFFF-FFFFD1010000}" name="v10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69" xr16:uid="{00000000-0015-0000-FFFF-FFFFD2010000}" name="v10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0" xr16:uid="{00000000-0015-0000-FFFF-FFFFD3010000}" name="v10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1" xr16:uid="{00000000-0015-0000-FFFF-FFFFD4010000}" name="v10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2" xr16:uid="{00000000-0015-0000-FFFF-FFFFD5010000}" name="v10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3" xr16:uid="{00000000-0015-0000-FFFF-FFFFD6010000}" name="v10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4" xr16:uid="{00000000-0015-0000-FFFF-FFFFD7010000}" name="v10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5" xr16:uid="{00000000-0015-0000-FFFF-FFFFD8010000}" name="v10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6" xr16:uid="{00000000-0015-0000-FFFF-FFFFD9010000}" name="v10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7" xr16:uid="{00000000-0015-0000-FFFF-FFFFDA010000}" name="v10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8" xr16:uid="{00000000-0015-0000-FFFF-FFFFDB01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9" xr16:uid="{00000000-0015-0000-FFFF-FFFFDC010000}" name="v11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0" xr16:uid="{00000000-0015-0000-FFFF-FFFFDD010000}" name="v1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1" xr16:uid="{00000000-0015-0000-FFFF-FFFFDE010000}" name="v11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2" xr16:uid="{00000000-0015-0000-FFFF-FFFFDF010000}" name="v11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3" xr16:uid="{00000000-0015-0000-FFFF-FFFFE0010000}" name="v11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4" xr16:uid="{00000000-0015-0000-FFFF-FFFFE1010000}" name="v11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5" xr16:uid="{00000000-0015-0000-FFFF-FFFFE2010000}" name="v11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6" xr16:uid="{00000000-0015-0000-FFFF-FFFFE3010000}" name="v11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7" xr16:uid="{00000000-0015-0000-FFFF-FFFFE4010000}" name="v11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8" xr16:uid="{00000000-0015-0000-FFFF-FFFFE5010000}" name="v1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9" xr16:uid="{00000000-0015-0000-FFFF-FFFFE601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90" xr16:uid="{00000000-0015-0000-FFFF-FFFFE7010000}" name="v1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1" xr16:uid="{00000000-0015-0000-FFFF-FFFFE8010000}" name="v1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2" xr16:uid="{00000000-0015-0000-FFFF-FFFFE9010000}" name="v12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3" xr16:uid="{00000000-0015-0000-FFFF-FFFFEA010000}" name="v1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4" xr16:uid="{00000000-0015-0000-FFFF-FFFFEB010000}" name="v1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5" xr16:uid="{00000000-0015-0000-FFFF-FFFFEC010000}" name="v1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6" xr16:uid="{00000000-0015-0000-FFFF-FFFFED010000}" name="v1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7" xr16:uid="{00000000-0015-0000-FFFF-FFFFEE010000}" name="v1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8" xr16:uid="{00000000-0015-0000-FFFF-FFFFEF010000}" name="v1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9" xr16:uid="{00000000-0015-0000-FFFF-FFFFF0010000}" name="v1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0" xr16:uid="{00000000-0015-0000-FFFF-FFFFF101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01" xr16:uid="{00000000-0015-0000-FFFF-FFFFF2010000}" name="v1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2" xr16:uid="{00000000-0015-0000-FFFF-FFFFF3010000}" name="v1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3" xr16:uid="{00000000-0015-0000-FFFF-FFFFF4010000}" name="v13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4" xr16:uid="{00000000-0015-0000-FFFF-FFFFF5010000}" name="v1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5" xr16:uid="{00000000-0015-0000-FFFF-FFFFF6010000}" name="v1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6" xr16:uid="{00000000-0015-0000-FFFF-FFFFF7010000}" name="v1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7" xr16:uid="{00000000-0015-0000-FFFF-FFFFF8010000}" name="v1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8" xr16:uid="{00000000-0015-0000-FFFF-FFFFF9010000}" name="v1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9" xr16:uid="{00000000-0015-0000-FFFF-FFFFFA010000}" name="v1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0" xr16:uid="{00000000-0015-0000-FFFF-FFFFFB010000}" name="v1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1" xr16:uid="{00000000-0015-0000-FFFF-FFFFFC01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12" xr16:uid="{00000000-0015-0000-FFFF-FFFFFD010000}" name="v1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3" xr16:uid="{00000000-0015-0000-FFFF-FFFFFE010000}" name="v1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4" xr16:uid="{00000000-0015-0000-FFFF-FFFFFF010000}" name="v14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5" xr16:uid="{00000000-0015-0000-FFFF-FFFF00020000}" name="v1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6" xr16:uid="{00000000-0015-0000-FFFF-FFFF01020000}" name="v14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7" xr16:uid="{00000000-0015-0000-FFFF-FFFF02020000}" name="v14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8" xr16:uid="{00000000-0015-0000-FFFF-FFFF03020000}" name="v146" type="6" refreshedVersion="6" background="1" saveData="1">
    <textPr prompt="0" codePage="936" sourceFile="C:\Users\Matt Dion\Dropbox\MFC Systems files\Calibration files\Prime1035\ch0\v.csv" comma="1">
      <textFields>
        <textField/>
      </textFields>
    </textPr>
  </connection>
  <connection id="519" xr16:uid="{00000000-0015-0000-FFFF-FFFF04020000}" name="v147" type="6" refreshedVersion="6" background="1" saveData="1">
    <textPr prompt="0" codePage="936" sourceFile="C:\Users\Matt Dion\Dropbox\MFC Systems files\Calibration files\Prime1035\ch0\v.csv" comma="1">
      <textFields>
        <textField/>
      </textFields>
    </textPr>
  </connection>
  <connection id="520" xr16:uid="{00000000-0015-0000-FFFF-FFFF05020000}" name="v14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1" xr16:uid="{00000000-0015-0000-FFFF-FFFF0602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22" xr16:uid="{00000000-0015-0000-FFFF-FFFF0702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23" xr16:uid="{00000000-0015-0000-FFFF-FFFF0802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524" xr16:uid="{00000000-0015-0000-FFFF-FFFF0902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525" xr16:uid="{00000000-0015-0000-FFFF-FFFF0A02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6" xr16:uid="{00000000-0015-0000-FFFF-FFFF0B02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527" xr16:uid="{00000000-0015-0000-FFFF-FFFF0C02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8" xr16:uid="{00000000-0015-0000-FFFF-FFFF0D02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9" xr16:uid="{00000000-0015-0000-FFFF-FFFF0E02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530" xr16:uid="{00000000-0015-0000-FFFF-FFFF0F02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1" xr16:uid="{00000000-0015-0000-FFFF-FFFF1002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2" xr16:uid="{00000000-0015-0000-FFFF-FFFF1102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3" xr16:uid="{00000000-0015-0000-FFFF-FFFF1202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4" xr16:uid="{00000000-0015-0000-FFFF-FFFF1302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5" xr16:uid="{00000000-0015-0000-FFFF-FFFF1402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6" xr16:uid="{00000000-0015-0000-FFFF-FFFF1502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7" xr16:uid="{00000000-0015-0000-FFFF-FFFF1602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38" xr16:uid="{00000000-0015-0000-FFFF-FFFF1702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9" xr16:uid="{00000000-0015-0000-FFFF-FFFF1802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0" xr16:uid="{00000000-0015-0000-FFFF-FFFF1902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41" xr16:uid="{00000000-0015-0000-FFFF-FFFF1A02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2" xr16:uid="{00000000-0015-0000-FFFF-FFFF1B02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3" xr16:uid="{00000000-0015-0000-FFFF-FFFF1C02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4" xr16:uid="{00000000-0015-0000-FFFF-FFFF1D02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5" xr16:uid="{00000000-0015-0000-FFFF-FFFF1E02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6" xr16:uid="{00000000-0015-0000-FFFF-FFFF1F02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7" xr16:uid="{00000000-0015-0000-FFFF-FFFF2002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8" xr16:uid="{00000000-0015-0000-FFFF-FFFF2102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49" xr16:uid="{00000000-0015-0000-FFFF-FFFF2202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0" xr16:uid="{00000000-0015-0000-FFFF-FFFF2302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1" xr16:uid="{00000000-0015-0000-FFFF-FFFF2402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52" xr16:uid="{00000000-0015-0000-FFFF-FFFF2502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3" xr16:uid="{00000000-0015-0000-FFFF-FFFF2602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554" xr16:uid="{00000000-0015-0000-FFFF-FFFF2702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555" xr16:uid="{00000000-0015-0000-FFFF-FFFF2802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556" xr16:uid="{00000000-0015-0000-FFFF-FFFF2902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557" xr16:uid="{00000000-0015-0000-FFFF-FFFF2A02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558" xr16:uid="{00000000-0015-0000-FFFF-FFFF2B02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559" xr16:uid="{00000000-0015-0000-FFFF-FFFF2C02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60" xr16:uid="{00000000-0015-0000-FFFF-FFFF2D020000}" name="v50" type="6" refreshedVersion="6" background="1" saveData="1">
    <textPr prompt="0" codePage="936" sourceFile="C:\Users\mattc\Documents\v.csv" comma="1">
      <textFields>
        <textField/>
      </textFields>
    </textPr>
  </connection>
  <connection id="561" xr16:uid="{00000000-0015-0000-FFFF-FFFF2E02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2" xr16:uid="{00000000-0015-0000-FFFF-FFFF2F02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63" xr16:uid="{00000000-0015-0000-FFFF-FFFF3002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4" xr16:uid="{00000000-0015-0000-FFFF-FFFF3102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5" xr16:uid="{00000000-0015-0000-FFFF-FFFF3202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6" xr16:uid="{00000000-0015-0000-FFFF-FFFF3302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7" xr16:uid="{00000000-0015-0000-FFFF-FFFF3402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568" xr16:uid="{00000000-0015-0000-FFFF-FFFF3502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9" xr16:uid="{00000000-0015-0000-FFFF-FFFF3602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0" xr16:uid="{00000000-0015-0000-FFFF-FFFF3702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71" xr16:uid="{00000000-0015-0000-FFFF-FFFF3802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2" xr16:uid="{00000000-0015-0000-FFFF-FFFF3902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3" xr16:uid="{00000000-0015-0000-FFFF-FFFF3A02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74" xr16:uid="{00000000-0015-0000-FFFF-FFFF3B02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5" xr16:uid="{00000000-0015-0000-FFFF-FFFF3C02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6" xr16:uid="{00000000-0015-0000-FFFF-FFFF3D02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7" xr16:uid="{00000000-0015-0000-FFFF-FFFF3E02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8" xr16:uid="{00000000-0015-0000-FFFF-FFFF3F02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9" xr16:uid="{00000000-0015-0000-FFFF-FFFF4002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0" xr16:uid="{00000000-0015-0000-FFFF-FFFF4102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1" xr16:uid="{00000000-0015-0000-FFFF-FFFF4202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82" xr16:uid="{00000000-0015-0000-FFFF-FFFF4302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3" xr16:uid="{00000000-0015-0000-FFFF-FFFF4402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584" xr16:uid="{00000000-0015-0000-FFFF-FFFF4502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585" xr16:uid="{00000000-0015-0000-FFFF-FFFF4602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586" xr16:uid="{00000000-0015-0000-FFFF-FFFF4702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7" xr16:uid="{00000000-0015-0000-FFFF-FFFF4802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8" xr16:uid="{00000000-0015-0000-FFFF-FFFF4902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89" xr16:uid="{00000000-0015-0000-FFFF-FFFF4A02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0" xr16:uid="{00000000-0015-0000-FFFF-FFFF4B02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1" xr16:uid="{00000000-0015-0000-FFFF-FFFF4C02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2" xr16:uid="{00000000-0015-0000-FFFF-FFFF4D02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3" xr16:uid="{00000000-0015-0000-FFFF-FFFF4E02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4" xr16:uid="{00000000-0015-0000-FFFF-FFFF4F02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5" xr16:uid="{00000000-0015-0000-FFFF-FFFF5002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6" xr16:uid="{00000000-0015-0000-FFFF-FFFF5102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7" xr16:uid="{00000000-0015-0000-FFFF-FFFF5202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8" xr16:uid="{00000000-0015-0000-FFFF-FFFF5302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9" xr16:uid="{00000000-0015-0000-FFFF-FFFF5402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0" xr16:uid="{00000000-0015-0000-FFFF-FFFF5502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1" xr16:uid="{00000000-0015-0000-FFFF-FFFF5602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2" xr16:uid="{00000000-0015-0000-FFFF-FFFF57020000}" name="v8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3" xr16:uid="{00000000-0015-0000-FFFF-FFFF5802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604" xr16:uid="{00000000-0015-0000-FFFF-FFFF59020000}" name="v9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5" xr16:uid="{00000000-0015-0000-FFFF-FFFF5A020000}" name="v9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6" xr16:uid="{00000000-0015-0000-FFFF-FFFF5B020000}" name="v9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7" xr16:uid="{00000000-0015-0000-FFFF-FFFF5C020000}" name="v9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8" xr16:uid="{00000000-0015-0000-FFFF-FFFF5D020000}" name="v9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9" xr16:uid="{00000000-0015-0000-FFFF-FFFF5E020000}" name="v9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0" xr16:uid="{00000000-0015-0000-FFFF-FFFF5F020000}" name="v9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1" xr16:uid="{00000000-0015-0000-FFFF-FFFF60020000}" name="v9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2" xr16:uid="{00000000-0015-0000-FFFF-FFFF61020000}" name="v9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3" xr16:uid="{00000000-0015-0000-FFFF-FFFF62020000}" name="v9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4" xr16:uid="{00000000-0015-0000-FFFF-FFFF6302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<sst xmlns="http://schemas.openxmlformats.org/spreadsheetml/2006/main" count="472" uniqueCount="216">
  <si>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</si>
  <si>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</si>
  <si>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</si>
  <si>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</si>
  <si>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</si>
  <si>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</si>
  <si>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</si>
  <si>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</si>
  <si>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</si>
  <si>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</si>
  <si>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</si>
  <si>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</si>
  <si>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</si>
  <si>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</si>
  <si>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</si>
  <si>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</si>
  <si>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</si>
  <si>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</si>
  <si>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</si>
  <si>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</si>
  <si>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</si>
  <si>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</si>
  <si>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</si>
  <si>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</si>
  <si>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</si>
  <si>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</si>
  <si>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</si>
  <si>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</si>
  <si>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</si>
  <si>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</si>
  <si>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</si>
  <si>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</si>
  <si>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</si>
  <si>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</si>
  <si>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</si>
  <si>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</si>
  <si>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</si>
  <si>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</si>
  <si>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</si>
  <si>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</si>
  <si>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</si>
  <si>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</si>
  <si>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</si>
  <si>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</si>
  <si>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</si>
  <si>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</si>
  <si>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</si>
  <si>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</si>
  <si>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</si>
  <si>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</si>
  <si>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</si>
  <si>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</si>
  <si>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</si>
  <si>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</si>
  <si>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</si>
  <si>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</si>
  <si>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</si>
  <si>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</si>
  <si>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</si>
  <si>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</si>
  <si>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</si>
  <si>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</si>
  <si>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</si>
  <si>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</si>
  <si>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</si>
  <si>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</si>
  <si>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</si>
  <si>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</si>
  <si>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</si>
  <si>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</si>
  <si>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</si>
  <si>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</si>
  <si>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</si>
  <si>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</si>
  <si>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</si>
  <si>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</si>
  <si>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</si>
  <si>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</si>
  <si>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</si>
  <si>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</si>
  <si>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</si>
  <si>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</si>
  <si>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</si>
  <si>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</si>
  <si>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</si>
  <si>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</si>
  <si>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</si>
  <si>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</si>
  <si>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</si>
  <si>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</si>
  <si>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</si>
  <si>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</si>
  <si>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</si>
  <si>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</si>
  <si>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</si>
  <si>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</si>
  <si>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</si>
  <si>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</si>
  <si>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</si>
  <si>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</si>
  <si>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</si>
  <si>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</si>
  <si>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</si>
  <si>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</si>
  <si>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</si>
  <si>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</si>
  <si>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</si>
  <si>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</si>
  <si>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</si>
  <si>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</si>
  <si>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</si>
  <si>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</si>
  <si>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</si>
  <si>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</si>
  <si>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</si>
  <si>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</si>
  <si>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</si>
  <si>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</si>
  <si>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</si>
  <si>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</si>
  <si>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</si>
  <si>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</si>
  <si>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</si>
  <si>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</si>
  <si>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</si>
  <si>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</si>
  <si>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</si>
  <si>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</si>
  <si>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</si>
  <si>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</si>
  <si>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</si>
  <si>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</si>
  <si>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</si>
  <si>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</si>
  <si>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</si>
  <si>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</si>
  <si>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</si>
  <si>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</si>
  <si>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</si>
  <si>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</si>
  <si>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</si>
  <si>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</si>
  <si>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</si>
  <si>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</si>
  <si>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</si>
  <si>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</si>
  <si>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</si>
  <si>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</si>
  <si>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</si>
  <si>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</si>
  <si>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</si>
  <si>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</si>
  <si>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</si>
  <si>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</si>
  <si>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</si>
  <si>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</si>
  <si>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</si>
  <si>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</si>
  <si>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</si>
  <si>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</si>
  <si>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</si>
  <si>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</si>
  <si>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</si>
  <si>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General Text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</si>
  <si>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</si>
  <si>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</si>
  <si>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</si>
  <si>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</si>
  <si>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</si>
  <si>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</si>
  <si>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</si>
  <si>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</si>
  <si>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</si>
  <si>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</si>
  <si>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</si>
  <si>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</si>
  <si>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</si>
  <si>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</si>
  <si>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</si>
  <si>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</si>
  <si>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</si>
  <si>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</si>
  <si>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</si>
  <si>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</si>
  <si>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</si>
  <si>
    <t>COM31</t>
  </si>
  <si>
    <t>COM32</t>
  </si>
  <si>
    <t>COM33</t>
  </si>
  <si>
    <t>COM34</t>
  </si>
  <si>
    <t>COM35</t>
  </si>
  <si>
    <t>COM36</t>
  </si>
  <si>
    <t>COM37</t>
  </si>
  <si>
    <t>COM38</t>
  </si>
  <si>
    <t>COM39</t>
  </si>
  <si>
    <t>COM40</t>
  </si>
  <si>
    <t>Squidstat models</t>
  </si>
  <si>
    <t>EDGE</t>
  </si>
  <si>
    <t>PICO</t>
  </si>
  <si>
    <t>SOLO</t>
  </si>
  <si>
    <t>PLUS</t>
  </si>
  <si>
    <t>PLUS_2_0</t>
  </si>
  <si>
    <t>SOLO_2_0</t>
  </si>
  <si>
    <t>PRIME_2_0</t>
  </si>
  <si>
    <t>DAC % Err</t>
  </si>
  <si>
    <t>DAC Err (mV)</t>
  </si>
  <si>
    <t>this I Setpoint</t>
  </si>
  <si>
    <t>V2 I Setpoint</t>
  </si>
  <si>
    <t>Prime1035</t>
  </si>
  <si>
    <t>Analog channel 2016_05_05 (Macrofab)
Control board 2016_05_24 (Macrofab)
Power supply 2016_05_08 (Macrofab)
Initial firmware Squidstat_firmware_2017_12_13</t>
  </si>
  <si>
    <t>Old V setpoints</t>
  </si>
  <si>
    <t>Default DC gain values</t>
  </si>
  <si>
    <t>Vgain</t>
  </si>
  <si>
    <t>Igain</t>
  </si>
  <si>
    <t>V1</t>
  </si>
  <si>
    <t>V2</t>
  </si>
  <si>
    <t>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</si>
</sst>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4" fillId="4" borderId="0" xfId="0" applyFont="1" applyFill="1" applyBorder="1"/>
    <xf numFmtId="0" fontId="13" fillId="4" borderId="2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right"/>
    </xf>
    <xf numFmtId="0" fontId="14" fillId="6" borderId="0" xfId="0" applyFont="1" applyFill="1" applyBorder="1"/>
    <xf numFmtId="0" fontId="15" fillId="4" borderId="1" xfId="0" applyFont="1" applyFill="1" applyBorder="1" applyAlignment="1">
      <alignment horizontal="right"/>
    </xf>
    <xf numFmtId="0" fontId="16" fillId="4" borderId="0" xfId="0" applyFont="1" applyFill="1"/>
    <xf numFmtId="0" fontId="16" fillId="4" borderId="3" xfId="0" applyFont="1" applyFill="1" applyBorder="1"/>
    <xf numFmtId="0" fontId="16" fillId="4" borderId="2" xfId="0" applyFont="1" applyFill="1" applyBorder="1"/>
    <xf numFmtId="10" fontId="16" fillId="4" borderId="0" xfId="1" applyNumberFormat="1" applyFont="1" applyFill="1"/>
    <xf numFmtId="10" fontId="16" fillId="4" borderId="3" xfId="1" applyNumberFormat="1" applyFont="1" applyFill="1" applyBorder="1"/>
    <xf numFmtId="10" fontId="16" fillId="4" borderId="2" xfId="1" applyNumberFormat="1" applyFont="1" applyFill="1" applyBorder="1"/>
    <xf numFmtId="0" fontId="15" fillId="6" borderId="1" xfId="0" applyFont="1" applyFill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10" fontId="16" fillId="6" borderId="0" xfId="1" applyNumberFormat="1" applyFont="1" applyFill="1"/>
    <xf numFmtId="10" fontId="16" fillId="6" borderId="2" xfId="1" applyNumberFormat="1" applyFont="1" applyFill="1" applyBorder="1"/>
    <xf numFmtId="10" fontId="16" fillId="6" borderId="3" xfId="1" applyNumberFormat="1" applyFont="1" applyFill="1" applyBorder="1"/>
    <xf numFmtId="0" fontId="15" fillId="5" borderId="1" xfId="0" applyFont="1" applyFill="1" applyBorder="1" applyAlignment="1">
      <alignment horizontal="right"/>
    </xf>
    <xf numFmtId="164" fontId="16" fillId="5" borderId="0" xfId="1" applyNumberFormat="1" applyFont="1" applyFill="1"/>
    <xf numFmtId="164" fontId="16" fillId="5" borderId="3" xfId="1" applyNumberFormat="1" applyFont="1" applyFill="1" applyBorder="1"/>
    <xf numFmtId="164" fontId="16" fillId="5" borderId="2" xfId="1" applyNumberFormat="1" applyFont="1" applyFill="1" applyBorder="1"/>
    <xf numFmtId="168" fontId="16" fillId="6" borderId="0" xfId="1" applyNumberFormat="1" applyFont="1" applyFill="1"/>
    <xf numFmtId="168" fontId="16" fillId="6" borderId="3" xfId="1" applyNumberFormat="1" applyFont="1" applyFill="1" applyBorder="1"/>
    <xf numFmtId="168" fontId="16" fillId="6" borderId="2" xfId="1" applyNumberFormat="1" applyFont="1" applyFill="1" applyBorder="1"/>
    <xf numFmtId="0" fontId="0" fillId="6" borderId="0" xfId="0" applyNumberFormat="1" applyFill="1"/>
    <xf numFmtId="0" fontId="0" fillId="2" borderId="0" xfId="0" applyFont="1" applyFill="1" applyBorder="1"/>
    <xf numFmtId="11" fontId="7" fillId="6" borderId="0" xfId="0" applyNumberFormat="1" applyFont="1" applyFill="1" applyBorder="1"/>
    <xf numFmtId="11" fontId="7" fillId="5" borderId="0" xfId="0" applyNumberFormat="1" applyFont="1" applyFill="1" applyBorder="1"/>
    <xf numFmtId="11" fontId="12" fillId="5" borderId="0" xfId="0" applyNumberFormat="1" applyFont="1" applyFill="1"/>
    <xf numFmtId="0" fontId="13" fillId="0" borderId="2" xfId="0" applyFont="1" applyBorder="1" applyAlignment="1">
      <alignment horizontal="right"/>
    </xf>
    <xf numFmtId="0" fontId="14" fillId="0" borderId="0" xfId="0" applyFont="1" applyBorder="1"/>
    <xf numFmtId="11" fontId="12" fillId="5" borderId="0" xfId="1" applyNumberFormat="1" applyFont="1" applyFill="1"/>
    <xf numFmtId="11" fontId="12" fillId="6" borderId="0" xfId="1" applyNumberFormat="1" applyFont="1" applyFill="1"/>
  </cellXfs>
  <cellStyles count="2">
    <cellStyle name="Normal" xfId="0" builtinId="0"/>
    <cellStyle name="Percent" xfId="1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xVal>
          <c:yVal>
            <c:numRef>
              <c:f>Data!$E$2:$E$12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xVal>
          <c:y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Data!$H$2:$H$12</c:f>
              <c:numCache>
                <c:formatCode>General</c:formatCode>
                <c:ptCount val="11"/>
                <c:pt idx="0">
                  <c:v>-26548</c:v>
                </c:pt>
                <c:pt idx="1">
                  <c:v>-23882</c:v>
                </c:pt>
                <c:pt idx="2">
                  <c:v>-21215</c:v>
                </c:pt>
                <c:pt idx="3">
                  <c:v>-18550</c:v>
                </c:pt>
                <c:pt idx="4">
                  <c:v>-15884</c:v>
                </c:pt>
                <c:pt idx="5">
                  <c:v>-13218</c:v>
                </c:pt>
                <c:pt idx="6">
                  <c:v>-10550</c:v>
                </c:pt>
                <c:pt idx="7">
                  <c:v>-7883</c:v>
                </c:pt>
                <c:pt idx="8">
                  <c:v>-5218</c:v>
                </c:pt>
                <c:pt idx="9">
                  <c:v>-2552</c:v>
                </c:pt>
                <c:pt idx="10">
                  <c:v>113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Data!$H$12:$H$22</c:f>
              <c:numCache>
                <c:formatCode>General</c:formatCode>
                <c:ptCount val="11"/>
                <c:pt idx="0">
                  <c:v>113</c:v>
                </c:pt>
                <c:pt idx="1">
                  <c:v>2779</c:v>
                </c:pt>
                <c:pt idx="2">
                  <c:v>5444</c:v>
                </c:pt>
                <c:pt idx="3">
                  <c:v>8110</c:v>
                </c:pt>
                <c:pt idx="4">
                  <c:v>10776</c:v>
                </c:pt>
                <c:pt idx="5">
                  <c:v>13443</c:v>
                </c:pt>
                <c:pt idx="6">
                  <c:v>16110</c:v>
                </c:pt>
                <c:pt idx="7">
                  <c:v>18777</c:v>
                </c:pt>
                <c:pt idx="8">
                  <c:v>21442</c:v>
                </c:pt>
                <c:pt idx="9">
                  <c:v>24109</c:v>
                </c:pt>
                <c:pt idx="10">
                  <c:v>26776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Data!$J$2:$J$12</c:f>
              <c:numCache>
                <c:formatCode>General</c:formatCode>
                <c:ptCount val="11"/>
                <c:pt idx="0">
                  <c:v>-31886</c:v>
                </c:pt>
                <c:pt idx="1">
                  <c:v>-28686</c:v>
                </c:pt>
                <c:pt idx="2">
                  <c:v>-25486</c:v>
                </c:pt>
                <c:pt idx="3">
                  <c:v>-22287</c:v>
                </c:pt>
                <c:pt idx="4">
                  <c:v>-19086</c:v>
                </c:pt>
                <c:pt idx="5">
                  <c:v>-15887</c:v>
                </c:pt>
                <c:pt idx="6">
                  <c:v>-12684</c:v>
                </c:pt>
                <c:pt idx="7">
                  <c:v>-9483</c:v>
                </c:pt>
                <c:pt idx="8">
                  <c:v>-6284</c:v>
                </c:pt>
                <c:pt idx="9">
                  <c:v>-3082</c:v>
                </c:pt>
                <c:pt idx="10">
                  <c:v>117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Data!$J$12:$J$22</c:f>
              <c:numCache>
                <c:formatCode>General</c:formatCode>
                <c:ptCount val="11"/>
                <c:pt idx="0">
                  <c:v>117</c:v>
                </c:pt>
                <c:pt idx="1">
                  <c:v>3317</c:v>
                </c:pt>
                <c:pt idx="2">
                  <c:v>6518</c:v>
                </c:pt>
                <c:pt idx="3">
                  <c:v>9719</c:v>
                </c:pt>
                <c:pt idx="4">
                  <c:v>12920</c:v>
                </c:pt>
                <c:pt idx="5">
                  <c:v>16122</c:v>
                </c:pt>
                <c:pt idx="6">
                  <c:v>19324</c:v>
                </c:pt>
                <c:pt idx="7">
                  <c:v>22527</c:v>
                </c:pt>
                <c:pt idx="8">
                  <c:v>25727</c:v>
                </c:pt>
                <c:pt idx="9">
                  <c:v>28928</c:v>
                </c:pt>
                <c:pt idx="10">
                  <c:v>32129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Data!$N$2:$N$12</c:f>
              <c:numCache>
                <c:formatCode>General</c:formatCode>
                <c:ptCount val="11"/>
                <c:pt idx="0">
                  <c:v>-12706</c:v>
                </c:pt>
                <c:pt idx="1">
                  <c:v>-11430</c:v>
                </c:pt>
                <c:pt idx="2">
                  <c:v>-10154</c:v>
                </c:pt>
                <c:pt idx="3">
                  <c:v>-8879</c:v>
                </c:pt>
                <c:pt idx="4">
                  <c:v>-7603</c:v>
                </c:pt>
                <c:pt idx="5">
                  <c:v>-6327</c:v>
                </c:pt>
                <c:pt idx="6">
                  <c:v>-5050</c:v>
                </c:pt>
                <c:pt idx="7">
                  <c:v>-3774</c:v>
                </c:pt>
                <c:pt idx="8">
                  <c:v>-2498</c:v>
                </c:pt>
                <c:pt idx="9">
                  <c:v>-1222</c:v>
                </c:pt>
                <c:pt idx="10">
                  <c:v>53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Data!$N$12:$N$22</c:f>
              <c:numCache>
                <c:formatCode>General</c:formatCode>
                <c:ptCount val="11"/>
                <c:pt idx="0">
                  <c:v>53</c:v>
                </c:pt>
                <c:pt idx="1">
                  <c:v>1329</c:v>
                </c:pt>
                <c:pt idx="2">
                  <c:v>2604</c:v>
                </c:pt>
                <c:pt idx="3">
                  <c:v>3880</c:v>
                </c:pt>
                <c:pt idx="4">
                  <c:v>5156</c:v>
                </c:pt>
                <c:pt idx="5">
                  <c:v>6433</c:v>
                </c:pt>
                <c:pt idx="6">
                  <c:v>7709</c:v>
                </c:pt>
                <c:pt idx="7">
                  <c:v>8986</c:v>
                </c:pt>
                <c:pt idx="8">
                  <c:v>10261</c:v>
                </c:pt>
                <c:pt idx="9">
                  <c:v>11538</c:v>
                </c:pt>
                <c:pt idx="10">
                  <c:v>12814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7599338334074361"/>
                  <c:y val="-0.4546315272234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Data!$R$2:$R$12</c:f>
              <c:numCache>
                <c:formatCode>General</c:formatCode>
                <c:ptCount val="11"/>
                <c:pt idx="0" formatCode="0.00E+00">
                  <c:v>946.99253999999996</c:v>
                </c:pt>
                <c:pt idx="1">
                  <c:v>852.02103999999997</c:v>
                </c:pt>
                <c:pt idx="2">
                  <c:v>757.02080999999998</c:v>
                </c:pt>
                <c:pt idx="3">
                  <c:v>662.07583</c:v>
                </c:pt>
                <c:pt idx="4">
                  <c:v>567.07110999999998</c:v>
                </c:pt>
                <c:pt idx="5">
                  <c:v>472.06937999999997</c:v>
                </c:pt>
                <c:pt idx="6">
                  <c:v>377.00076000000001</c:v>
                </c:pt>
                <c:pt idx="7">
                  <c:v>281.95143000000002</c:v>
                </c:pt>
                <c:pt idx="8">
                  <c:v>186.96462</c:v>
                </c:pt>
                <c:pt idx="9">
                  <c:v>91.715512000000004</c:v>
                </c:pt>
                <c:pt idx="10">
                  <c:v>-3.1028544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49893817917569055"/>
                  <c:y val="0.133010942125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Data!$R$12:$R$22</c:f>
              <c:numCache>
                <c:formatCode>General</c:formatCode>
                <c:ptCount val="11"/>
                <c:pt idx="0">
                  <c:v>-3.1028544</c:v>
                </c:pt>
                <c:pt idx="1">
                  <c:v>-97.992238</c:v>
                </c:pt>
                <c:pt idx="2">
                  <c:v>-193.24620999999999</c:v>
                </c:pt>
                <c:pt idx="3">
                  <c:v>-288.15653000000003</c:v>
                </c:pt>
                <c:pt idx="4">
                  <c:v>-383.19104999999996</c:v>
                </c:pt>
                <c:pt idx="5">
                  <c:v>-478.23567000000003</c:v>
                </c:pt>
                <c:pt idx="6">
                  <c:v>-573.27784000000008</c:v>
                </c:pt>
                <c:pt idx="7">
                  <c:v>-668.3330400000001</c:v>
                </c:pt>
                <c:pt idx="8">
                  <c:v>-763.28138000000001</c:v>
                </c:pt>
                <c:pt idx="9">
                  <c:v>-858.29082000000005</c:v>
                </c:pt>
                <c:pt idx="10">
                  <c:v>-953.26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559544241661972"/>
                  <c:y val="-0.10208104123970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Data!$S$2:$S$12</c:f>
              <c:numCache>
                <c:formatCode>General</c:formatCode>
                <c:ptCount val="11"/>
                <c:pt idx="0">
                  <c:v>-31540</c:v>
                </c:pt>
                <c:pt idx="1">
                  <c:v>-28377</c:v>
                </c:pt>
                <c:pt idx="2">
                  <c:v>-25213</c:v>
                </c:pt>
                <c:pt idx="3">
                  <c:v>-22050</c:v>
                </c:pt>
                <c:pt idx="4">
                  <c:v>-18886</c:v>
                </c:pt>
                <c:pt idx="5">
                  <c:v>-15723</c:v>
                </c:pt>
                <c:pt idx="6">
                  <c:v>-12557</c:v>
                </c:pt>
                <c:pt idx="7">
                  <c:v>-9391</c:v>
                </c:pt>
                <c:pt idx="8">
                  <c:v>-6229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Data!$R$2:$R$12</c:f>
              <c:numCache>
                <c:formatCode>General</c:formatCode>
                <c:ptCount val="11"/>
                <c:pt idx="0" formatCode="0.00E+00">
                  <c:v>946.99253999999996</c:v>
                </c:pt>
                <c:pt idx="1">
                  <c:v>852.02103999999997</c:v>
                </c:pt>
                <c:pt idx="2">
                  <c:v>757.02080999999998</c:v>
                </c:pt>
                <c:pt idx="3">
                  <c:v>662.07583</c:v>
                </c:pt>
                <c:pt idx="4">
                  <c:v>567.07110999999998</c:v>
                </c:pt>
                <c:pt idx="5">
                  <c:v>472.06937999999997</c:v>
                </c:pt>
                <c:pt idx="6">
                  <c:v>377.00076000000001</c:v>
                </c:pt>
                <c:pt idx="7">
                  <c:v>281.95143000000002</c:v>
                </c:pt>
                <c:pt idx="8">
                  <c:v>186.96462</c:v>
                </c:pt>
                <c:pt idx="9">
                  <c:v>91.715512000000004</c:v>
                </c:pt>
                <c:pt idx="10">
                  <c:v>-3.1028544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6049497556565829E-2"/>
                  <c:y val="-0.320515106844521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Data!$S$12:$S$22</c:f>
              <c:numCache>
                <c:formatCode>General</c:formatCode>
                <c:ptCount val="11"/>
                <c:pt idx="0">
                  <c:v>100</c:v>
                </c:pt>
                <c:pt idx="1">
                  <c:v>3263</c:v>
                </c:pt>
                <c:pt idx="2">
                  <c:v>6429</c:v>
                </c:pt>
                <c:pt idx="3">
                  <c:v>9593</c:v>
                </c:pt>
                <c:pt idx="4">
                  <c:v>12758</c:v>
                </c:pt>
                <c:pt idx="5">
                  <c:v>15924</c:v>
                </c:pt>
                <c:pt idx="6">
                  <c:v>19090</c:v>
                </c:pt>
                <c:pt idx="7">
                  <c:v>22257</c:v>
                </c:pt>
                <c:pt idx="8">
                  <c:v>25421</c:v>
                </c:pt>
                <c:pt idx="9">
                  <c:v>28585</c:v>
                </c:pt>
                <c:pt idx="10">
                  <c:v>31751</c:v>
                </c:pt>
              </c:numCache>
            </c:numRef>
          </c:xVal>
          <c:yVal>
            <c:numRef>
              <c:f>Data!$R$12:$R$22</c:f>
              <c:numCache>
                <c:formatCode>General</c:formatCode>
                <c:ptCount val="11"/>
                <c:pt idx="0">
                  <c:v>-3.1028544</c:v>
                </c:pt>
                <c:pt idx="1">
                  <c:v>-97.992238</c:v>
                </c:pt>
                <c:pt idx="2">
                  <c:v>-193.24620999999999</c:v>
                </c:pt>
                <c:pt idx="3">
                  <c:v>-288.15653000000003</c:v>
                </c:pt>
                <c:pt idx="4">
                  <c:v>-383.19104999999996</c:v>
                </c:pt>
                <c:pt idx="5">
                  <c:v>-478.23567000000003</c:v>
                </c:pt>
                <c:pt idx="6">
                  <c:v>-573.27784000000008</c:v>
                </c:pt>
                <c:pt idx="7">
                  <c:v>-668.3330400000001</c:v>
                </c:pt>
                <c:pt idx="8">
                  <c:v>-763.28138000000001</c:v>
                </c:pt>
                <c:pt idx="9">
                  <c:v>-858.29082000000005</c:v>
                </c:pt>
                <c:pt idx="10">
                  <c:v>-953.26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Data!$X$2:$X$12</c:f>
              <c:numCache>
                <c:formatCode>General</c:formatCode>
                <c:ptCount val="11"/>
                <c:pt idx="0" formatCode="0.00E+00">
                  <c:v>59.757235000000001</c:v>
                </c:pt>
                <c:pt idx="1">
                  <c:v>53.761265999999999</c:v>
                </c:pt>
                <c:pt idx="2">
                  <c:v>47.766083000000002</c:v>
                </c:pt>
                <c:pt idx="3">
                  <c:v>41.775135999999996</c:v>
                </c:pt>
                <c:pt idx="4">
                  <c:v>35.780921999999997</c:v>
                </c:pt>
                <c:pt idx="5">
                  <c:v>29.786325999999999</c:v>
                </c:pt>
                <c:pt idx="6">
                  <c:v>23.787620999999998</c:v>
                </c:pt>
                <c:pt idx="7">
                  <c:v>17.790084</c:v>
                </c:pt>
                <c:pt idx="8">
                  <c:v>11.796001</c:v>
                </c:pt>
                <c:pt idx="9">
                  <c:v>5.7979229999999999</c:v>
                </c:pt>
                <c:pt idx="10">
                  <c:v>-0.19868770000000002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Data!$X$12:$X$22</c:f>
              <c:numCache>
                <c:formatCode>General</c:formatCode>
                <c:ptCount val="11"/>
                <c:pt idx="0">
                  <c:v>-0.19868770000000002</c:v>
                </c:pt>
                <c:pt idx="1">
                  <c:v>-6.1959869999999997</c:v>
                </c:pt>
                <c:pt idx="2">
                  <c:v>-12.193223</c:v>
                </c:pt>
                <c:pt idx="3">
                  <c:v>-18.191002000000001</c:v>
                </c:pt>
                <c:pt idx="4">
                  <c:v>-24.18946</c:v>
                </c:pt>
                <c:pt idx="5">
                  <c:v>-30.188223000000001</c:v>
                </c:pt>
                <c:pt idx="6">
                  <c:v>-36.186371999999999</c:v>
                </c:pt>
                <c:pt idx="7">
                  <c:v>-42.184694999999998</c:v>
                </c:pt>
                <c:pt idx="8">
                  <c:v>-48.176139999999997</c:v>
                </c:pt>
                <c:pt idx="9">
                  <c:v>-54.170146000000003</c:v>
                </c:pt>
                <c:pt idx="10">
                  <c:v>-60.160975999999998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Data!$Y$2:$Y$12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-25207</c:v>
                </c:pt>
                <c:pt idx="3">
                  <c:v>-22045</c:v>
                </c:pt>
                <c:pt idx="4">
                  <c:v>-18883</c:v>
                </c:pt>
                <c:pt idx="5">
                  <c:v>-15719</c:v>
                </c:pt>
                <c:pt idx="6">
                  <c:v>-12554</c:v>
                </c:pt>
                <c:pt idx="7">
                  <c:v>-9389</c:v>
                </c:pt>
                <c:pt idx="8">
                  <c:v>-6227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Data!$X$2:$X$12</c:f>
              <c:numCache>
                <c:formatCode>General</c:formatCode>
                <c:ptCount val="11"/>
                <c:pt idx="0" formatCode="0.00E+00">
                  <c:v>59.757235000000001</c:v>
                </c:pt>
                <c:pt idx="1">
                  <c:v>53.761265999999999</c:v>
                </c:pt>
                <c:pt idx="2">
                  <c:v>47.766083000000002</c:v>
                </c:pt>
                <c:pt idx="3">
                  <c:v>41.775135999999996</c:v>
                </c:pt>
                <c:pt idx="4">
                  <c:v>35.780921999999997</c:v>
                </c:pt>
                <c:pt idx="5">
                  <c:v>29.786325999999999</c:v>
                </c:pt>
                <c:pt idx="6">
                  <c:v>23.787620999999998</c:v>
                </c:pt>
                <c:pt idx="7">
                  <c:v>17.790084</c:v>
                </c:pt>
                <c:pt idx="8">
                  <c:v>11.796001</c:v>
                </c:pt>
                <c:pt idx="9">
                  <c:v>5.7979229999999999</c:v>
                </c:pt>
                <c:pt idx="10">
                  <c:v>-0.19868770000000002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Data!$Y$12:$Y$22</c:f>
              <c:numCache>
                <c:formatCode>General</c:formatCode>
                <c:ptCount val="11"/>
                <c:pt idx="0">
                  <c:v>100</c:v>
                </c:pt>
                <c:pt idx="1">
                  <c:v>3263</c:v>
                </c:pt>
                <c:pt idx="2">
                  <c:v>6427</c:v>
                </c:pt>
                <c:pt idx="3">
                  <c:v>9591</c:v>
                </c:pt>
                <c:pt idx="4">
                  <c:v>12755</c:v>
                </c:pt>
                <c:pt idx="5">
                  <c:v>15920</c:v>
                </c:pt>
                <c:pt idx="6">
                  <c:v>19085</c:v>
                </c:pt>
                <c:pt idx="7">
                  <c:v>22250</c:v>
                </c:pt>
                <c:pt idx="8">
                  <c:v>25413</c:v>
                </c:pt>
                <c:pt idx="9">
                  <c:v>28577</c:v>
                </c:pt>
                <c:pt idx="10">
                  <c:v>31741</c:v>
                </c:pt>
              </c:numCache>
            </c:numRef>
          </c:xVal>
          <c:yVal>
            <c:numRef>
              <c:f>Data!$X$12:$X$22</c:f>
              <c:numCache>
                <c:formatCode>General</c:formatCode>
                <c:ptCount val="11"/>
                <c:pt idx="0">
                  <c:v>-0.19868770000000002</c:v>
                </c:pt>
                <c:pt idx="1">
                  <c:v>-6.1959869999999997</c:v>
                </c:pt>
                <c:pt idx="2">
                  <c:v>-12.193223</c:v>
                </c:pt>
                <c:pt idx="3">
                  <c:v>-18.191002000000001</c:v>
                </c:pt>
                <c:pt idx="4">
                  <c:v>-24.18946</c:v>
                </c:pt>
                <c:pt idx="5">
                  <c:v>-30.188223000000001</c:v>
                </c:pt>
                <c:pt idx="6">
                  <c:v>-36.186371999999999</c:v>
                </c:pt>
                <c:pt idx="7">
                  <c:v>-42.184694999999998</c:v>
                </c:pt>
                <c:pt idx="8">
                  <c:v>-48.176139999999997</c:v>
                </c:pt>
                <c:pt idx="9">
                  <c:v>-54.170146000000003</c:v>
                </c:pt>
                <c:pt idx="10">
                  <c:v>-60.160975999999998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Data!$AD$2:$AD$12</c:f>
              <c:numCache>
                <c:formatCode>General</c:formatCode>
                <c:ptCount val="11"/>
                <c:pt idx="0" formatCode="0.00E+00">
                  <c:v>9.6404598000000004</c:v>
                </c:pt>
                <c:pt idx="1">
                  <c:v>8.6732966000000005</c:v>
                </c:pt>
                <c:pt idx="2">
                  <c:v>7.7060395000000002</c:v>
                </c:pt>
                <c:pt idx="3">
                  <c:v>6.7392342999999997</c:v>
                </c:pt>
                <c:pt idx="4">
                  <c:v>5.7720410000000006</c:v>
                </c:pt>
                <c:pt idx="5">
                  <c:v>4.8048016999999996</c:v>
                </c:pt>
                <c:pt idx="6">
                  <c:v>3.8370045999999998</c:v>
                </c:pt>
                <c:pt idx="7">
                  <c:v>2.8695278000000002</c:v>
                </c:pt>
                <c:pt idx="8">
                  <c:v>1.9027417</c:v>
                </c:pt>
                <c:pt idx="9">
                  <c:v>0.93533660000000007</c:v>
                </c:pt>
                <c:pt idx="10">
                  <c:v>-3.1773100000000006E-2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Data!$AD$12:$AD$22</c:f>
              <c:numCache>
                <c:formatCode>General</c:formatCode>
                <c:ptCount val="11"/>
                <c:pt idx="0">
                  <c:v>-3.1773100000000006E-2</c:v>
                </c:pt>
                <c:pt idx="1">
                  <c:v>-0.99886490000000006</c:v>
                </c:pt>
                <c:pt idx="2">
                  <c:v>-1.9659688</c:v>
                </c:pt>
                <c:pt idx="3">
                  <c:v>-2.9331482000000002</c:v>
                </c:pt>
                <c:pt idx="4">
                  <c:v>-3.9004612000000001</c:v>
                </c:pt>
                <c:pt idx="5">
                  <c:v>-4.8679487000000004</c:v>
                </c:pt>
                <c:pt idx="6">
                  <c:v>-5.8354835000000005</c:v>
                </c:pt>
                <c:pt idx="7">
                  <c:v>-6.8031901999999995</c:v>
                </c:pt>
                <c:pt idx="8">
                  <c:v>-7.7700449999999996</c:v>
                </c:pt>
                <c:pt idx="9">
                  <c:v>-8.7375413000000002</c:v>
                </c:pt>
                <c:pt idx="10">
                  <c:v>-9.7048290000000001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Current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-31532</c:v>
                </c:pt>
                <c:pt idx="1">
                  <c:v>-28369</c:v>
                </c:pt>
                <c:pt idx="2">
                  <c:v>-25206</c:v>
                </c:pt>
                <c:pt idx="3">
                  <c:v>-22045</c:v>
                </c:pt>
                <c:pt idx="4">
                  <c:v>-18882</c:v>
                </c:pt>
                <c:pt idx="5">
                  <c:v>-15719</c:v>
                </c:pt>
                <c:pt idx="6">
                  <c:v>-12554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99</c:v>
                </c:pt>
              </c:numCache>
            </c:numRef>
          </c:xVal>
          <c:yVal>
            <c:numRef>
              <c:f>Data!$AD$2:$AD$12</c:f>
              <c:numCache>
                <c:formatCode>General</c:formatCode>
                <c:ptCount val="11"/>
                <c:pt idx="0" formatCode="0.00E+00">
                  <c:v>9.6404598000000004</c:v>
                </c:pt>
                <c:pt idx="1">
                  <c:v>8.6732966000000005</c:v>
                </c:pt>
                <c:pt idx="2">
                  <c:v>7.7060395000000002</c:v>
                </c:pt>
                <c:pt idx="3">
                  <c:v>6.7392342999999997</c:v>
                </c:pt>
                <c:pt idx="4">
                  <c:v>5.7720410000000006</c:v>
                </c:pt>
                <c:pt idx="5">
                  <c:v>4.8048016999999996</c:v>
                </c:pt>
                <c:pt idx="6">
                  <c:v>3.8370045999999998</c:v>
                </c:pt>
                <c:pt idx="7">
                  <c:v>2.8695278000000002</c:v>
                </c:pt>
                <c:pt idx="8">
                  <c:v>1.9027417</c:v>
                </c:pt>
                <c:pt idx="9">
                  <c:v>0.93533660000000007</c:v>
                </c:pt>
                <c:pt idx="10">
                  <c:v>-3.1773100000000006E-2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99</c:v>
                </c:pt>
                <c:pt idx="1">
                  <c:v>3263</c:v>
                </c:pt>
                <c:pt idx="2">
                  <c:v>6426</c:v>
                </c:pt>
                <c:pt idx="3">
                  <c:v>9590</c:v>
                </c:pt>
                <c:pt idx="4">
                  <c:v>12754</c:v>
                </c:pt>
                <c:pt idx="5">
                  <c:v>15919</c:v>
                </c:pt>
                <c:pt idx="6">
                  <c:v>19084</c:v>
                </c:pt>
                <c:pt idx="7">
                  <c:v>22250</c:v>
                </c:pt>
                <c:pt idx="8">
                  <c:v>25412</c:v>
                </c:pt>
                <c:pt idx="9">
                  <c:v>28577</c:v>
                </c:pt>
                <c:pt idx="10">
                  <c:v>31740</c:v>
                </c:pt>
              </c:numCache>
            </c:numRef>
          </c:xVal>
          <c:yVal>
            <c:numRef>
              <c:f>Data!$AD$12:$AD$22</c:f>
              <c:numCache>
                <c:formatCode>General</c:formatCode>
                <c:ptCount val="11"/>
                <c:pt idx="0">
                  <c:v>-3.1773100000000006E-2</c:v>
                </c:pt>
                <c:pt idx="1">
                  <c:v>-0.99886490000000006</c:v>
                </c:pt>
                <c:pt idx="2">
                  <c:v>-1.9659688</c:v>
                </c:pt>
                <c:pt idx="3">
                  <c:v>-2.9331482000000002</c:v>
                </c:pt>
                <c:pt idx="4">
                  <c:v>-3.9004612000000001</c:v>
                </c:pt>
                <c:pt idx="5">
                  <c:v>-4.8679487000000004</c:v>
                </c:pt>
                <c:pt idx="6">
                  <c:v>-5.8354835000000005</c:v>
                </c:pt>
                <c:pt idx="7">
                  <c:v>-6.8031901999999995</c:v>
                </c:pt>
                <c:pt idx="8">
                  <c:v>-7.7700449999999996</c:v>
                </c:pt>
                <c:pt idx="9">
                  <c:v>-8.7375413000000002</c:v>
                </c:pt>
                <c:pt idx="10">
                  <c:v>-9.7048290000000001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</a:t>
                </a:r>
                <a:r>
                  <a:rPr lang="en-US" b="1" baseline="0"/>
                  <a:t> current reading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0803980460598875"/>
                  <c:y val="5.6734732892834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  <c:pt idx="0" formatCode="0.00E+00">
                  <c:v>0.96409999999999996</c:v>
                </c:pt>
                <c:pt idx="1">
                  <c:v>0.86729999999999996</c:v>
                </c:pt>
                <c:pt idx="2">
                  <c:v>0.77059999999999995</c:v>
                </c:pt>
                <c:pt idx="3">
                  <c:v>0.67389999999999994</c:v>
                </c:pt>
                <c:pt idx="4">
                  <c:v>0.57720000000000005</c:v>
                </c:pt>
                <c:pt idx="5">
                  <c:v>0.48040000000000005</c:v>
                </c:pt>
                <c:pt idx="6">
                  <c:v>0.3836</c:v>
                </c:pt>
                <c:pt idx="7">
                  <c:v>0.28689999999999999</c:v>
                </c:pt>
                <c:pt idx="8">
                  <c:v>0.19019999999999998</c:v>
                </c:pt>
                <c:pt idx="9">
                  <c:v>9.3439999999999995E-2</c:v>
                </c:pt>
                <c:pt idx="10">
                  <c:v>-3.2360000000000002E-3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359215558940517"/>
                  <c:y val="0.10682088107727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  <c:pt idx="0">
                  <c:v>-3.2360000000000002E-3</c:v>
                </c:pt>
                <c:pt idx="1">
                  <c:v>-0.1</c:v>
                </c:pt>
                <c:pt idx="2">
                  <c:v>-0.19668999999999998</c:v>
                </c:pt>
                <c:pt idx="3">
                  <c:v>-0.29339999999999999</c:v>
                </c:pt>
                <c:pt idx="4">
                  <c:v>-0.3901</c:v>
                </c:pt>
                <c:pt idx="5">
                  <c:v>-0.48680000000000001</c:v>
                </c:pt>
                <c:pt idx="6">
                  <c:v>-0.58360000000000001</c:v>
                </c:pt>
                <c:pt idx="7">
                  <c:v>-0.6804</c:v>
                </c:pt>
                <c:pt idx="8">
                  <c:v>-0.77710000000000001</c:v>
                </c:pt>
                <c:pt idx="9">
                  <c:v>-0.87380000000000002</c:v>
                </c:pt>
                <c:pt idx="10">
                  <c:v>-0.97059999999999991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Data!$AK$2:$AK$12</c:f>
              <c:numCache>
                <c:formatCode>General</c:formatCode>
                <c:ptCount val="11"/>
                <c:pt idx="0">
                  <c:v>-31533</c:v>
                </c:pt>
                <c:pt idx="1">
                  <c:v>-28371</c:v>
                </c:pt>
                <c:pt idx="2">
                  <c:v>-25207</c:v>
                </c:pt>
                <c:pt idx="3">
                  <c:v>-22046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99</c:v>
                </c:pt>
              </c:numCache>
            </c:numRef>
          </c:xVal>
          <c:yVal>
            <c:numRef>
              <c:f>Data!$AJ$2:$AJ$12</c:f>
              <c:numCache>
                <c:formatCode>General</c:formatCode>
                <c:ptCount val="11"/>
                <c:pt idx="0" formatCode="0.00E+00">
                  <c:v>0.96409999999999996</c:v>
                </c:pt>
                <c:pt idx="1">
                  <c:v>0.86729999999999996</c:v>
                </c:pt>
                <c:pt idx="2">
                  <c:v>0.77059999999999995</c:v>
                </c:pt>
                <c:pt idx="3">
                  <c:v>0.67389999999999994</c:v>
                </c:pt>
                <c:pt idx="4">
                  <c:v>0.57720000000000005</c:v>
                </c:pt>
                <c:pt idx="5">
                  <c:v>0.48040000000000005</c:v>
                </c:pt>
                <c:pt idx="6">
                  <c:v>0.3836</c:v>
                </c:pt>
                <c:pt idx="7">
                  <c:v>0.28689999999999999</c:v>
                </c:pt>
                <c:pt idx="8">
                  <c:v>0.19019999999999998</c:v>
                </c:pt>
                <c:pt idx="9">
                  <c:v>9.3439999999999995E-2</c:v>
                </c:pt>
                <c:pt idx="10">
                  <c:v>-3.2360000000000002E-3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Data!$AK$12:$AK$22</c:f>
              <c:numCache>
                <c:formatCode>General</c:formatCode>
                <c:ptCount val="11"/>
                <c:pt idx="0">
                  <c:v>99</c:v>
                </c:pt>
                <c:pt idx="1">
                  <c:v>3264</c:v>
                </c:pt>
                <c:pt idx="2">
                  <c:v>6427</c:v>
                </c:pt>
                <c:pt idx="3">
                  <c:v>9590</c:v>
                </c:pt>
                <c:pt idx="4">
                  <c:v>12754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28575</c:v>
                </c:pt>
                <c:pt idx="10">
                  <c:v>31739</c:v>
                </c:pt>
              </c:numCache>
            </c:numRef>
          </c:xVal>
          <c:yVal>
            <c:numRef>
              <c:f>Data!$AJ$12:$AJ$22</c:f>
              <c:numCache>
                <c:formatCode>General</c:formatCode>
                <c:ptCount val="11"/>
                <c:pt idx="0">
                  <c:v>-3.2360000000000002E-3</c:v>
                </c:pt>
                <c:pt idx="1">
                  <c:v>-0.1</c:v>
                </c:pt>
                <c:pt idx="2">
                  <c:v>-0.19668999999999998</c:v>
                </c:pt>
                <c:pt idx="3">
                  <c:v>-0.29339999999999999</c:v>
                </c:pt>
                <c:pt idx="4">
                  <c:v>-0.3901</c:v>
                </c:pt>
                <c:pt idx="5">
                  <c:v>-0.48680000000000001</c:v>
                </c:pt>
                <c:pt idx="6">
                  <c:v>-0.58360000000000001</c:v>
                </c:pt>
                <c:pt idx="7">
                  <c:v>-0.6804</c:v>
                </c:pt>
                <c:pt idx="8">
                  <c:v>-0.77710000000000001</c:v>
                </c:pt>
                <c:pt idx="9">
                  <c:v>-0.87380000000000002</c:v>
                </c:pt>
                <c:pt idx="10">
                  <c:v>-0.97059999999999991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2776676399884744E-2"/>
                  <c:y val="-0.52034819961240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Data!$AP$2:$AP$12</c:f>
              <c:numCache>
                <c:formatCode>General</c:formatCode>
                <c:ptCount val="11"/>
                <c:pt idx="0" formatCode="0.00E+00">
                  <c:v>9.6409999999999996E-2</c:v>
                </c:pt>
                <c:pt idx="1">
                  <c:v>8.6730000000000002E-2</c:v>
                </c:pt>
                <c:pt idx="2">
                  <c:v>7.7060000000000003E-2</c:v>
                </c:pt>
                <c:pt idx="3">
                  <c:v>6.7379999999999995E-2</c:v>
                </c:pt>
                <c:pt idx="4">
                  <c:v>5.7710000000000004E-2</c:v>
                </c:pt>
                <c:pt idx="5">
                  <c:v>4.8039999999999999E-2</c:v>
                </c:pt>
                <c:pt idx="6">
                  <c:v>3.8359999999999998E-2</c:v>
                </c:pt>
                <c:pt idx="7">
                  <c:v>2.8680000000000001E-2</c:v>
                </c:pt>
                <c:pt idx="8">
                  <c:v>1.9009999999999999E-2</c:v>
                </c:pt>
                <c:pt idx="9">
                  <c:v>9.3449999999999991E-3</c:v>
                </c:pt>
                <c:pt idx="10">
                  <c:v>-3.2220000000000003E-4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844520226888624"/>
                  <c:y val="-0.167120079171916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Data!$AP$12:$AP$22</c:f>
              <c:numCache>
                <c:formatCode>General</c:formatCode>
                <c:ptCount val="11"/>
                <c:pt idx="0">
                  <c:v>-3.2220000000000003E-4</c:v>
                </c:pt>
                <c:pt idx="1">
                  <c:v>-1.0006999999999999E-2</c:v>
                </c:pt>
                <c:pt idx="2">
                  <c:v>-1.9675000000000002E-2</c:v>
                </c:pt>
                <c:pt idx="3">
                  <c:v>-2.9329999999999998E-2</c:v>
                </c:pt>
                <c:pt idx="4">
                  <c:v>-3.9E-2</c:v>
                </c:pt>
                <c:pt idx="5">
                  <c:v>-4.8680000000000001E-2</c:v>
                </c:pt>
                <c:pt idx="6">
                  <c:v>-5.8349999999999999E-2</c:v>
                </c:pt>
                <c:pt idx="7">
                  <c:v>-6.8029999999999993E-2</c:v>
                </c:pt>
                <c:pt idx="8">
                  <c:v>-7.7700000000000005E-2</c:v>
                </c:pt>
                <c:pt idx="9">
                  <c:v>-8.7370000000000003E-2</c:v>
                </c:pt>
                <c:pt idx="10">
                  <c:v>-9.7040000000000001E-2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Data!$AQ$2:$AQ$12</c:f>
              <c:numCache>
                <c:formatCode>General</c:formatCode>
                <c:ptCount val="11"/>
                <c:pt idx="0">
                  <c:v>-31533</c:v>
                </c:pt>
                <c:pt idx="1">
                  <c:v>-28370</c:v>
                </c:pt>
                <c:pt idx="2">
                  <c:v>-25207</c:v>
                </c:pt>
                <c:pt idx="3">
                  <c:v>-22045</c:v>
                </c:pt>
                <c:pt idx="4">
                  <c:v>-18882</c:v>
                </c:pt>
                <c:pt idx="5">
                  <c:v>-15719</c:v>
                </c:pt>
                <c:pt idx="6">
                  <c:v>-12554</c:v>
                </c:pt>
                <c:pt idx="7">
                  <c:v>-9390</c:v>
                </c:pt>
                <c:pt idx="8">
                  <c:v>-6228</c:v>
                </c:pt>
                <c:pt idx="9">
                  <c:v>-3064</c:v>
                </c:pt>
                <c:pt idx="10">
                  <c:v>99</c:v>
                </c:pt>
              </c:numCache>
            </c:numRef>
          </c:xVal>
          <c:yVal>
            <c:numRef>
              <c:f>Data!$AP$2:$AP$12</c:f>
              <c:numCache>
                <c:formatCode>General</c:formatCode>
                <c:ptCount val="11"/>
                <c:pt idx="0" formatCode="0.00E+00">
                  <c:v>9.6409999999999996E-2</c:v>
                </c:pt>
                <c:pt idx="1">
                  <c:v>8.6730000000000002E-2</c:v>
                </c:pt>
                <c:pt idx="2">
                  <c:v>7.7060000000000003E-2</c:v>
                </c:pt>
                <c:pt idx="3">
                  <c:v>6.7379999999999995E-2</c:v>
                </c:pt>
                <c:pt idx="4">
                  <c:v>5.7710000000000004E-2</c:v>
                </c:pt>
                <c:pt idx="5">
                  <c:v>4.8039999999999999E-2</c:v>
                </c:pt>
                <c:pt idx="6">
                  <c:v>3.8359999999999998E-2</c:v>
                </c:pt>
                <c:pt idx="7">
                  <c:v>2.8680000000000001E-2</c:v>
                </c:pt>
                <c:pt idx="8">
                  <c:v>1.9009999999999999E-2</c:v>
                </c:pt>
                <c:pt idx="9">
                  <c:v>9.3449999999999991E-3</c:v>
                </c:pt>
                <c:pt idx="10">
                  <c:v>-3.2220000000000003E-4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Data!$AQ$12:$AQ$22</c:f>
              <c:numCache>
                <c:formatCode>General</c:formatCode>
                <c:ptCount val="11"/>
                <c:pt idx="0">
                  <c:v>99</c:v>
                </c:pt>
                <c:pt idx="1">
                  <c:v>3264</c:v>
                </c:pt>
                <c:pt idx="2">
                  <c:v>6426</c:v>
                </c:pt>
                <c:pt idx="3">
                  <c:v>9589</c:v>
                </c:pt>
                <c:pt idx="4">
                  <c:v>12753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28575</c:v>
                </c:pt>
                <c:pt idx="10">
                  <c:v>31738</c:v>
                </c:pt>
              </c:numCache>
            </c:numRef>
          </c:xVal>
          <c:yVal>
            <c:numRef>
              <c:f>Data!$AP$12:$AP$22</c:f>
              <c:numCache>
                <c:formatCode>General</c:formatCode>
                <c:ptCount val="11"/>
                <c:pt idx="0">
                  <c:v>-3.2220000000000003E-4</c:v>
                </c:pt>
                <c:pt idx="1">
                  <c:v>-1.0006999999999999E-2</c:v>
                </c:pt>
                <c:pt idx="2">
                  <c:v>-1.9675000000000002E-2</c:v>
                </c:pt>
                <c:pt idx="3">
                  <c:v>-2.9329999999999998E-2</c:v>
                </c:pt>
                <c:pt idx="4">
                  <c:v>-3.9E-2</c:v>
                </c:pt>
                <c:pt idx="5">
                  <c:v>-4.8680000000000001E-2</c:v>
                </c:pt>
                <c:pt idx="6">
                  <c:v>-5.8349999999999999E-2</c:v>
                </c:pt>
                <c:pt idx="7">
                  <c:v>-6.8029999999999993E-2</c:v>
                </c:pt>
                <c:pt idx="8">
                  <c:v>-7.7700000000000005E-2</c:v>
                </c:pt>
                <c:pt idx="9">
                  <c:v>-8.7370000000000003E-2</c:v>
                </c:pt>
                <c:pt idx="10">
                  <c:v>-9.7040000000000001E-2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7125704726559639E-2"/>
                  <c:y val="-0.426175261107326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Data!$AV$2:$AV$12</c:f>
              <c:numCache>
                <c:formatCode>General</c:formatCode>
                <c:ptCount val="11"/>
                <c:pt idx="0" formatCode="0.00E+00">
                  <c:v>9.6539999999999994E-3</c:v>
                </c:pt>
                <c:pt idx="1">
                  <c:v>8.6819999999999987E-3</c:v>
                </c:pt>
                <c:pt idx="2">
                  <c:v>7.7120000000000001E-3</c:v>
                </c:pt>
                <c:pt idx="3">
                  <c:v>6.7410000000000005E-3</c:v>
                </c:pt>
                <c:pt idx="4">
                  <c:v>5.7790000000000003E-3</c:v>
                </c:pt>
                <c:pt idx="5">
                  <c:v>4.8080000000000006E-3</c:v>
                </c:pt>
                <c:pt idx="6">
                  <c:v>3.836E-3</c:v>
                </c:pt>
                <c:pt idx="7">
                  <c:v>2.8710000000000003E-3</c:v>
                </c:pt>
                <c:pt idx="8">
                  <c:v>1.9039999999999999E-3</c:v>
                </c:pt>
                <c:pt idx="9">
                  <c:v>9.3639999999999999E-4</c:v>
                </c:pt>
                <c:pt idx="10">
                  <c:v>-2.9819999999999999E-5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7901736067808563"/>
                  <c:y val="-0.116680299946279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Data!$AV$12:$AV$22</c:f>
              <c:numCache>
                <c:formatCode>General</c:formatCode>
                <c:ptCount val="11"/>
                <c:pt idx="0">
                  <c:v>-2.9819999999999999E-5</c:v>
                </c:pt>
                <c:pt idx="1">
                  <c:v>-1.0096E-3</c:v>
                </c:pt>
                <c:pt idx="2">
                  <c:v>-1.9686E-3</c:v>
                </c:pt>
                <c:pt idx="3">
                  <c:v>-2.9340000000000004E-3</c:v>
                </c:pt>
                <c:pt idx="4">
                  <c:v>-3.9020000000000001E-3</c:v>
                </c:pt>
                <c:pt idx="5">
                  <c:v>-4.8700000000000002E-3</c:v>
                </c:pt>
                <c:pt idx="6">
                  <c:v>-5.8390000000000004E-3</c:v>
                </c:pt>
                <c:pt idx="7">
                  <c:v>-6.8059999999999996E-3</c:v>
                </c:pt>
                <c:pt idx="8">
                  <c:v>-7.7740000000000005E-3</c:v>
                </c:pt>
                <c:pt idx="9">
                  <c:v>-8.7419999999999998E-3</c:v>
                </c:pt>
                <c:pt idx="10">
                  <c:v>-9.7089999999999989E-3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Data!$AW$2:$AW$12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-25207</c:v>
                </c:pt>
                <c:pt idx="3">
                  <c:v>-22046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-9391</c:v>
                </c:pt>
                <c:pt idx="8">
                  <c:v>-6229</c:v>
                </c:pt>
                <c:pt idx="9">
                  <c:v>-3065</c:v>
                </c:pt>
                <c:pt idx="10">
                  <c:v>98</c:v>
                </c:pt>
              </c:numCache>
            </c:numRef>
          </c:xVal>
          <c:yVal>
            <c:numRef>
              <c:f>Data!$AV$2:$AV$12</c:f>
              <c:numCache>
                <c:formatCode>General</c:formatCode>
                <c:ptCount val="11"/>
                <c:pt idx="0" formatCode="0.00E+00">
                  <c:v>9.6539999999999994E-3</c:v>
                </c:pt>
                <c:pt idx="1">
                  <c:v>8.6819999999999987E-3</c:v>
                </c:pt>
                <c:pt idx="2">
                  <c:v>7.7120000000000001E-3</c:v>
                </c:pt>
                <c:pt idx="3">
                  <c:v>6.7410000000000005E-3</c:v>
                </c:pt>
                <c:pt idx="4">
                  <c:v>5.7790000000000003E-3</c:v>
                </c:pt>
                <c:pt idx="5">
                  <c:v>4.8080000000000006E-3</c:v>
                </c:pt>
                <c:pt idx="6">
                  <c:v>3.836E-3</c:v>
                </c:pt>
                <c:pt idx="7">
                  <c:v>2.8710000000000003E-3</c:v>
                </c:pt>
                <c:pt idx="8">
                  <c:v>1.9039999999999999E-3</c:v>
                </c:pt>
                <c:pt idx="9">
                  <c:v>9.3639999999999999E-4</c:v>
                </c:pt>
                <c:pt idx="10">
                  <c:v>-2.9819999999999999E-5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Data!$AW$12:$AW$22</c:f>
              <c:numCache>
                <c:formatCode>General</c:formatCode>
                <c:ptCount val="11"/>
                <c:pt idx="0">
                  <c:v>98</c:v>
                </c:pt>
                <c:pt idx="1">
                  <c:v>3262</c:v>
                </c:pt>
                <c:pt idx="2">
                  <c:v>6426</c:v>
                </c:pt>
                <c:pt idx="3">
                  <c:v>9590</c:v>
                </c:pt>
                <c:pt idx="4">
                  <c:v>12755</c:v>
                </c:pt>
                <c:pt idx="5">
                  <c:v>15919</c:v>
                </c:pt>
                <c:pt idx="6">
                  <c:v>19085</c:v>
                </c:pt>
                <c:pt idx="7">
                  <c:v>22250</c:v>
                </c:pt>
                <c:pt idx="8">
                  <c:v>25413</c:v>
                </c:pt>
                <c:pt idx="9">
                  <c:v>28577</c:v>
                </c:pt>
                <c:pt idx="10">
                  <c:v>31740</c:v>
                </c:pt>
              </c:numCache>
            </c:numRef>
          </c:xVal>
          <c:yVal>
            <c:numRef>
              <c:f>Data!$AV$12:$AV$22</c:f>
              <c:numCache>
                <c:formatCode>General</c:formatCode>
                <c:ptCount val="11"/>
                <c:pt idx="0">
                  <c:v>-2.9819999999999999E-5</c:v>
                </c:pt>
                <c:pt idx="1">
                  <c:v>-1.0096E-3</c:v>
                </c:pt>
                <c:pt idx="2">
                  <c:v>-1.9686E-3</c:v>
                </c:pt>
                <c:pt idx="3">
                  <c:v>-2.9340000000000004E-3</c:v>
                </c:pt>
                <c:pt idx="4">
                  <c:v>-3.9020000000000001E-3</c:v>
                </c:pt>
                <c:pt idx="5">
                  <c:v>-4.8700000000000002E-3</c:v>
                </c:pt>
                <c:pt idx="6">
                  <c:v>-5.8390000000000004E-3</c:v>
                </c:pt>
                <c:pt idx="7">
                  <c:v>-6.8059999999999996E-3</c:v>
                </c:pt>
                <c:pt idx="8">
                  <c:v>-7.7740000000000005E-3</c:v>
                </c:pt>
                <c:pt idx="9">
                  <c:v>-8.7419999999999998E-3</c:v>
                </c:pt>
                <c:pt idx="10">
                  <c:v>-9.7089999999999989E-3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801287537037121E-2"/>
          <c:y val="0.19164038022015978"/>
          <c:w val="0.89133806663025672"/>
          <c:h val="0.71010888257613891"/>
        </c:manualLayout>
      </c:layout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200196097825292"/>
                  <c:y val="-0.145558923846831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Data!$BB$2:$BB$12</c:f>
              <c:numCache>
                <c:formatCode>General</c:formatCode>
                <c:ptCount val="11"/>
                <c:pt idx="0">
                  <c:v>9.660999999999999E-4</c:v>
                </c:pt>
                <c:pt idx="1">
                  <c:v>8.6840000000000007E-4</c:v>
                </c:pt>
                <c:pt idx="2">
                  <c:v>7.7139999999999999E-4</c:v>
                </c:pt>
                <c:pt idx="3">
                  <c:v>6.7439999999999991E-4</c:v>
                </c:pt>
                <c:pt idx="4">
                  <c:v>5.7429999999999992E-4</c:v>
                </c:pt>
                <c:pt idx="5">
                  <c:v>4.75E-4</c:v>
                </c:pt>
                <c:pt idx="6">
                  <c:v>3.8309999999999999E-4</c:v>
                </c:pt>
                <c:pt idx="7">
                  <c:v>2.8729999999999999E-4</c:v>
                </c:pt>
                <c:pt idx="8">
                  <c:v>1.9079999999999998E-4</c:v>
                </c:pt>
                <c:pt idx="9">
                  <c:v>9.4679999999999995E-5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89404696886947"/>
                  <c:y val="0.218935459842397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Data!$BB$12:$BB$22</c:f>
              <c:numCache>
                <c:formatCode>General</c:formatCode>
                <c:ptCount val="11"/>
                <c:pt idx="0">
                  <c:v>0</c:v>
                </c:pt>
                <c:pt idx="1">
                  <c:v>-9.9530000000000004E-5</c:v>
                </c:pt>
                <c:pt idx="2">
                  <c:v>-1.9623000000000001E-4</c:v>
                </c:pt>
                <c:pt idx="3">
                  <c:v>-2.9159999999999999E-4</c:v>
                </c:pt>
                <c:pt idx="4">
                  <c:v>-3.8969999999999999E-4</c:v>
                </c:pt>
                <c:pt idx="5">
                  <c:v>-4.8709999999999997E-4</c:v>
                </c:pt>
                <c:pt idx="6">
                  <c:v>-5.8370000000000004E-4</c:v>
                </c:pt>
                <c:pt idx="7">
                  <c:v>-6.8050000000000001E-4</c:v>
                </c:pt>
                <c:pt idx="8">
                  <c:v>-7.7729999999999997E-4</c:v>
                </c:pt>
                <c:pt idx="9">
                  <c:v>-8.7410000000000005E-4</c:v>
                </c:pt>
                <c:pt idx="10">
                  <c:v>-9.7100000000000007E-4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Data!$BC$2:$BC$12</c:f>
              <c:numCache>
                <c:formatCode>General</c:formatCode>
                <c:ptCount val="11"/>
                <c:pt idx="0">
                  <c:v>-31531</c:v>
                </c:pt>
                <c:pt idx="1">
                  <c:v>-28369</c:v>
                </c:pt>
                <c:pt idx="2">
                  <c:v>-25206</c:v>
                </c:pt>
                <c:pt idx="3">
                  <c:v>-22045</c:v>
                </c:pt>
                <c:pt idx="4">
                  <c:v>-18882</c:v>
                </c:pt>
                <c:pt idx="5">
                  <c:v>-15720</c:v>
                </c:pt>
                <c:pt idx="6">
                  <c:v>-12555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Data!$BB$2:$BB$12</c:f>
              <c:numCache>
                <c:formatCode>General</c:formatCode>
                <c:ptCount val="11"/>
                <c:pt idx="0">
                  <c:v>9.660999999999999E-4</c:v>
                </c:pt>
                <c:pt idx="1">
                  <c:v>8.6840000000000007E-4</c:v>
                </c:pt>
                <c:pt idx="2">
                  <c:v>7.7139999999999999E-4</c:v>
                </c:pt>
                <c:pt idx="3">
                  <c:v>6.7439999999999991E-4</c:v>
                </c:pt>
                <c:pt idx="4">
                  <c:v>5.7429999999999992E-4</c:v>
                </c:pt>
                <c:pt idx="5">
                  <c:v>4.75E-4</c:v>
                </c:pt>
                <c:pt idx="6">
                  <c:v>3.8309999999999999E-4</c:v>
                </c:pt>
                <c:pt idx="7">
                  <c:v>2.8729999999999999E-4</c:v>
                </c:pt>
                <c:pt idx="8">
                  <c:v>1.9079999999999998E-4</c:v>
                </c:pt>
                <c:pt idx="9">
                  <c:v>9.4679999999999995E-5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Data!$BC$12:$BC$22</c:f>
              <c:numCache>
                <c:formatCode>General</c:formatCode>
                <c:ptCount val="11"/>
                <c:pt idx="0">
                  <c:v>100</c:v>
                </c:pt>
                <c:pt idx="1">
                  <c:v>3262</c:v>
                </c:pt>
                <c:pt idx="2">
                  <c:v>6426</c:v>
                </c:pt>
                <c:pt idx="3">
                  <c:v>9589</c:v>
                </c:pt>
                <c:pt idx="4">
                  <c:v>12753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28576</c:v>
                </c:pt>
                <c:pt idx="10">
                  <c:v>31739</c:v>
                </c:pt>
              </c:numCache>
            </c:numRef>
          </c:xVal>
          <c:yVal>
            <c:numRef>
              <c:f>Data!$BB$12:$BB$22</c:f>
              <c:numCache>
                <c:formatCode>General</c:formatCode>
                <c:ptCount val="11"/>
                <c:pt idx="0">
                  <c:v>0</c:v>
                </c:pt>
                <c:pt idx="1">
                  <c:v>-9.9530000000000004E-5</c:v>
                </c:pt>
                <c:pt idx="2">
                  <c:v>-1.9623000000000001E-4</c:v>
                </c:pt>
                <c:pt idx="3">
                  <c:v>-2.9159999999999999E-4</c:v>
                </c:pt>
                <c:pt idx="4">
                  <c:v>-3.8969999999999999E-4</c:v>
                </c:pt>
                <c:pt idx="5">
                  <c:v>-4.8709999999999997E-4</c:v>
                </c:pt>
                <c:pt idx="6">
                  <c:v>-5.8370000000000004E-4</c:v>
                </c:pt>
                <c:pt idx="7">
                  <c:v>-6.8050000000000001E-4</c:v>
                </c:pt>
                <c:pt idx="8">
                  <c:v>-7.7729999999999997E-4</c:v>
                </c:pt>
                <c:pt idx="9">
                  <c:v>-8.7410000000000005E-4</c:v>
                </c:pt>
                <c:pt idx="10">
                  <c:v>-9.7100000000000007E-4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926119284242946E-2"/>
                  <c:y val="4.77296351119818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Data!$BH$2:$BH$12</c:f>
              <c:numCache>
                <c:formatCode>General</c:formatCode>
                <c:ptCount val="11"/>
                <c:pt idx="0">
                  <c:v>9.6019999999999992E-5</c:v>
                </c:pt>
                <c:pt idx="1">
                  <c:v>8.6429999999999997E-5</c:v>
                </c:pt>
                <c:pt idx="2">
                  <c:v>7.6619999999999995E-5</c:v>
                </c:pt>
                <c:pt idx="3">
                  <c:v>6.6419999999999991E-5</c:v>
                </c:pt>
                <c:pt idx="4">
                  <c:v>5.8770000000000001E-5</c:v>
                </c:pt>
                <c:pt idx="5">
                  <c:v>4.6369999999999998E-5</c:v>
                </c:pt>
                <c:pt idx="6">
                  <c:v>3.8680000000000002E-5</c:v>
                </c:pt>
                <c:pt idx="7">
                  <c:v>2.9329999999999999E-5</c:v>
                </c:pt>
                <c:pt idx="8">
                  <c:v>1.8069999999999998E-5</c:v>
                </c:pt>
                <c:pt idx="9">
                  <c:v>9.3039999999999994E-6</c:v>
                </c:pt>
                <c:pt idx="10">
                  <c:v>-5.4499999999999998E-8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1304807406993295"/>
                  <c:y val="0.1210818007372566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Data!$BH$12:$BH$22</c:f>
              <c:numCache>
                <c:formatCode>General</c:formatCode>
                <c:ptCount val="11"/>
                <c:pt idx="0">
                  <c:v>-5.4499999999999998E-8</c:v>
                </c:pt>
                <c:pt idx="1">
                  <c:v>-8.4139999999999994E-6</c:v>
                </c:pt>
                <c:pt idx="2">
                  <c:v>-1.8716000000000002E-5</c:v>
                </c:pt>
                <c:pt idx="3">
                  <c:v>-2.745E-5</c:v>
                </c:pt>
                <c:pt idx="4">
                  <c:v>-3.854E-5</c:v>
                </c:pt>
                <c:pt idx="5">
                  <c:v>-4.9210000000000005E-5</c:v>
                </c:pt>
                <c:pt idx="6">
                  <c:v>-5.6990000000000002E-5</c:v>
                </c:pt>
                <c:pt idx="7">
                  <c:v>-6.7889999999999989E-5</c:v>
                </c:pt>
                <c:pt idx="8">
                  <c:v>-7.771E-5</c:v>
                </c:pt>
                <c:pt idx="9">
                  <c:v>-8.6139999999999999E-5</c:v>
                </c:pt>
                <c:pt idx="10">
                  <c:v>-9.7E-5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Data!$BI$2:$BI$12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-25206</c:v>
                </c:pt>
                <c:pt idx="3">
                  <c:v>-22045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-9391</c:v>
                </c:pt>
                <c:pt idx="8">
                  <c:v>-6228</c:v>
                </c:pt>
                <c:pt idx="9">
                  <c:v>-3064</c:v>
                </c:pt>
                <c:pt idx="10">
                  <c:v>98</c:v>
                </c:pt>
              </c:numCache>
            </c:numRef>
          </c:xVal>
          <c:yVal>
            <c:numRef>
              <c:f>Data!$BH$2:$BH$12</c:f>
              <c:numCache>
                <c:formatCode>General</c:formatCode>
                <c:ptCount val="11"/>
                <c:pt idx="0">
                  <c:v>9.6019999999999992E-5</c:v>
                </c:pt>
                <c:pt idx="1">
                  <c:v>8.6429999999999997E-5</c:v>
                </c:pt>
                <c:pt idx="2">
                  <c:v>7.6619999999999995E-5</c:v>
                </c:pt>
                <c:pt idx="3">
                  <c:v>6.6419999999999991E-5</c:v>
                </c:pt>
                <c:pt idx="4">
                  <c:v>5.8770000000000001E-5</c:v>
                </c:pt>
                <c:pt idx="5">
                  <c:v>4.6369999999999998E-5</c:v>
                </c:pt>
                <c:pt idx="6">
                  <c:v>3.8680000000000002E-5</c:v>
                </c:pt>
                <c:pt idx="7">
                  <c:v>2.9329999999999999E-5</c:v>
                </c:pt>
                <c:pt idx="8">
                  <c:v>1.8069999999999998E-5</c:v>
                </c:pt>
                <c:pt idx="9">
                  <c:v>9.3039999999999994E-6</c:v>
                </c:pt>
                <c:pt idx="10">
                  <c:v>-5.4499999999999998E-8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Data!$BI$12:$BI$22</c:f>
              <c:numCache>
                <c:formatCode>General</c:formatCode>
                <c:ptCount val="11"/>
                <c:pt idx="0">
                  <c:v>98</c:v>
                </c:pt>
                <c:pt idx="1">
                  <c:v>3261</c:v>
                </c:pt>
                <c:pt idx="2">
                  <c:v>6425</c:v>
                </c:pt>
                <c:pt idx="3">
                  <c:v>9589</c:v>
                </c:pt>
                <c:pt idx="4">
                  <c:v>12752</c:v>
                </c:pt>
                <c:pt idx="5">
                  <c:v>15917</c:v>
                </c:pt>
                <c:pt idx="6">
                  <c:v>19082</c:v>
                </c:pt>
                <c:pt idx="7">
                  <c:v>22248</c:v>
                </c:pt>
                <c:pt idx="8">
                  <c:v>25410</c:v>
                </c:pt>
                <c:pt idx="9">
                  <c:v>28575</c:v>
                </c:pt>
                <c:pt idx="10">
                  <c:v>31738</c:v>
                </c:pt>
              </c:numCache>
            </c:numRef>
          </c:xVal>
          <c:yVal>
            <c:numRef>
              <c:f>Data!$BH$12:$BH$22</c:f>
              <c:numCache>
                <c:formatCode>General</c:formatCode>
                <c:ptCount val="11"/>
                <c:pt idx="0">
                  <c:v>-5.4499999999999998E-8</c:v>
                </c:pt>
                <c:pt idx="1">
                  <c:v>-8.4139999999999994E-6</c:v>
                </c:pt>
                <c:pt idx="2">
                  <c:v>-1.8716000000000002E-5</c:v>
                </c:pt>
                <c:pt idx="3">
                  <c:v>-2.745E-5</c:v>
                </c:pt>
                <c:pt idx="4">
                  <c:v>-3.854E-5</c:v>
                </c:pt>
                <c:pt idx="5">
                  <c:v>-4.9210000000000005E-5</c:v>
                </c:pt>
                <c:pt idx="6">
                  <c:v>-5.6990000000000002E-5</c:v>
                </c:pt>
                <c:pt idx="7">
                  <c:v>-6.7889999999999989E-5</c:v>
                </c:pt>
                <c:pt idx="8">
                  <c:v>-7.771E-5</c:v>
                </c:pt>
                <c:pt idx="9">
                  <c:v>-8.6139999999999999E-5</c:v>
                </c:pt>
                <c:pt idx="10">
                  <c:v>-9.7E-5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514350</xdr:colOff>
          <xdr:row>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66675</xdr:rowOff>
        </xdr:from>
        <xdr:to>
          <xdr:col>8</xdr:col>
          <xdr:colOff>514350</xdr:colOff>
          <xdr:row>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95250</xdr:rowOff>
        </xdr:from>
        <xdr:to>
          <xdr:col>7</xdr:col>
          <xdr:colOff>228600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</xdr:colOff>
      <xdr:row>3</xdr:row>
      <xdr:rowOff>15875</xdr:rowOff>
    </xdr:from>
    <xdr:to>
      <xdr:col>18</xdr:col>
      <xdr:colOff>28575</xdr:colOff>
      <xdr:row>24</xdr:row>
      <xdr:rowOff>187325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0</xdr:row>
          <xdr:rowOff>95250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95250</xdr:rowOff>
        </xdr:from>
        <xdr:to>
          <xdr:col>7</xdr:col>
          <xdr:colOff>247650</xdr:colOff>
          <xdr:row>2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0</xdr:row>
          <xdr:rowOff>95250</xdr:rowOff>
        </xdr:from>
        <xdr:to>
          <xdr:col>9</xdr:col>
          <xdr:colOff>400050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104775</xdr:rowOff>
        </xdr:from>
        <xdr:to>
          <xdr:col>7</xdr:col>
          <xdr:colOff>247650</xdr:colOff>
          <xdr:row>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92075</xdr:colOff>
      <xdr:row>3</xdr:row>
      <xdr:rowOff>15875</xdr:rowOff>
    </xdr:from>
    <xdr:to>
      <xdr:col>18</xdr:col>
      <xdr:colOff>73025</xdr:colOff>
      <xdr:row>24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95250</xdr:rowOff>
        </xdr:from>
        <xdr:to>
          <xdr:col>9</xdr:col>
          <xdr:colOff>400050</xdr:colOff>
          <xdr:row>2</xdr:row>
          <xdr:rowOff>85725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57150</xdr:rowOff>
        </xdr:from>
        <xdr:to>
          <xdr:col>9</xdr:col>
          <xdr:colOff>371475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10</xdr:col>
      <xdr:colOff>3175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247650</xdr:colOff>
      <xdr:row>9</xdr:row>
      <xdr:rowOff>9525</xdr:rowOff>
    </xdr:from>
    <xdr:to>
      <xdr:col>19</xdr:col>
      <xdr:colOff>336550</xdr:colOff>
      <xdr:row>28</xdr:row>
      <xdr:rowOff>165101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8</xdr:row>
      <xdr:rowOff>180975</xdr:rowOff>
    </xdr:from>
    <xdr:to>
      <xdr:col>19</xdr:col>
      <xdr:colOff>174625</xdr:colOff>
      <xdr:row>28</xdr:row>
      <xdr:rowOff>146051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66675</xdr:colOff>
      <xdr:row>9</xdr:row>
      <xdr:rowOff>0</xdr:rowOff>
    </xdr:from>
    <xdr:to>
      <xdr:col>19</xdr:col>
      <xdr:colOff>155575</xdr:colOff>
      <xdr:row>28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8</xdr:row>
      <xdr:rowOff>152400</xdr:rowOff>
    </xdr:from>
    <xdr:to>
      <xdr:col>20</xdr:col>
      <xdr:colOff>203200</xdr:colOff>
      <xdr:row>28</xdr:row>
      <xdr:rowOff>117476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1</xdr:col>
          <xdr:colOff>704850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</xdr:row>
          <xdr:rowOff>95250</xdr:rowOff>
        </xdr:from>
        <xdr:to>
          <xdr:col>7</xdr:col>
          <xdr:colOff>476250</xdr:colOff>
          <xdr:row>4</xdr:row>
          <xdr:rowOff>85725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</xdr:row>
          <xdr:rowOff>95250</xdr:rowOff>
        </xdr:from>
        <xdr:to>
          <xdr:col>3</xdr:col>
          <xdr:colOff>438150</xdr:colOff>
          <xdr:row>4</xdr:row>
          <xdr:rowOff>85725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104775</xdr:rowOff>
        </xdr:from>
        <xdr:to>
          <xdr:col>1</xdr:col>
          <xdr:colOff>2847975</xdr:colOff>
          <xdr:row>4</xdr:row>
          <xdr:rowOff>95250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114300</xdr:rowOff>
        </xdr:from>
        <xdr:to>
          <xdr:col>6</xdr:col>
          <xdr:colOff>428625</xdr:colOff>
          <xdr:row>4</xdr:row>
          <xdr:rowOff>95250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growShrinkType="overwriteClear" connectionId="510" xr16:uid="{00000000-0016-0000-0200-00009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596" xr16:uid="{00000000-0016-0000-0200-000097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551" xr16:uid="{00000000-0016-0000-0200-00009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growShrinkType="overwriteClear" connectionId="469" xr16:uid="{00000000-0016-0000-0200-00009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growShrinkType="overwriteClear" connectionId="498" xr16:uid="{00000000-0016-0000-0200-00009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growShrinkType="overwriteClear" connectionId="508" xr16:uid="{00000000-0016-0000-0200-00009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growShrinkType="overwriteClear" connectionId="494" xr16:uid="{00000000-0016-0000-0200-000092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growShrinkType="overwriteClear" connectionId="516" xr16:uid="{00000000-0016-0000-0200-00009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564" xr16:uid="{00000000-0016-0000-0200-000090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growShrinkType="overwriteClear" connectionId="503" xr16:uid="{00000000-0016-0000-0200-00008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560" xr16:uid="{00000000-0016-0000-0200-00008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568" xr16:uid="{00000000-0016-0000-0200-00008D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521" xr16:uid="{00000000-0016-0000-0200-00008C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585" xr16:uid="{00000000-0016-0000-0200-00008B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growShrinkType="overwriteClear" connectionId="471" xr16:uid="{00000000-0016-0000-0200-00008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89" xr16:uid="{00000000-0016-0000-0200-00008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538" xr16:uid="{00000000-0016-0000-0200-000088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574" xr16:uid="{00000000-0016-0000-0200-00008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growShrinkType="overwriteClear" connectionId="520" xr16:uid="{00000000-0016-0000-0200-000086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586" xr16:uid="{00000000-0016-0000-0200-00008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523" xr16:uid="{00000000-0016-0000-0200-00008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608" xr16:uid="{00000000-0016-0000-0200-00008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558" xr16:uid="{00000000-0016-0000-0200-00008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growShrinkType="overwriteClear" connectionId="509" xr16:uid="{00000000-0016-0000-0200-00008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542" xr16:uid="{00000000-0016-0000-0200-000080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growShrinkType="overwriteClear" connectionId="477" xr16:uid="{00000000-0016-0000-0200-00007F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growShrinkType="overwriteClear" connectionId="476" xr16:uid="{00000000-0016-0000-0200-00007E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growShrinkType="overwriteClear" connectionId="490" xr16:uid="{00000000-0016-0000-0200-00007D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growShrinkType="overwriteClear" connectionId="613" xr16:uid="{00000000-0016-0000-0200-00007C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603" xr16:uid="{00000000-0016-0000-0200-00007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540" xr16:uid="{00000000-0016-0000-0200-00007A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607" xr16:uid="{00000000-0016-0000-0200-000079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growShrinkType="overwriteClear" connectionId="517" xr16:uid="{00000000-0016-0000-0200-000078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529" xr16:uid="{00000000-0016-0000-0200-000077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583" xr16:uid="{00000000-0016-0000-0200-000076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578" xr16:uid="{00000000-0016-0000-0200-000075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584" xr16:uid="{00000000-0016-0000-0200-000074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growShrinkType="overwriteClear" connectionId="514" xr16:uid="{00000000-0016-0000-0200-000073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530" xr16:uid="{00000000-0016-0000-0200-000072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552" xr16:uid="{00000000-0016-0000-0200-000071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592" xr16:uid="{00000000-0016-0000-0200-000070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growShrinkType="overwriteClear" connectionId="484" xr16:uid="{00000000-0016-0000-0200-00006F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growShrinkType="overwriteClear" connectionId="502" xr16:uid="{00000000-0016-0000-0200-00006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589" xr16:uid="{00000000-0016-0000-0200-00006D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growShrinkType="overwriteClear" connectionId="504" xr16:uid="{00000000-0016-0000-0200-00006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524" xr16:uid="{00000000-0016-0000-0200-00006B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614" xr16:uid="{00000000-0016-0000-0200-00006A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582" xr16:uid="{00000000-0016-0000-0200-000069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growShrinkType="overwriteClear" connectionId="499" xr16:uid="{00000000-0016-0000-0200-000068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growShrinkType="overwriteClear" connectionId="485" xr16:uid="{00000000-0016-0000-0200-000067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601" xr16:uid="{00000000-0016-0000-0200-000066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595" xr16:uid="{00000000-0016-0000-0200-000065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556" xr16:uid="{00000000-0016-0000-0200-00006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growShrinkType="overwriteClear" connectionId="475" xr16:uid="{00000000-0016-0000-0200-000063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588" xr16:uid="{00000000-0016-0000-0200-000062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growShrinkType="overwriteClear" connectionId="487" xr16:uid="{00000000-0016-0000-0200-000061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growShrinkType="overwriteClear" connectionId="512" xr16:uid="{00000000-0016-0000-0200-000060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567" xr16:uid="{00000000-0016-0000-0200-00005F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growShrinkType="overwriteClear" connectionId="515" xr16:uid="{00000000-0016-0000-0200-00005E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594" xr16:uid="{00000000-0016-0000-0200-00005D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growShrinkType="overwriteClear" connectionId="611" xr16:uid="{00000000-0016-0000-0200-00005C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575" xr16:uid="{00000000-0016-0000-0200-00005B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600" xr16:uid="{00000000-0016-0000-0200-00005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528" xr16:uid="{00000000-0016-0000-0200-00005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467" xr16:uid="{00000000-0016-0000-0200-000058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growShrinkType="overwriteClear" connectionId="482" xr16:uid="{00000000-0016-0000-0200-000057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541" xr16:uid="{00000000-0016-0000-0200-000056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growShrinkType="overwriteClear" connectionId="472" xr16:uid="{00000000-0016-0000-0200-000055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593" xr16:uid="{00000000-0016-0000-0200-000054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growShrinkType="overwriteClear" connectionId="488" xr16:uid="{00000000-0016-0000-0200-000053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546" xr16:uid="{00000000-0016-0000-0200-000052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581" xr16:uid="{00000000-0016-0000-0200-000051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561" xr16:uid="{00000000-0016-0000-0200-000050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571" xr16:uid="{00000000-0016-0000-0200-00004F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545" xr16:uid="{00000000-0016-0000-0200-00004E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532" xr16:uid="{00000000-0016-0000-0200-00004D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599" xr16:uid="{00000000-0016-0000-0200-00004C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growShrinkType="overwriteClear" connectionId="505" xr16:uid="{00000000-0016-0000-0200-00004B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growShrinkType="overwriteClear" connectionId="501" xr16:uid="{00000000-0016-0000-0200-00004A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531" xr16:uid="{00000000-0016-0000-0200-000049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547" xr16:uid="{00000000-0016-0000-0200-000048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554" xr16:uid="{00000000-0016-0000-0200-00004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511" xr16:uid="{00000000-0016-0000-0200-000046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growShrinkType="overwriteClear" connectionId="495" xr16:uid="{00000000-0016-0000-0200-00004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growShrinkType="overwriteClear" connectionId="410" xr16:uid="{00000000-0016-0000-0200-000044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growShrinkType="overwriteClear" connectionId="473" xr16:uid="{00000000-0016-0000-0200-00004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478" xr16:uid="{00000000-0016-0000-0200-000042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59" xr16:uid="{00000000-0016-0000-0200-000041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growShrinkType="overwriteClear" connectionId="493" xr16:uid="{00000000-0016-0000-0200-000040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602" xr16:uid="{00000000-0016-0000-0200-00003F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growShrinkType="overwriteClear" connectionId="479" xr16:uid="{00000000-0016-0000-0200-00003E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557" xr16:uid="{00000000-0016-0000-0200-00003D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growShrinkType="overwriteClear" connectionId="492" xr16:uid="{00000000-0016-0000-0200-00003C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70" xr16:uid="{00000000-0016-0000-0200-00003B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563" xr16:uid="{00000000-0016-0000-0200-00003A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549" xr16:uid="{00000000-0016-0000-0200-000039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525" xr16:uid="{00000000-0016-0000-0200-000038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555" xr16:uid="{00000000-0016-0000-0200-000037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527" xr16:uid="{00000000-0016-0000-0200-000036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533" xr16:uid="{00000000-0016-0000-0200-000035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growShrinkType="overwriteClear" connectionId="612" xr16:uid="{00000000-0016-0000-0200-000034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growShrinkType="overwriteClear" connectionId="496" xr16:uid="{00000000-0016-0000-0200-000033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500" xr16:uid="{00000000-0016-0000-0200-000032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548" xr16:uid="{00000000-0016-0000-0200-000031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65" xr16:uid="{00000000-0016-0000-0200-000030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539" xr16:uid="{00000000-0016-0000-0200-00002F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577" xr16:uid="{00000000-0016-0000-0200-00002E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591" xr16:uid="{00000000-0016-0000-0200-00002D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566" xr16:uid="{00000000-0016-0000-0200-00002C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66" xr16:uid="{00000000-0016-0000-0200-00002B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489" xr16:uid="{00000000-0016-0000-0200-00002A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598" xr16:uid="{00000000-0016-0000-0200-000029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562" xr16:uid="{00000000-0016-0000-0200-000028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576" xr16:uid="{00000000-0016-0000-0200-000027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growShrinkType="overwriteClear" connectionId="468" xr16:uid="{00000000-0016-0000-0200-000026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growShrinkType="overwriteClear" connectionId="497" xr16:uid="{00000000-0016-0000-0200-000025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51" xr16:uid="{00000000-0016-0000-0200-000024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growShrinkType="overwriteClear" connectionId="507" xr16:uid="{00000000-0016-0000-0200-000023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544" xr16:uid="{00000000-0016-0000-0200-000022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610" xr16:uid="{00000000-0016-0000-0200-000021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597" xr16:uid="{00000000-0016-0000-0200-000020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537" xr16:uid="{00000000-0016-0000-0200-00001F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526" xr16:uid="{00000000-0016-0000-0200-00001E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growShrinkType="overwriteClear" connectionId="470" xr16:uid="{00000000-0016-0000-0200-00001D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605" xr16:uid="{00000000-0016-0000-0200-00001C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569" xr16:uid="{00000000-0016-0000-0200-00001B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590" xr16:uid="{00000000-0016-0000-0200-00001A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growShrinkType="overwriteClear" connectionId="481" xr16:uid="{00000000-0016-0000-0200-000019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572" xr16:uid="{00000000-0016-0000-0200-000018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609" xr16:uid="{00000000-0016-0000-0200-000017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535" xr16:uid="{00000000-0016-0000-0200-000016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536" xr16:uid="{00000000-0016-0000-0200-000015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growShrinkType="overwriteClear" connectionId="480" xr16:uid="{00000000-0016-0000-0200-000014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579" xr16:uid="{00000000-0016-0000-0200-000013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573" xr16:uid="{00000000-0016-0000-0200-000012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534" xr16:uid="{00000000-0016-0000-0200-000011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growShrinkType="overwriteClear" connectionId="519" xr16:uid="{00000000-0016-0000-0200-000010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growShrinkType="overwriteClear" connectionId="513" xr16:uid="{00000000-0016-0000-0200-00000F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522" xr16:uid="{00000000-0016-0000-0200-00000E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587" xr16:uid="{00000000-0016-0000-0200-00000D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606" xr16:uid="{00000000-0016-0000-0200-00000C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growShrinkType="overwriteClear" connectionId="483" xr16:uid="{00000000-0016-0000-0200-00000B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565" xr16:uid="{00000000-0016-0000-0200-00000A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553" xr16:uid="{00000000-0016-0000-0200-000009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543" xr16:uid="{00000000-0016-0000-0200-000008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growShrinkType="overwriteClear" connectionId="491" xr16:uid="{00000000-0016-0000-0200-000007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growShrinkType="overwriteClear" connectionId="474" xr16:uid="{00000000-0016-0000-0200-000006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604" xr16:uid="{00000000-0016-0000-0200-000005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550" xr16:uid="{00000000-0016-0000-0200-000004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growShrinkType="overwriteClear" connectionId="506" xr16:uid="{00000000-0016-0000-0200-000003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growShrinkType="overwriteClear" connectionId="486" xr16:uid="{00000000-0016-0000-0200-000002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580" xr16:uid="{00000000-0016-0000-0200-000001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growShrinkType="overwriteClear" connectionId="518" xr16:uid="{00000000-0016-0000-0200-000000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172" xr16:uid="{00000000-0016-0000-0300-000003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92" xr16:uid="{00000000-0016-0000-0300-000002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78" xr16:uid="{00000000-0016-0000-0300-000001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139" xr16:uid="{00000000-0016-0000-0300-000000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25" xr16:uid="{00000000-0016-0000-0300-0000FF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85" xr16:uid="{00000000-0016-0000-0300-0000FE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148" xr16:uid="{00000000-0016-0000-0300-0000FD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86" xr16:uid="{00000000-0016-0000-0300-0000FC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147" xr16:uid="{00000000-0016-0000-0300-0000FB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150" xr16:uid="{00000000-0016-0000-0300-0000FA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4" xr16:uid="{00000000-0016-0000-0300-0000F9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168" xr16:uid="{00000000-0016-0000-0300-0000F8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17" xr16:uid="{00000000-0016-0000-0300-0000F7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178" xr16:uid="{00000000-0016-0000-0300-0000F6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02" xr16:uid="{00000000-0016-0000-0300-0000F5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77" xr16:uid="{00000000-0016-0000-0300-0000F4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160" xr16:uid="{00000000-0016-0000-0300-0000F3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20" xr16:uid="{00000000-0016-0000-0300-0000F2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87" xr16:uid="{00000000-0016-0000-0300-0000F1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31" xr16:uid="{00000000-0016-0000-0300-0000F0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97" xr16:uid="{00000000-0016-0000-0300-0000EF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158" xr16:uid="{00000000-0016-0000-0300-0000EE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165" xr16:uid="{00000000-0016-0000-0300-0000ED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166" xr16:uid="{00000000-0016-0000-0300-0000EC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73" xr16:uid="{00000000-0016-0000-0300-0000EB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27" xr16:uid="{00000000-0016-0000-0300-0000EA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145" xr16:uid="{00000000-0016-0000-0300-0000E9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84" xr16:uid="{00000000-0016-0000-0300-0000E8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163" xr16:uid="{00000000-0016-0000-0300-0000E7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180" xr16:uid="{00000000-0016-0000-0300-0000E6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175" xr16:uid="{00000000-0016-0000-0300-0000E5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91" xr16:uid="{00000000-0016-0000-0300-0000E4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154" xr16:uid="{00000000-0016-0000-0300-0000E3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23" xr16:uid="{00000000-0016-0000-0300-0000E2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40" xr16:uid="{00000000-0016-0000-0300-0000E1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176" xr16:uid="{00000000-0016-0000-0300-0000E0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22" xr16:uid="{00000000-0016-0000-0300-0000DF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05" xr16:uid="{00000000-0016-0000-0300-0000DE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95" xr16:uid="{00000000-0016-0000-0300-0000DD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10" xr16:uid="{00000000-0016-0000-0300-0000DC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93" xr16:uid="{00000000-0016-0000-0300-0000DB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157" xr16:uid="{00000000-0016-0000-0300-0000DA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183" xr16:uid="{00000000-0016-0000-0300-0000D9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153" xr16:uid="{00000000-0016-0000-0300-0000D8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155" xr16:uid="{00000000-0016-0000-0300-0000D7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174" xr16:uid="{00000000-0016-0000-0300-0000D6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81" xr16:uid="{00000000-0016-0000-0300-0000D5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164" xr16:uid="{00000000-0016-0000-0300-0000D4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143" xr16:uid="{00000000-0016-0000-0300-0000D3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07" xr16:uid="{00000000-0016-0000-0300-0000D2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136" xr16:uid="{00000000-0016-0000-0300-0000D1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181" xr16:uid="{00000000-0016-0000-0300-0000D0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09" xr16:uid="{00000000-0016-0000-0300-0000CF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80" xr16:uid="{00000000-0016-0000-0300-0000CE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00" xr16:uid="{00000000-0016-0000-0300-0000CD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82" xr16:uid="{00000000-0016-0000-0300-0000CC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03" xr16:uid="{00000000-0016-0000-0300-0000CB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133" xr16:uid="{00000000-0016-0000-0300-0000CA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141" xr16:uid="{00000000-0016-0000-0300-0000C9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132" xr16:uid="{00000000-0016-0000-0300-0000C8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142" xr16:uid="{00000000-0016-0000-0300-0000C7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90" xr16:uid="{00000000-0016-0000-0300-0000C6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08" xr16:uid="{00000000-0016-0000-0300-0000C5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18" xr16:uid="{00000000-0016-0000-0300-0000C4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12" xr16:uid="{00000000-0016-0000-0300-0000C3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171" xr16:uid="{00000000-0016-0000-0300-0000C2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21" xr16:uid="{00000000-0016-0000-0300-0000C1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152" xr16:uid="{00000000-0016-0000-0300-0000C0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177" xr16:uid="{00000000-0016-0000-0300-0000BF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06" xr16:uid="{00000000-0016-0000-0300-0000BE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167" xr16:uid="{00000000-0016-0000-0300-0000BD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26" xr16:uid="{00000000-0016-0000-0300-0000BC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170" xr16:uid="{00000000-0016-0000-0300-0000BB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76" xr16:uid="{00000000-0016-0000-0300-0000BA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83" xr16:uid="{00000000-0016-0000-0300-0000B9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137" xr16:uid="{00000000-0016-0000-0300-0000B8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130" xr16:uid="{00000000-0016-0000-0300-0000B7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62" xr16:uid="{00000000-0016-0000-0300-0000B6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19" xr16:uid="{00000000-0016-0000-0300-0000B5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134" xr16:uid="{00000000-0016-0000-0300-0000B4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75" xr16:uid="{00000000-0016-0000-0300-0000B3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146" xr16:uid="{00000000-0016-0000-0300-0000B2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156" xr16:uid="{00000000-0016-0000-0300-0000B1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182" xr16:uid="{00000000-0016-0000-0300-0000B0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14" xr16:uid="{00000000-0016-0000-0300-0000AF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144" xr16:uid="{00000000-0016-0000-0300-0000AE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01" xr16:uid="{00000000-0016-0000-0300-0000AD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13" xr16:uid="{00000000-0016-0000-0300-0000AC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15" xr16:uid="{00000000-0016-0000-0300-0000AB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161" xr16:uid="{00000000-0016-0000-0300-0000AA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135" xr16:uid="{00000000-0016-0000-0300-0000A9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138" xr16:uid="{00000000-0016-0000-0300-0000A8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99" xr16:uid="{00000000-0016-0000-0300-0000A7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169" xr16:uid="{00000000-0016-0000-0300-0000A6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24" xr16:uid="{00000000-0016-0000-0300-0000A5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29" xr16:uid="{00000000-0016-0000-0300-0000A4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159" xr16:uid="{00000000-0016-0000-0300-0000A3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28" xr16:uid="{00000000-0016-0000-0300-0000A2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98" xr16:uid="{00000000-0016-0000-0300-0000A1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179" xr16:uid="{00000000-0016-0000-0300-0000A0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04" xr16:uid="{00000000-0016-0000-0300-00009F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11" xr16:uid="{00000000-0016-0000-0300-00009E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96" xr16:uid="{00000000-0016-0000-0300-00009D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16" xr16:uid="{00000000-0016-0000-0300-00009C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79" xr16:uid="{00000000-0016-0000-0300-00009B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88" xr16:uid="{00000000-0016-0000-0300-00009A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149" xr16:uid="{00000000-0016-0000-0300-000099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85" xr16:uid="{00000000-0016-0000-0400-000051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92" xr16:uid="{00000000-0016-0000-0400-000050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61" xr16:uid="{00000000-0016-0000-0400-00004F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86" xr16:uid="{00000000-0016-0000-0400-00004E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31" xr16:uid="{00000000-0016-0000-0400-00004D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44" xr16:uid="{00000000-0016-0000-0400-00004C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33" xr16:uid="{00000000-0016-0000-0400-00004B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34" xr16:uid="{00000000-0016-0000-0400-00004A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97" xr16:uid="{00000000-0016-0000-0400-000049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19" xr16:uid="{00000000-0016-0000-0400-000048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89" xr16:uid="{00000000-0016-0000-0400-000047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250" xr16:uid="{00000000-0016-0000-0400-000046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43" xr16:uid="{00000000-0016-0000-0400-000045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32" xr16:uid="{00000000-0016-0000-0400-000044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38" xr16:uid="{00000000-0016-0000-0400-000043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40" xr16:uid="{00000000-0016-0000-0400-000042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09" xr16:uid="{00000000-0016-0000-0400-000041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04" xr16:uid="{00000000-0016-0000-0400-000040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18" xr16:uid="{00000000-0016-0000-0400-00003F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259" xr16:uid="{00000000-0016-0000-0400-00003E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88" xr16:uid="{00000000-0016-0000-0400-00003D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41" xr16:uid="{00000000-0016-0000-0400-00003C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08" xr16:uid="{00000000-0016-0000-0400-00003B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247" xr16:uid="{00000000-0016-0000-0400-00003A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21" xr16:uid="{00000000-0016-0000-0400-000039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256" xr16:uid="{00000000-0016-0000-0400-000038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37" xr16:uid="{00000000-0016-0000-0400-000037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10" xr16:uid="{00000000-0016-0000-0400-000036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52" xr16:uid="{00000000-0016-0000-0400-000035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05" xr16:uid="{00000000-0016-0000-0400-000034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84" xr16:uid="{00000000-0016-0000-0400-000033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248" xr16:uid="{00000000-0016-0000-0400-000032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12" xr16:uid="{00000000-0016-0000-0400-000031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23" xr16:uid="{00000000-0016-0000-0400-000030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94" xr16:uid="{00000000-0016-0000-0400-00002F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90" xr16:uid="{00000000-0016-0000-0400-00002E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98" xr16:uid="{00000000-0016-0000-0400-00002D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13" xr16:uid="{00000000-0016-0000-0400-00002C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45" xr16:uid="{00000000-0016-0000-0400-00002B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27" xr16:uid="{00000000-0016-0000-0400-00002A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24" xr16:uid="{00000000-0016-0000-0400-000029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29" xr16:uid="{00000000-0016-0000-0400-000028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249" xr16:uid="{00000000-0016-0000-0400-000027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96" xr16:uid="{00000000-0016-0000-0400-000026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03" xr16:uid="{00000000-0016-0000-0400-000025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99" xr16:uid="{00000000-0016-0000-0400-000024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22" xr16:uid="{00000000-0016-0000-0400-000023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254" xr16:uid="{00000000-0016-0000-0400-000022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46" xr16:uid="{00000000-0016-0000-0400-000021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39" xr16:uid="{00000000-0016-0000-0400-000020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95" xr16:uid="{00000000-0016-0000-0400-00001F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06" xr16:uid="{00000000-0016-0000-0400-00001E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87" xr16:uid="{00000000-0016-0000-0400-00001D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07" xr16:uid="{00000000-0016-0000-0400-00001C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42" xr16:uid="{00000000-0016-0000-0400-00001B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02" xr16:uid="{00000000-0016-0000-0400-00001A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93" xr16:uid="{00000000-0016-0000-0400-000019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257" xr16:uid="{00000000-0016-0000-0400-000018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15" xr16:uid="{00000000-0016-0000-0400-000017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01" xr16:uid="{00000000-0016-0000-0400-00001601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255" xr16:uid="{00000000-0016-0000-0400-000015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25" xr16:uid="{00000000-0016-0000-0400-000014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11" xr16:uid="{00000000-0016-0000-0400-000013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26" xr16:uid="{00000000-0016-0000-0400-000012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258" xr16:uid="{00000000-0016-0000-0400-000011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16" xr16:uid="{00000000-0016-0000-0400-000010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28" xr16:uid="{00000000-0016-0000-0400-00000F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14" xr16:uid="{00000000-0016-0000-0400-00000E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35" xr16:uid="{00000000-0016-0000-0400-00000D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91" xr16:uid="{00000000-0016-0000-0400-00000C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17" xr16:uid="{00000000-0016-0000-0400-00000B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30" xr16:uid="{00000000-0016-0000-0400-00000A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251" xr16:uid="{00000000-0016-0000-0400-000009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36" xr16:uid="{00000000-0016-0000-0400-000008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253" xr16:uid="{00000000-0016-0000-0400-000007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00" xr16:uid="{00000000-0016-0000-0400-000006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20" xr16:uid="{00000000-0016-0000-0400-000005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60" xr16:uid="{00000000-0016-0000-0400-000004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326" xr16:uid="{00000000-0016-0000-0500-0000A1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332" xr16:uid="{00000000-0016-0000-0500-0000A0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01" xr16:uid="{00000000-0016-0000-0500-00009F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62" xr16:uid="{00000000-0016-0000-0500-00009E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78" xr16:uid="{00000000-0016-0000-0500-00009D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65" xr16:uid="{00000000-0016-0000-0500-00009C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85" xr16:uid="{00000000-0016-0000-0500-00009B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77" xr16:uid="{00000000-0016-0000-0500-00009A01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331" xr16:uid="{00000000-0016-0000-0500-000099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64" xr16:uid="{00000000-0016-0000-0500-000098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63" xr16:uid="{00000000-0016-0000-0500-000097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80" xr16:uid="{00000000-0016-0000-0500-000096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94" xr16:uid="{00000000-0016-0000-0500-000095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324" xr16:uid="{00000000-0016-0000-0500-000094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268" xr16:uid="{00000000-0016-0000-0500-000093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89" xr16:uid="{00000000-0016-0000-0500-000092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334" xr16:uid="{00000000-0016-0000-0500-00009101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339" xr16:uid="{00000000-0016-0000-0500-000090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269" xr16:uid="{00000000-0016-0000-0500-00008F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322" xr16:uid="{00000000-0016-0000-0500-00008E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93" xr16:uid="{00000000-0016-0000-0500-00008D01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91" xr16:uid="{00000000-0016-0000-0500-00008C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67" xr16:uid="{00000000-0016-0000-0500-00008B01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95" xr16:uid="{00000000-0016-0000-0500-00008A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327" xr16:uid="{00000000-0016-0000-0500-000089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311" xr16:uid="{00000000-0016-0000-0500-00008801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70" xr16:uid="{00000000-0016-0000-0500-000087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330" xr16:uid="{00000000-0016-0000-0500-00008601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316" xr16:uid="{00000000-0016-0000-0500-000085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83" xr16:uid="{00000000-0016-0000-0500-000084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79" xr16:uid="{00000000-0016-0000-0500-000083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87" xr16:uid="{00000000-0016-0000-0500-00008201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305" xr16:uid="{00000000-0016-0000-0500-000081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337" xr16:uid="{00000000-0016-0000-0500-00008001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338" xr16:uid="{00000000-0016-0000-0500-00007F01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40" xr16:uid="{00000000-0016-0000-0500-00007E01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315" xr16:uid="{00000000-0016-0000-0500-00007D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72" xr16:uid="{00000000-0016-0000-0500-00007C01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321" xr16:uid="{00000000-0016-0000-0500-00007B01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306" xr16:uid="{00000000-0016-0000-0500-00007A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74" xr16:uid="{00000000-0016-0000-0500-00007901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66" xr16:uid="{00000000-0016-0000-0500-00007801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328" xr16:uid="{00000000-0016-0000-0500-00007701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314" xr16:uid="{00000000-0016-0000-0500-000076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90" xr16:uid="{00000000-0016-0000-0500-00007501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323" xr16:uid="{00000000-0016-0000-0500-00007401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88" xr16:uid="{00000000-0016-0000-0500-00007301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304" xr16:uid="{00000000-0016-0000-0500-00007201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308" xr16:uid="{00000000-0016-0000-0500-00007101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92" xr16:uid="{00000000-0016-0000-0500-00007001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03" xr16:uid="{00000000-0016-0000-0500-00006F01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71" xr16:uid="{00000000-0016-0000-0500-00006E01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76" xr16:uid="{00000000-0016-0000-0500-00006D01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302" xr16:uid="{00000000-0016-0000-0500-00006C01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07" xr16:uid="{00000000-0016-0000-0500-00006B01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82" xr16:uid="{00000000-0016-0000-0500-00006A01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325" xr16:uid="{00000000-0016-0000-0500-00006901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97" xr16:uid="{00000000-0016-0000-0500-00006801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312" xr16:uid="{00000000-0016-0000-0500-00006701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73" xr16:uid="{00000000-0016-0000-0500-00006601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75" xr16:uid="{00000000-0016-0000-0500-00006501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317" xr16:uid="{00000000-0016-0000-0500-00006401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318" xr16:uid="{00000000-0016-0000-0500-00006301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84" xr16:uid="{00000000-0016-0000-0500-00006201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96" xr16:uid="{00000000-0016-0000-0500-00006101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336" xr16:uid="{00000000-0016-0000-0500-00006001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10" xr16:uid="{00000000-0016-0000-0500-00005F01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319" xr16:uid="{00000000-0016-0000-0500-00005E01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81" xr16:uid="{00000000-0016-0000-0500-00005D01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00" xr16:uid="{00000000-0016-0000-0500-00005C01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329" xr16:uid="{00000000-0016-0000-0500-00005B01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86" xr16:uid="{00000000-0016-0000-0500-00005A01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313" xr16:uid="{00000000-0016-0000-0500-00005901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335" xr16:uid="{00000000-0016-0000-0500-00005801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66" xr16:uid="{00000000-0016-0000-0500-00005701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320" xr16:uid="{00000000-0016-0000-0500-00005601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98" xr16:uid="{00000000-0016-0000-0500-00005501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333" xr16:uid="{00000000-0016-0000-0500-00005401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99" xr16:uid="{00000000-0016-0000-0500-00005301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74" xr16:uid="{00000000-0016-0000-0500-00005201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364" xr16:uid="{00000000-0016-0000-0600-00000702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367" xr16:uid="{00000000-0016-0000-0600-00000602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399" xr16:uid="{00000000-0016-0000-0600-00000502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407" xr16:uid="{00000000-0016-0000-0600-00000402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440" xr16:uid="{00000000-0016-0000-0600-00000302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398" xr16:uid="{00000000-0016-0000-0600-00000202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391" xr16:uid="{00000000-0016-0000-0600-00000102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49" xr16:uid="{00000000-0016-0000-0600-00000002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80" xr16:uid="{00000000-0016-0000-0600-0000FF01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386" xr16:uid="{00000000-0016-0000-0600-0000FE01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432" xr16:uid="{00000000-0016-0000-0600-0000FD01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387" xr16:uid="{00000000-0016-0000-0600-0000FC01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396" xr16:uid="{00000000-0016-0000-0600-0000FB01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344" xr16:uid="{00000000-0016-0000-0600-0000FA01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352" xr16:uid="{00000000-0016-0000-0600-0000F901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348" xr16:uid="{00000000-0016-0000-0600-0000F801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365" xr16:uid="{00000000-0016-0000-0600-0000F701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346" xr16:uid="{00000000-0016-0000-0600-0000F601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353" xr16:uid="{00000000-0016-0000-0600-0000F501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418" xr16:uid="{00000000-0016-0000-0600-0000F401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397" xr16:uid="{00000000-0016-0000-0600-0000F301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57" xr16:uid="{00000000-0016-0000-0600-0000F201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413" xr16:uid="{00000000-0016-0000-0600-0000F101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414" xr16:uid="{00000000-0016-0000-0600-0000F001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345" xr16:uid="{00000000-0016-0000-0600-0000EF01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433" xr16:uid="{00000000-0016-0000-0600-0000EE01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85" xr16:uid="{00000000-0016-0000-0600-0000ED01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427" xr16:uid="{00000000-0016-0000-0600-0000EC01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395" xr16:uid="{00000000-0016-0000-0600-0000EB01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78" xr16:uid="{00000000-0016-0000-0600-0000EA01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439" xr16:uid="{00000000-0016-0000-0600-0000E901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402" xr16:uid="{00000000-0016-0000-0600-0000E801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59" xr16:uid="{00000000-0016-0000-0600-0000E701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416" xr16:uid="{00000000-0016-0000-0600-0000E601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428" xr16:uid="{00000000-0016-0000-0600-0000E501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341" xr16:uid="{00000000-0016-0000-0600-0000E401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60" xr16:uid="{00000000-0016-0000-0600-0000E301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347" xr16:uid="{00000000-0016-0000-0600-0000E201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51" xr16:uid="{00000000-0016-0000-0600-0000E101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393" xr16:uid="{00000000-0016-0000-0600-0000E001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415" xr16:uid="{00000000-0016-0000-0600-0000DF01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83" xr16:uid="{00000000-0016-0000-0600-0000DE01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61" xr16:uid="{00000000-0016-0000-0600-0000DD01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424" xr16:uid="{00000000-0016-0000-0600-0000DC01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372" xr16:uid="{00000000-0016-0000-0600-0000DB01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43" xr16:uid="{00000000-0016-0000-0600-0000DA01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435" xr16:uid="{00000000-0016-0000-0600-0000D901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56" xr16:uid="{00000000-0016-0000-0600-0000D801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77" xr16:uid="{00000000-0016-0000-0600-0000D701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403" xr16:uid="{00000000-0016-0000-0600-0000D601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58" xr16:uid="{00000000-0016-0000-0600-0000D501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371" xr16:uid="{00000000-0016-0000-0600-0000D401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390" xr16:uid="{00000000-0016-0000-0600-0000D301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419" xr16:uid="{00000000-0016-0000-0600-0000D201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362" xr16:uid="{00000000-0016-0000-0600-0000D101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50" xr16:uid="{00000000-0016-0000-0600-0000D001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408" xr16:uid="{00000000-0016-0000-0600-0000CF01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411" xr16:uid="{00000000-0016-0000-0600-0000CE01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36" xr16:uid="{00000000-0016-0000-0600-0000CD01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73" xr16:uid="{00000000-0016-0000-0600-0000CC01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431" xr16:uid="{00000000-0016-0000-0600-0000CB01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421" xr16:uid="{00000000-0016-0000-0600-0000CA01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81" xr16:uid="{00000000-0016-0000-0600-0000C901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409" xr16:uid="{00000000-0016-0000-0600-0000C801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430" xr16:uid="{00000000-0016-0000-0600-0000C701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388" xr16:uid="{00000000-0016-0000-0600-0000C601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425" xr16:uid="{00000000-0016-0000-0600-0000C501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437" xr16:uid="{00000000-0016-0000-0600-0000C401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54" xr16:uid="{00000000-0016-0000-0600-0000C301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400" xr16:uid="{00000000-0016-0000-0600-0000C201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401" xr16:uid="{00000000-0016-0000-0600-0000C101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406" xr16:uid="{00000000-0016-0000-0600-0000C001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417" xr16:uid="{00000000-0016-0000-0600-0000BF01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426" xr16:uid="{00000000-0016-0000-0600-0000BE01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82" xr16:uid="{00000000-0016-0000-0600-0000BD01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76" xr16:uid="{00000000-0016-0000-0600-0000BC01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89" xr16:uid="{00000000-0016-0000-0600-0000BB01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441" xr16:uid="{00000000-0016-0000-0600-0000BA01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429" xr16:uid="{00000000-0016-0000-0600-0000B901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363" xr16:uid="{00000000-0016-0000-0600-0000B801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423" xr16:uid="{00000000-0016-0000-0600-0000B701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370" xr16:uid="{00000000-0016-0000-0600-0000B601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368" xr16:uid="{00000000-0016-0000-0600-0000B501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434" xr16:uid="{00000000-0016-0000-0600-0000B401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444" xr16:uid="{00000000-0016-0000-0600-0000B301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79" xr16:uid="{00000000-0016-0000-0600-0000B201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355" xr16:uid="{00000000-0016-0000-0600-0000B101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442" xr16:uid="{00000000-0016-0000-0600-0000B001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422" xr16:uid="{00000000-0016-0000-0600-0000AF01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394" xr16:uid="{00000000-0016-0000-0600-0000AE01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342" xr16:uid="{00000000-0016-0000-0600-0000AD01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384" xr16:uid="{00000000-0016-0000-0600-0000AC01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75" xr16:uid="{00000000-0016-0000-0600-0000AB01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438" xr16:uid="{00000000-0016-0000-0600-0000AA01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404" xr16:uid="{00000000-0016-0000-0600-0000A901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405" xr16:uid="{00000000-0016-0000-0600-0000A801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412" xr16:uid="{00000000-0016-0000-0600-0000A701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443" xr16:uid="{00000000-0016-0000-0600-0000A601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420" xr16:uid="{00000000-0016-0000-0600-0000A501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369" xr16:uid="{00000000-0016-0000-0600-0000A401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309" xr16:uid="{00000000-0016-0000-0600-0000A301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92" xr16:uid="{00000000-0016-0000-0600-0000A201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49" xr16:uid="{00000000-0016-0000-0700-00000D02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45" xr16:uid="{00000000-0016-0000-0700-00000C02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46" xr16:uid="{00000000-0016-0000-0700-00000B02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48" xr16:uid="{00000000-0016-0000-0700-00000A02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47" xr16:uid="{00000000-0016-0000-0700-00000902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450" xr16:uid="{00000000-0016-0000-0700-00000802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52" xr16:uid="{00000000-0016-0000-0800-00001102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54" xr16:uid="{00000000-0016-0000-0800-00001002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51" xr16:uid="{00000000-0016-0000-0800-00000F02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53" xr16:uid="{00000000-0016-0000-0800-00000E02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55" xr16:uid="{00000000-0016-0000-0900-00001602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58" xr16:uid="{00000000-0016-0000-0900-00001502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59" xr16:uid="{00000000-0016-0000-0900-00001402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57" xr16:uid="{00000000-0016-0000-0900-00001302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56" xr16:uid="{00000000-0016-0000-0900-00001202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62" xr16:uid="{00000000-0016-0000-0A00-00001B02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61" xr16:uid="{00000000-0016-0000-0A00-00001A02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60" xr16:uid="{00000000-0016-0000-0A00-00001902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64" xr16:uid="{00000000-0016-0000-0A00-00001802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63" xr16:uid="{00000000-0016-0000-0A00-00001702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65" xr16:uid="{00EF9949-9B9E-4BDA-A66A-5BFF961045D8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73" xr16:uid="{A89CDC5C-F152-4AE4-B9B7-385114C194D2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52" xr16:uid="{00000000-0016-0000-0B00-00006202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47" xr16:uid="{00000000-0016-0000-0B00-00006102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8" xr16:uid="{00000000-0016-0000-0B00-00006002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" xr16:uid="{00000000-0016-0000-0B00-00005F02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4" xr16:uid="{00000000-0016-0000-0B00-00005E02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B00-00005D02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2" xr16:uid="{00000000-0016-0000-0B00-00005C02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53" xr16:uid="{00000000-0016-0000-0B00-00005B02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45" xr16:uid="{00000000-0016-0000-0B00-00005A02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" xr16:uid="{00000000-0016-0000-0B00-00005902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50" xr16:uid="{00000000-0016-0000-0B00-00005802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6" xr16:uid="{00000000-0016-0000-0B00-00005702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69" xr16:uid="{00000000-0016-0000-0B00-00005602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60" xr16:uid="{00000000-0016-0000-0B00-00005502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0" xr16:uid="{00000000-0016-0000-0B00-00005402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3" xr16:uid="{00000000-0016-0000-0B00-00005302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54" xr16:uid="{00000000-0016-0000-0B00-00005202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70" xr16:uid="{00000000-0016-0000-0B00-00005102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6" xr16:uid="{00000000-0016-0000-0B00-00005002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9" xr16:uid="{00000000-0016-0000-0B00-00004F02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4" xr16:uid="{00000000-0016-0000-0B00-00004E02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5" xr16:uid="{00000000-0016-0000-0B00-00004D02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63" xr16:uid="{00000000-0016-0000-0B00-00004C02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" xr16:uid="{00000000-0016-0000-0B00-00004B02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43" xr16:uid="{00000000-0016-0000-0B00-00004A02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72" xr16:uid="{00000000-0016-0000-0B00-00004902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9" xr16:uid="{00000000-0016-0000-0B00-00004802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57" xr16:uid="{00000000-0016-0000-0B00-00004702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B00-00004602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" xr16:uid="{00000000-0016-0000-0B00-00004502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42" xr16:uid="{00000000-0016-0000-0B00-00004402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" xr16:uid="{00000000-0016-0000-0B00-00004302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56" xr16:uid="{00000000-0016-0000-0B00-00004202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B00-00004102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9" xr16:uid="{00000000-0016-0000-0B00-00004002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3" xr16:uid="{00000000-0016-0000-0B00-00003F02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" xr16:uid="{00000000-0016-0000-0B00-00003E02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59" xr16:uid="{00000000-0016-0000-0B00-00003D02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48" xr16:uid="{00000000-0016-0000-0B00-00003C02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40" xr16:uid="{00000000-0016-0000-0B00-00003B02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6" xr16:uid="{00000000-0016-0000-0B00-00003A02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6" xr16:uid="{00000000-0016-0000-0B00-00003902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67" xr16:uid="{00000000-0016-0000-0B00-00003802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7" xr16:uid="{00000000-0016-0000-0B00-00003702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8" xr16:uid="{00000000-0016-0000-0B00-00003602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1" xr16:uid="{00000000-0016-0000-0B00-00003502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" xr16:uid="{00000000-0016-0000-0B00-00003402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4" xr16:uid="{00000000-0016-0000-0B00-00003302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3" xr16:uid="{00000000-0016-0000-0B00-00003202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0" xr16:uid="{00000000-0016-0000-0B00-00003102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5" xr16:uid="{00000000-0016-0000-0B00-00003002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7" xr16:uid="{00000000-0016-0000-0B00-00002F02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44" xr16:uid="{00000000-0016-0000-0B00-00002E02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41" xr16:uid="{00000000-0016-0000-0B00-00002D02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51" xr16:uid="{00000000-0016-0000-0B00-00002C02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71" xr16:uid="{00000000-0016-0000-0B00-00002B02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64" xr16:uid="{00000000-0016-0000-0B00-00002A02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8" xr16:uid="{00000000-0016-0000-0B00-00002902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B00-00002802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61" xr16:uid="{00000000-0016-0000-0B00-00002702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55" xr16:uid="{00000000-0016-0000-0B00-00002602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62" xr16:uid="{00000000-0016-0000-0B00-00002502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46" xr16:uid="{00000000-0016-0000-0B00-00002402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49" xr16:uid="{00000000-0016-0000-0B00-00002302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2" xr16:uid="{00000000-0016-0000-0B00-00002202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2" xr16:uid="{00000000-0016-0000-0B00-00002102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8" xr16:uid="{00000000-0016-0000-0B00-00002002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68" xr16:uid="{00000000-0016-0000-0B00-00001F02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7" xr16:uid="{00000000-0016-0000-0B00-00001E02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" xr16:uid="{00000000-0016-0000-0B00-00001D02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1" xr16:uid="{00000000-0016-0000-0B00-00001C02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38" Type="http://schemas.openxmlformats.org/officeDocument/2006/relationships/queryTable" Target="../queryTables/queryTable133.xml"/><Relationship Id="rId154" Type="http://schemas.openxmlformats.org/officeDocument/2006/relationships/queryTable" Target="../queryTables/queryTable149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144" Type="http://schemas.openxmlformats.org/officeDocument/2006/relationships/queryTable" Target="../queryTables/queryTable139.xml"/><Relationship Id="rId149" Type="http://schemas.openxmlformats.org/officeDocument/2006/relationships/queryTable" Target="../queryTables/queryTable144.xml"/><Relationship Id="rId5" Type="http://schemas.openxmlformats.org/officeDocument/2006/relationships/ctrlProp" Target="../ctrlProps/ctrlProp2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53" Type="http://schemas.openxmlformats.org/officeDocument/2006/relationships/queryTable" Target="../queryTables/queryTable148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74.xml"/><Relationship Id="rId21" Type="http://schemas.openxmlformats.org/officeDocument/2006/relationships/queryTable" Target="../queryTables/queryTable169.xml"/><Relationship Id="rId42" Type="http://schemas.openxmlformats.org/officeDocument/2006/relationships/queryTable" Target="../queryTables/queryTable190.xml"/><Relationship Id="rId47" Type="http://schemas.openxmlformats.org/officeDocument/2006/relationships/queryTable" Target="../queryTables/queryTable195.xml"/><Relationship Id="rId63" Type="http://schemas.openxmlformats.org/officeDocument/2006/relationships/queryTable" Target="../queryTables/queryTable211.xml"/><Relationship Id="rId68" Type="http://schemas.openxmlformats.org/officeDocument/2006/relationships/queryTable" Target="../queryTables/queryTable216.xml"/><Relationship Id="rId84" Type="http://schemas.openxmlformats.org/officeDocument/2006/relationships/queryTable" Target="../queryTables/queryTable232.xml"/><Relationship Id="rId89" Type="http://schemas.openxmlformats.org/officeDocument/2006/relationships/queryTable" Target="../queryTables/queryTable237.xml"/><Relationship Id="rId112" Type="http://schemas.openxmlformats.org/officeDocument/2006/relationships/queryTable" Target="../queryTables/queryTable260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4.xml"/><Relationship Id="rId29" Type="http://schemas.openxmlformats.org/officeDocument/2006/relationships/queryTable" Target="../queryTables/queryTable177.xml"/><Relationship Id="rId107" Type="http://schemas.openxmlformats.org/officeDocument/2006/relationships/queryTable" Target="../queryTables/queryTable255.xml"/><Relationship Id="rId11" Type="http://schemas.openxmlformats.org/officeDocument/2006/relationships/queryTable" Target="../queryTables/queryTable159.xml"/><Relationship Id="rId24" Type="http://schemas.openxmlformats.org/officeDocument/2006/relationships/queryTable" Target="../queryTables/queryTable172.xml"/><Relationship Id="rId32" Type="http://schemas.openxmlformats.org/officeDocument/2006/relationships/queryTable" Target="../queryTables/queryTable180.xml"/><Relationship Id="rId37" Type="http://schemas.openxmlformats.org/officeDocument/2006/relationships/queryTable" Target="../queryTables/queryTable185.xml"/><Relationship Id="rId40" Type="http://schemas.openxmlformats.org/officeDocument/2006/relationships/queryTable" Target="../queryTables/queryTable188.xml"/><Relationship Id="rId45" Type="http://schemas.openxmlformats.org/officeDocument/2006/relationships/queryTable" Target="../queryTables/queryTable193.xml"/><Relationship Id="rId53" Type="http://schemas.openxmlformats.org/officeDocument/2006/relationships/queryTable" Target="../queryTables/queryTable201.xml"/><Relationship Id="rId58" Type="http://schemas.openxmlformats.org/officeDocument/2006/relationships/queryTable" Target="../queryTables/queryTable206.xml"/><Relationship Id="rId66" Type="http://schemas.openxmlformats.org/officeDocument/2006/relationships/queryTable" Target="../queryTables/queryTable214.xml"/><Relationship Id="rId74" Type="http://schemas.openxmlformats.org/officeDocument/2006/relationships/queryTable" Target="../queryTables/queryTable222.xml"/><Relationship Id="rId79" Type="http://schemas.openxmlformats.org/officeDocument/2006/relationships/queryTable" Target="../queryTables/queryTable227.xml"/><Relationship Id="rId87" Type="http://schemas.openxmlformats.org/officeDocument/2006/relationships/queryTable" Target="../queryTables/queryTable235.xml"/><Relationship Id="rId102" Type="http://schemas.openxmlformats.org/officeDocument/2006/relationships/queryTable" Target="../queryTables/queryTable250.xml"/><Relationship Id="rId110" Type="http://schemas.openxmlformats.org/officeDocument/2006/relationships/queryTable" Target="../queryTables/queryTable258.xml"/><Relationship Id="rId5" Type="http://schemas.openxmlformats.org/officeDocument/2006/relationships/ctrlProp" Target="../ctrlProps/ctrlProp4.xml"/><Relationship Id="rId61" Type="http://schemas.openxmlformats.org/officeDocument/2006/relationships/queryTable" Target="../queryTables/queryTable209.xml"/><Relationship Id="rId82" Type="http://schemas.openxmlformats.org/officeDocument/2006/relationships/queryTable" Target="../queryTables/queryTable230.xml"/><Relationship Id="rId90" Type="http://schemas.openxmlformats.org/officeDocument/2006/relationships/queryTable" Target="../queryTables/queryTable238.xml"/><Relationship Id="rId95" Type="http://schemas.openxmlformats.org/officeDocument/2006/relationships/queryTable" Target="../queryTables/queryTable243.xml"/><Relationship Id="rId19" Type="http://schemas.openxmlformats.org/officeDocument/2006/relationships/queryTable" Target="../queryTables/queryTable167.xml"/><Relationship Id="rId14" Type="http://schemas.openxmlformats.org/officeDocument/2006/relationships/queryTable" Target="../queryTables/queryTable162.xml"/><Relationship Id="rId22" Type="http://schemas.openxmlformats.org/officeDocument/2006/relationships/queryTable" Target="../queryTables/queryTable170.xml"/><Relationship Id="rId27" Type="http://schemas.openxmlformats.org/officeDocument/2006/relationships/queryTable" Target="../queryTables/queryTable175.xml"/><Relationship Id="rId30" Type="http://schemas.openxmlformats.org/officeDocument/2006/relationships/queryTable" Target="../queryTables/queryTable178.xml"/><Relationship Id="rId35" Type="http://schemas.openxmlformats.org/officeDocument/2006/relationships/queryTable" Target="../queryTables/queryTable183.xml"/><Relationship Id="rId43" Type="http://schemas.openxmlformats.org/officeDocument/2006/relationships/queryTable" Target="../queryTables/queryTable191.xml"/><Relationship Id="rId48" Type="http://schemas.openxmlformats.org/officeDocument/2006/relationships/queryTable" Target="../queryTables/queryTable196.xml"/><Relationship Id="rId56" Type="http://schemas.openxmlformats.org/officeDocument/2006/relationships/queryTable" Target="../queryTables/queryTable204.xml"/><Relationship Id="rId64" Type="http://schemas.openxmlformats.org/officeDocument/2006/relationships/queryTable" Target="../queryTables/queryTable212.xml"/><Relationship Id="rId69" Type="http://schemas.openxmlformats.org/officeDocument/2006/relationships/queryTable" Target="../queryTables/queryTable217.xml"/><Relationship Id="rId77" Type="http://schemas.openxmlformats.org/officeDocument/2006/relationships/queryTable" Target="../queryTables/queryTable225.xml"/><Relationship Id="rId100" Type="http://schemas.openxmlformats.org/officeDocument/2006/relationships/queryTable" Target="../queryTables/queryTable248.xml"/><Relationship Id="rId105" Type="http://schemas.openxmlformats.org/officeDocument/2006/relationships/queryTable" Target="../queryTables/queryTable253.xml"/><Relationship Id="rId8" Type="http://schemas.openxmlformats.org/officeDocument/2006/relationships/queryTable" Target="../queryTables/queryTable156.xml"/><Relationship Id="rId51" Type="http://schemas.openxmlformats.org/officeDocument/2006/relationships/queryTable" Target="../queryTables/queryTable199.xml"/><Relationship Id="rId72" Type="http://schemas.openxmlformats.org/officeDocument/2006/relationships/queryTable" Target="../queryTables/queryTable220.xml"/><Relationship Id="rId80" Type="http://schemas.openxmlformats.org/officeDocument/2006/relationships/queryTable" Target="../queryTables/queryTable228.xml"/><Relationship Id="rId85" Type="http://schemas.openxmlformats.org/officeDocument/2006/relationships/queryTable" Target="../queryTables/queryTable233.xml"/><Relationship Id="rId93" Type="http://schemas.openxmlformats.org/officeDocument/2006/relationships/queryTable" Target="../queryTables/queryTable241.xml"/><Relationship Id="rId98" Type="http://schemas.openxmlformats.org/officeDocument/2006/relationships/queryTable" Target="../queryTables/queryTable246.xml"/><Relationship Id="rId3" Type="http://schemas.openxmlformats.org/officeDocument/2006/relationships/vmlDrawing" Target="../drawings/vmlDrawing3.vml"/><Relationship Id="rId12" Type="http://schemas.openxmlformats.org/officeDocument/2006/relationships/queryTable" Target="../queryTables/queryTable160.xml"/><Relationship Id="rId17" Type="http://schemas.openxmlformats.org/officeDocument/2006/relationships/queryTable" Target="../queryTables/queryTable165.xml"/><Relationship Id="rId25" Type="http://schemas.openxmlformats.org/officeDocument/2006/relationships/queryTable" Target="../queryTables/queryTable173.xml"/><Relationship Id="rId33" Type="http://schemas.openxmlformats.org/officeDocument/2006/relationships/queryTable" Target="../queryTables/queryTable181.xml"/><Relationship Id="rId38" Type="http://schemas.openxmlformats.org/officeDocument/2006/relationships/queryTable" Target="../queryTables/queryTable186.xml"/><Relationship Id="rId46" Type="http://schemas.openxmlformats.org/officeDocument/2006/relationships/queryTable" Target="../queryTables/queryTable194.xml"/><Relationship Id="rId59" Type="http://schemas.openxmlformats.org/officeDocument/2006/relationships/queryTable" Target="../queryTables/queryTable207.xml"/><Relationship Id="rId67" Type="http://schemas.openxmlformats.org/officeDocument/2006/relationships/queryTable" Target="../queryTables/queryTable215.xml"/><Relationship Id="rId103" Type="http://schemas.openxmlformats.org/officeDocument/2006/relationships/queryTable" Target="../queryTables/queryTable251.xml"/><Relationship Id="rId108" Type="http://schemas.openxmlformats.org/officeDocument/2006/relationships/queryTable" Target="../queryTables/queryTable256.xml"/><Relationship Id="rId20" Type="http://schemas.openxmlformats.org/officeDocument/2006/relationships/queryTable" Target="../queryTables/queryTable168.xml"/><Relationship Id="rId41" Type="http://schemas.openxmlformats.org/officeDocument/2006/relationships/queryTable" Target="../queryTables/queryTable189.xml"/><Relationship Id="rId54" Type="http://schemas.openxmlformats.org/officeDocument/2006/relationships/queryTable" Target="../queryTables/queryTable202.xml"/><Relationship Id="rId62" Type="http://schemas.openxmlformats.org/officeDocument/2006/relationships/queryTable" Target="../queryTables/queryTable210.xml"/><Relationship Id="rId70" Type="http://schemas.openxmlformats.org/officeDocument/2006/relationships/queryTable" Target="../queryTables/queryTable218.xml"/><Relationship Id="rId75" Type="http://schemas.openxmlformats.org/officeDocument/2006/relationships/queryTable" Target="../queryTables/queryTable223.xml"/><Relationship Id="rId83" Type="http://schemas.openxmlformats.org/officeDocument/2006/relationships/queryTable" Target="../queryTables/queryTable231.xml"/><Relationship Id="rId88" Type="http://schemas.openxmlformats.org/officeDocument/2006/relationships/queryTable" Target="../queryTables/queryTable236.xml"/><Relationship Id="rId91" Type="http://schemas.openxmlformats.org/officeDocument/2006/relationships/queryTable" Target="../queryTables/queryTable239.xml"/><Relationship Id="rId96" Type="http://schemas.openxmlformats.org/officeDocument/2006/relationships/queryTable" Target="../queryTables/queryTable244.xml"/><Relationship Id="rId111" Type="http://schemas.openxmlformats.org/officeDocument/2006/relationships/queryTable" Target="../queryTables/queryTable25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154.xml"/><Relationship Id="rId15" Type="http://schemas.openxmlformats.org/officeDocument/2006/relationships/queryTable" Target="../queryTables/queryTable163.xml"/><Relationship Id="rId23" Type="http://schemas.openxmlformats.org/officeDocument/2006/relationships/queryTable" Target="../queryTables/queryTable171.xml"/><Relationship Id="rId28" Type="http://schemas.openxmlformats.org/officeDocument/2006/relationships/queryTable" Target="../queryTables/queryTable176.xml"/><Relationship Id="rId36" Type="http://schemas.openxmlformats.org/officeDocument/2006/relationships/queryTable" Target="../queryTables/queryTable184.xml"/><Relationship Id="rId49" Type="http://schemas.openxmlformats.org/officeDocument/2006/relationships/queryTable" Target="../queryTables/queryTable197.xml"/><Relationship Id="rId57" Type="http://schemas.openxmlformats.org/officeDocument/2006/relationships/queryTable" Target="../queryTables/queryTable205.xml"/><Relationship Id="rId106" Type="http://schemas.openxmlformats.org/officeDocument/2006/relationships/queryTable" Target="../queryTables/queryTable254.xml"/><Relationship Id="rId10" Type="http://schemas.openxmlformats.org/officeDocument/2006/relationships/queryTable" Target="../queryTables/queryTable158.xml"/><Relationship Id="rId31" Type="http://schemas.openxmlformats.org/officeDocument/2006/relationships/queryTable" Target="../queryTables/queryTable179.xml"/><Relationship Id="rId44" Type="http://schemas.openxmlformats.org/officeDocument/2006/relationships/queryTable" Target="../queryTables/queryTable192.xml"/><Relationship Id="rId52" Type="http://schemas.openxmlformats.org/officeDocument/2006/relationships/queryTable" Target="../queryTables/queryTable200.xml"/><Relationship Id="rId60" Type="http://schemas.openxmlformats.org/officeDocument/2006/relationships/queryTable" Target="../queryTables/queryTable208.xml"/><Relationship Id="rId65" Type="http://schemas.openxmlformats.org/officeDocument/2006/relationships/queryTable" Target="../queryTables/queryTable213.xml"/><Relationship Id="rId73" Type="http://schemas.openxmlformats.org/officeDocument/2006/relationships/queryTable" Target="../queryTables/queryTable221.xml"/><Relationship Id="rId78" Type="http://schemas.openxmlformats.org/officeDocument/2006/relationships/queryTable" Target="../queryTables/queryTable226.xml"/><Relationship Id="rId81" Type="http://schemas.openxmlformats.org/officeDocument/2006/relationships/queryTable" Target="../queryTables/queryTable229.xml"/><Relationship Id="rId86" Type="http://schemas.openxmlformats.org/officeDocument/2006/relationships/queryTable" Target="../queryTables/queryTable234.xml"/><Relationship Id="rId94" Type="http://schemas.openxmlformats.org/officeDocument/2006/relationships/queryTable" Target="../queryTables/queryTable242.xml"/><Relationship Id="rId99" Type="http://schemas.openxmlformats.org/officeDocument/2006/relationships/queryTable" Target="../queryTables/queryTable247.xml"/><Relationship Id="rId101" Type="http://schemas.openxmlformats.org/officeDocument/2006/relationships/queryTable" Target="../queryTables/queryTable249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57.xml"/><Relationship Id="rId13" Type="http://schemas.openxmlformats.org/officeDocument/2006/relationships/queryTable" Target="../queryTables/queryTable161.xml"/><Relationship Id="rId18" Type="http://schemas.openxmlformats.org/officeDocument/2006/relationships/queryTable" Target="../queryTables/queryTable166.xml"/><Relationship Id="rId39" Type="http://schemas.openxmlformats.org/officeDocument/2006/relationships/queryTable" Target="../queryTables/queryTable187.xml"/><Relationship Id="rId109" Type="http://schemas.openxmlformats.org/officeDocument/2006/relationships/queryTable" Target="../queryTables/queryTable257.xml"/><Relationship Id="rId34" Type="http://schemas.openxmlformats.org/officeDocument/2006/relationships/queryTable" Target="../queryTables/queryTable182.xml"/><Relationship Id="rId50" Type="http://schemas.openxmlformats.org/officeDocument/2006/relationships/queryTable" Target="../queryTables/queryTable198.xml"/><Relationship Id="rId55" Type="http://schemas.openxmlformats.org/officeDocument/2006/relationships/queryTable" Target="../queryTables/queryTable203.xml"/><Relationship Id="rId76" Type="http://schemas.openxmlformats.org/officeDocument/2006/relationships/queryTable" Target="../queryTables/queryTable224.xml"/><Relationship Id="rId97" Type="http://schemas.openxmlformats.org/officeDocument/2006/relationships/queryTable" Target="../queryTables/queryTable245.xml"/><Relationship Id="rId104" Type="http://schemas.openxmlformats.org/officeDocument/2006/relationships/queryTable" Target="../queryTables/queryTable252.xml"/><Relationship Id="rId7" Type="http://schemas.openxmlformats.org/officeDocument/2006/relationships/queryTable" Target="../queryTables/queryTable155.xml"/><Relationship Id="rId71" Type="http://schemas.openxmlformats.org/officeDocument/2006/relationships/queryTable" Target="../queryTables/queryTable219.xml"/><Relationship Id="rId92" Type="http://schemas.openxmlformats.org/officeDocument/2006/relationships/queryTable" Target="../queryTables/queryTable24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9.xml"/><Relationship Id="rId18" Type="http://schemas.openxmlformats.org/officeDocument/2006/relationships/queryTable" Target="../queryTables/queryTable274.xml"/><Relationship Id="rId26" Type="http://schemas.openxmlformats.org/officeDocument/2006/relationships/queryTable" Target="../queryTables/queryTable282.xml"/><Relationship Id="rId39" Type="http://schemas.openxmlformats.org/officeDocument/2006/relationships/queryTable" Target="../queryTables/queryTable295.xml"/><Relationship Id="rId21" Type="http://schemas.openxmlformats.org/officeDocument/2006/relationships/queryTable" Target="../queryTables/queryTable277.xml"/><Relationship Id="rId34" Type="http://schemas.openxmlformats.org/officeDocument/2006/relationships/queryTable" Target="../queryTables/queryTable290.xml"/><Relationship Id="rId42" Type="http://schemas.openxmlformats.org/officeDocument/2006/relationships/queryTable" Target="../queryTables/queryTable298.xml"/><Relationship Id="rId47" Type="http://schemas.openxmlformats.org/officeDocument/2006/relationships/queryTable" Target="../queryTables/queryTable303.xml"/><Relationship Id="rId50" Type="http://schemas.openxmlformats.org/officeDocument/2006/relationships/queryTable" Target="../queryTables/queryTable306.xml"/><Relationship Id="rId55" Type="http://schemas.openxmlformats.org/officeDocument/2006/relationships/queryTable" Target="../queryTables/queryTable311.xml"/><Relationship Id="rId63" Type="http://schemas.openxmlformats.org/officeDocument/2006/relationships/queryTable" Target="../queryTables/queryTable319.xml"/><Relationship Id="rId68" Type="http://schemas.openxmlformats.org/officeDocument/2006/relationships/queryTable" Target="../queryTables/queryTable324.xml"/><Relationship Id="rId76" Type="http://schemas.openxmlformats.org/officeDocument/2006/relationships/queryTable" Target="../queryTables/queryTable332.xml"/><Relationship Id="rId7" Type="http://schemas.openxmlformats.org/officeDocument/2006/relationships/queryTable" Target="../queryTables/queryTable263.xml"/><Relationship Id="rId71" Type="http://schemas.openxmlformats.org/officeDocument/2006/relationships/queryTable" Target="../queryTables/queryTable32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272.xml"/><Relationship Id="rId29" Type="http://schemas.openxmlformats.org/officeDocument/2006/relationships/queryTable" Target="../queryTables/queryTable285.xml"/><Relationship Id="rId11" Type="http://schemas.openxmlformats.org/officeDocument/2006/relationships/queryTable" Target="../queryTables/queryTable267.xml"/><Relationship Id="rId24" Type="http://schemas.openxmlformats.org/officeDocument/2006/relationships/queryTable" Target="../queryTables/queryTable280.xml"/><Relationship Id="rId32" Type="http://schemas.openxmlformats.org/officeDocument/2006/relationships/queryTable" Target="../queryTables/queryTable288.xml"/><Relationship Id="rId37" Type="http://schemas.openxmlformats.org/officeDocument/2006/relationships/queryTable" Target="../queryTables/queryTable293.xml"/><Relationship Id="rId40" Type="http://schemas.openxmlformats.org/officeDocument/2006/relationships/queryTable" Target="../queryTables/queryTable296.xml"/><Relationship Id="rId45" Type="http://schemas.openxmlformats.org/officeDocument/2006/relationships/queryTable" Target="../queryTables/queryTable301.xml"/><Relationship Id="rId53" Type="http://schemas.openxmlformats.org/officeDocument/2006/relationships/queryTable" Target="../queryTables/queryTable309.xml"/><Relationship Id="rId58" Type="http://schemas.openxmlformats.org/officeDocument/2006/relationships/queryTable" Target="../queryTables/queryTable314.xml"/><Relationship Id="rId66" Type="http://schemas.openxmlformats.org/officeDocument/2006/relationships/queryTable" Target="../queryTables/queryTable322.xml"/><Relationship Id="rId74" Type="http://schemas.openxmlformats.org/officeDocument/2006/relationships/queryTable" Target="../queryTables/queryTable330.xml"/><Relationship Id="rId79" Type="http://schemas.openxmlformats.org/officeDocument/2006/relationships/queryTable" Target="../queryTables/queryTable335.xml"/><Relationship Id="rId5" Type="http://schemas.openxmlformats.org/officeDocument/2006/relationships/queryTable" Target="../queryTables/queryTable261.xml"/><Relationship Id="rId61" Type="http://schemas.openxmlformats.org/officeDocument/2006/relationships/queryTable" Target="../queryTables/queryTable317.xml"/><Relationship Id="rId82" Type="http://schemas.openxmlformats.org/officeDocument/2006/relationships/queryTable" Target="../queryTables/queryTable338.xml"/><Relationship Id="rId10" Type="http://schemas.openxmlformats.org/officeDocument/2006/relationships/queryTable" Target="../queryTables/queryTable266.xml"/><Relationship Id="rId19" Type="http://schemas.openxmlformats.org/officeDocument/2006/relationships/queryTable" Target="../queryTables/queryTable275.xml"/><Relationship Id="rId31" Type="http://schemas.openxmlformats.org/officeDocument/2006/relationships/queryTable" Target="../queryTables/queryTable287.xml"/><Relationship Id="rId44" Type="http://schemas.openxmlformats.org/officeDocument/2006/relationships/queryTable" Target="../queryTables/queryTable300.xml"/><Relationship Id="rId52" Type="http://schemas.openxmlformats.org/officeDocument/2006/relationships/queryTable" Target="../queryTables/queryTable308.xml"/><Relationship Id="rId60" Type="http://schemas.openxmlformats.org/officeDocument/2006/relationships/queryTable" Target="../queryTables/queryTable316.xml"/><Relationship Id="rId65" Type="http://schemas.openxmlformats.org/officeDocument/2006/relationships/queryTable" Target="../queryTables/queryTable321.xml"/><Relationship Id="rId73" Type="http://schemas.openxmlformats.org/officeDocument/2006/relationships/queryTable" Target="../queryTables/queryTable329.xml"/><Relationship Id="rId78" Type="http://schemas.openxmlformats.org/officeDocument/2006/relationships/queryTable" Target="../queryTables/queryTable334.xml"/><Relationship Id="rId81" Type="http://schemas.openxmlformats.org/officeDocument/2006/relationships/queryTable" Target="../queryTables/queryTable337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265.xml"/><Relationship Id="rId14" Type="http://schemas.openxmlformats.org/officeDocument/2006/relationships/queryTable" Target="../queryTables/queryTable270.xml"/><Relationship Id="rId22" Type="http://schemas.openxmlformats.org/officeDocument/2006/relationships/queryTable" Target="../queryTables/queryTable278.xml"/><Relationship Id="rId27" Type="http://schemas.openxmlformats.org/officeDocument/2006/relationships/queryTable" Target="../queryTables/queryTable283.xml"/><Relationship Id="rId30" Type="http://schemas.openxmlformats.org/officeDocument/2006/relationships/queryTable" Target="../queryTables/queryTable286.xml"/><Relationship Id="rId35" Type="http://schemas.openxmlformats.org/officeDocument/2006/relationships/queryTable" Target="../queryTables/queryTable291.xml"/><Relationship Id="rId43" Type="http://schemas.openxmlformats.org/officeDocument/2006/relationships/queryTable" Target="../queryTables/queryTable299.xml"/><Relationship Id="rId48" Type="http://schemas.openxmlformats.org/officeDocument/2006/relationships/queryTable" Target="../queryTables/queryTable304.xml"/><Relationship Id="rId56" Type="http://schemas.openxmlformats.org/officeDocument/2006/relationships/queryTable" Target="../queryTables/queryTable312.xml"/><Relationship Id="rId64" Type="http://schemas.openxmlformats.org/officeDocument/2006/relationships/queryTable" Target="../queryTables/queryTable320.xml"/><Relationship Id="rId69" Type="http://schemas.openxmlformats.org/officeDocument/2006/relationships/queryTable" Target="../queryTables/queryTable325.xml"/><Relationship Id="rId77" Type="http://schemas.openxmlformats.org/officeDocument/2006/relationships/queryTable" Target="../queryTables/queryTable333.xml"/><Relationship Id="rId8" Type="http://schemas.openxmlformats.org/officeDocument/2006/relationships/queryTable" Target="../queryTables/queryTable264.xml"/><Relationship Id="rId51" Type="http://schemas.openxmlformats.org/officeDocument/2006/relationships/queryTable" Target="../queryTables/queryTable307.xml"/><Relationship Id="rId72" Type="http://schemas.openxmlformats.org/officeDocument/2006/relationships/queryTable" Target="../queryTables/queryTable328.xml"/><Relationship Id="rId80" Type="http://schemas.openxmlformats.org/officeDocument/2006/relationships/queryTable" Target="../queryTables/queryTable336.xml"/><Relationship Id="rId3" Type="http://schemas.openxmlformats.org/officeDocument/2006/relationships/ctrlProp" Target="../ctrlProps/ctrlProp5.xml"/><Relationship Id="rId12" Type="http://schemas.openxmlformats.org/officeDocument/2006/relationships/queryTable" Target="../queryTables/queryTable268.xml"/><Relationship Id="rId17" Type="http://schemas.openxmlformats.org/officeDocument/2006/relationships/queryTable" Target="../queryTables/queryTable273.xml"/><Relationship Id="rId25" Type="http://schemas.openxmlformats.org/officeDocument/2006/relationships/queryTable" Target="../queryTables/queryTable281.xml"/><Relationship Id="rId33" Type="http://schemas.openxmlformats.org/officeDocument/2006/relationships/queryTable" Target="../queryTables/queryTable289.xml"/><Relationship Id="rId38" Type="http://schemas.openxmlformats.org/officeDocument/2006/relationships/queryTable" Target="../queryTables/queryTable294.xml"/><Relationship Id="rId46" Type="http://schemas.openxmlformats.org/officeDocument/2006/relationships/queryTable" Target="../queryTables/queryTable302.xml"/><Relationship Id="rId59" Type="http://schemas.openxmlformats.org/officeDocument/2006/relationships/queryTable" Target="../queryTables/queryTable315.xml"/><Relationship Id="rId67" Type="http://schemas.openxmlformats.org/officeDocument/2006/relationships/queryTable" Target="../queryTables/queryTable323.xml"/><Relationship Id="rId20" Type="http://schemas.openxmlformats.org/officeDocument/2006/relationships/queryTable" Target="../queryTables/queryTable276.xml"/><Relationship Id="rId41" Type="http://schemas.openxmlformats.org/officeDocument/2006/relationships/queryTable" Target="../queryTables/queryTable297.xml"/><Relationship Id="rId54" Type="http://schemas.openxmlformats.org/officeDocument/2006/relationships/queryTable" Target="../queryTables/queryTable310.xml"/><Relationship Id="rId62" Type="http://schemas.openxmlformats.org/officeDocument/2006/relationships/queryTable" Target="../queryTables/queryTable318.xml"/><Relationship Id="rId70" Type="http://schemas.openxmlformats.org/officeDocument/2006/relationships/queryTable" Target="../queryTables/queryTable326.xml"/><Relationship Id="rId75" Type="http://schemas.openxmlformats.org/officeDocument/2006/relationships/queryTable" Target="../queryTables/queryTable331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262.xml"/><Relationship Id="rId15" Type="http://schemas.openxmlformats.org/officeDocument/2006/relationships/queryTable" Target="../queryTables/queryTable271.xml"/><Relationship Id="rId23" Type="http://schemas.openxmlformats.org/officeDocument/2006/relationships/queryTable" Target="../queryTables/queryTable279.xml"/><Relationship Id="rId28" Type="http://schemas.openxmlformats.org/officeDocument/2006/relationships/queryTable" Target="../queryTables/queryTable284.xml"/><Relationship Id="rId36" Type="http://schemas.openxmlformats.org/officeDocument/2006/relationships/queryTable" Target="../queryTables/queryTable292.xml"/><Relationship Id="rId49" Type="http://schemas.openxmlformats.org/officeDocument/2006/relationships/queryTable" Target="../queryTables/queryTable305.xml"/><Relationship Id="rId57" Type="http://schemas.openxmlformats.org/officeDocument/2006/relationships/queryTable" Target="../queryTables/queryTable31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47.xml"/><Relationship Id="rId18" Type="http://schemas.openxmlformats.org/officeDocument/2006/relationships/queryTable" Target="../queryTables/queryTable352.xml"/><Relationship Id="rId26" Type="http://schemas.openxmlformats.org/officeDocument/2006/relationships/queryTable" Target="../queryTables/queryTable360.xml"/><Relationship Id="rId39" Type="http://schemas.openxmlformats.org/officeDocument/2006/relationships/queryTable" Target="../queryTables/queryTable373.xml"/><Relationship Id="rId21" Type="http://schemas.openxmlformats.org/officeDocument/2006/relationships/queryTable" Target="../queryTables/queryTable355.xml"/><Relationship Id="rId34" Type="http://schemas.openxmlformats.org/officeDocument/2006/relationships/queryTable" Target="../queryTables/queryTable368.xml"/><Relationship Id="rId42" Type="http://schemas.openxmlformats.org/officeDocument/2006/relationships/queryTable" Target="../queryTables/queryTable376.xml"/><Relationship Id="rId47" Type="http://schemas.openxmlformats.org/officeDocument/2006/relationships/queryTable" Target="../queryTables/queryTable381.xml"/><Relationship Id="rId50" Type="http://schemas.openxmlformats.org/officeDocument/2006/relationships/queryTable" Target="../queryTables/queryTable384.xml"/><Relationship Id="rId55" Type="http://schemas.openxmlformats.org/officeDocument/2006/relationships/queryTable" Target="../queryTables/queryTable389.xml"/><Relationship Id="rId63" Type="http://schemas.openxmlformats.org/officeDocument/2006/relationships/queryTable" Target="../queryTables/queryTable397.xml"/><Relationship Id="rId68" Type="http://schemas.openxmlformats.org/officeDocument/2006/relationships/queryTable" Target="../queryTables/queryTable402.xml"/><Relationship Id="rId76" Type="http://schemas.openxmlformats.org/officeDocument/2006/relationships/queryTable" Target="../queryTables/queryTable410.xml"/><Relationship Id="rId84" Type="http://schemas.openxmlformats.org/officeDocument/2006/relationships/queryTable" Target="../queryTables/queryTable418.xml"/><Relationship Id="rId7" Type="http://schemas.openxmlformats.org/officeDocument/2006/relationships/queryTable" Target="../queryTables/queryTable341.xml"/><Relationship Id="rId71" Type="http://schemas.openxmlformats.org/officeDocument/2006/relationships/queryTable" Target="../queryTables/queryTable405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350.xml"/><Relationship Id="rId29" Type="http://schemas.openxmlformats.org/officeDocument/2006/relationships/queryTable" Target="../queryTables/queryTable363.xml"/><Relationship Id="rId11" Type="http://schemas.openxmlformats.org/officeDocument/2006/relationships/queryTable" Target="../queryTables/queryTable345.xml"/><Relationship Id="rId24" Type="http://schemas.openxmlformats.org/officeDocument/2006/relationships/queryTable" Target="../queryTables/queryTable358.xml"/><Relationship Id="rId32" Type="http://schemas.openxmlformats.org/officeDocument/2006/relationships/queryTable" Target="../queryTables/queryTable366.xml"/><Relationship Id="rId37" Type="http://schemas.openxmlformats.org/officeDocument/2006/relationships/queryTable" Target="../queryTables/queryTable371.xml"/><Relationship Id="rId40" Type="http://schemas.openxmlformats.org/officeDocument/2006/relationships/queryTable" Target="../queryTables/queryTable374.xml"/><Relationship Id="rId45" Type="http://schemas.openxmlformats.org/officeDocument/2006/relationships/queryTable" Target="../queryTables/queryTable379.xml"/><Relationship Id="rId53" Type="http://schemas.openxmlformats.org/officeDocument/2006/relationships/queryTable" Target="../queryTables/queryTable387.xml"/><Relationship Id="rId58" Type="http://schemas.openxmlformats.org/officeDocument/2006/relationships/queryTable" Target="../queryTables/queryTable392.xml"/><Relationship Id="rId66" Type="http://schemas.openxmlformats.org/officeDocument/2006/relationships/queryTable" Target="../queryTables/queryTable400.xml"/><Relationship Id="rId74" Type="http://schemas.openxmlformats.org/officeDocument/2006/relationships/queryTable" Target="../queryTables/queryTable408.xml"/><Relationship Id="rId79" Type="http://schemas.openxmlformats.org/officeDocument/2006/relationships/queryTable" Target="../queryTables/queryTable413.xml"/><Relationship Id="rId5" Type="http://schemas.openxmlformats.org/officeDocument/2006/relationships/queryTable" Target="../queryTables/queryTable339.xml"/><Relationship Id="rId61" Type="http://schemas.openxmlformats.org/officeDocument/2006/relationships/queryTable" Target="../queryTables/queryTable395.xml"/><Relationship Id="rId82" Type="http://schemas.openxmlformats.org/officeDocument/2006/relationships/queryTable" Target="../queryTables/queryTable416.xml"/><Relationship Id="rId10" Type="http://schemas.openxmlformats.org/officeDocument/2006/relationships/queryTable" Target="../queryTables/queryTable344.xml"/><Relationship Id="rId19" Type="http://schemas.openxmlformats.org/officeDocument/2006/relationships/queryTable" Target="../queryTables/queryTable353.xml"/><Relationship Id="rId31" Type="http://schemas.openxmlformats.org/officeDocument/2006/relationships/queryTable" Target="../queryTables/queryTable365.xml"/><Relationship Id="rId44" Type="http://schemas.openxmlformats.org/officeDocument/2006/relationships/queryTable" Target="../queryTables/queryTable378.xml"/><Relationship Id="rId52" Type="http://schemas.openxmlformats.org/officeDocument/2006/relationships/queryTable" Target="../queryTables/queryTable386.xml"/><Relationship Id="rId60" Type="http://schemas.openxmlformats.org/officeDocument/2006/relationships/queryTable" Target="../queryTables/queryTable394.xml"/><Relationship Id="rId65" Type="http://schemas.openxmlformats.org/officeDocument/2006/relationships/queryTable" Target="../queryTables/queryTable399.xml"/><Relationship Id="rId73" Type="http://schemas.openxmlformats.org/officeDocument/2006/relationships/queryTable" Target="../queryTables/queryTable407.xml"/><Relationship Id="rId78" Type="http://schemas.openxmlformats.org/officeDocument/2006/relationships/queryTable" Target="../queryTables/queryTable412.xml"/><Relationship Id="rId81" Type="http://schemas.openxmlformats.org/officeDocument/2006/relationships/queryTable" Target="../queryTables/queryTable415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343.xml"/><Relationship Id="rId14" Type="http://schemas.openxmlformats.org/officeDocument/2006/relationships/queryTable" Target="../queryTables/queryTable348.xml"/><Relationship Id="rId22" Type="http://schemas.openxmlformats.org/officeDocument/2006/relationships/queryTable" Target="../queryTables/queryTable356.xml"/><Relationship Id="rId27" Type="http://schemas.openxmlformats.org/officeDocument/2006/relationships/queryTable" Target="../queryTables/queryTable361.xml"/><Relationship Id="rId30" Type="http://schemas.openxmlformats.org/officeDocument/2006/relationships/queryTable" Target="../queryTables/queryTable364.xml"/><Relationship Id="rId35" Type="http://schemas.openxmlformats.org/officeDocument/2006/relationships/queryTable" Target="../queryTables/queryTable369.xml"/><Relationship Id="rId43" Type="http://schemas.openxmlformats.org/officeDocument/2006/relationships/queryTable" Target="../queryTables/queryTable377.xml"/><Relationship Id="rId48" Type="http://schemas.openxmlformats.org/officeDocument/2006/relationships/queryTable" Target="../queryTables/queryTable382.xml"/><Relationship Id="rId56" Type="http://schemas.openxmlformats.org/officeDocument/2006/relationships/queryTable" Target="../queryTables/queryTable390.xml"/><Relationship Id="rId64" Type="http://schemas.openxmlformats.org/officeDocument/2006/relationships/queryTable" Target="../queryTables/queryTable398.xml"/><Relationship Id="rId69" Type="http://schemas.openxmlformats.org/officeDocument/2006/relationships/queryTable" Target="../queryTables/queryTable403.xml"/><Relationship Id="rId77" Type="http://schemas.openxmlformats.org/officeDocument/2006/relationships/queryTable" Target="../queryTables/queryTable411.xml"/><Relationship Id="rId8" Type="http://schemas.openxmlformats.org/officeDocument/2006/relationships/queryTable" Target="../queryTables/queryTable342.xml"/><Relationship Id="rId51" Type="http://schemas.openxmlformats.org/officeDocument/2006/relationships/queryTable" Target="../queryTables/queryTable385.xml"/><Relationship Id="rId72" Type="http://schemas.openxmlformats.org/officeDocument/2006/relationships/queryTable" Target="../queryTables/queryTable406.xml"/><Relationship Id="rId80" Type="http://schemas.openxmlformats.org/officeDocument/2006/relationships/queryTable" Target="../queryTables/queryTable414.xml"/><Relationship Id="rId3" Type="http://schemas.openxmlformats.org/officeDocument/2006/relationships/ctrlProp" Target="../ctrlProps/ctrlProp7.xml"/><Relationship Id="rId12" Type="http://schemas.openxmlformats.org/officeDocument/2006/relationships/queryTable" Target="../queryTables/queryTable346.xml"/><Relationship Id="rId17" Type="http://schemas.openxmlformats.org/officeDocument/2006/relationships/queryTable" Target="../queryTables/queryTable351.xml"/><Relationship Id="rId25" Type="http://schemas.openxmlformats.org/officeDocument/2006/relationships/queryTable" Target="../queryTables/queryTable359.xml"/><Relationship Id="rId33" Type="http://schemas.openxmlformats.org/officeDocument/2006/relationships/queryTable" Target="../queryTables/queryTable367.xml"/><Relationship Id="rId38" Type="http://schemas.openxmlformats.org/officeDocument/2006/relationships/queryTable" Target="../queryTables/queryTable372.xml"/><Relationship Id="rId46" Type="http://schemas.openxmlformats.org/officeDocument/2006/relationships/queryTable" Target="../queryTables/queryTable380.xml"/><Relationship Id="rId59" Type="http://schemas.openxmlformats.org/officeDocument/2006/relationships/queryTable" Target="../queryTables/queryTable393.xml"/><Relationship Id="rId67" Type="http://schemas.openxmlformats.org/officeDocument/2006/relationships/queryTable" Target="../queryTables/queryTable401.xml"/><Relationship Id="rId20" Type="http://schemas.openxmlformats.org/officeDocument/2006/relationships/queryTable" Target="../queryTables/queryTable354.xml"/><Relationship Id="rId41" Type="http://schemas.openxmlformats.org/officeDocument/2006/relationships/queryTable" Target="../queryTables/queryTable375.xml"/><Relationship Id="rId54" Type="http://schemas.openxmlformats.org/officeDocument/2006/relationships/queryTable" Target="../queryTables/queryTable388.xml"/><Relationship Id="rId62" Type="http://schemas.openxmlformats.org/officeDocument/2006/relationships/queryTable" Target="../queryTables/queryTable396.xml"/><Relationship Id="rId70" Type="http://schemas.openxmlformats.org/officeDocument/2006/relationships/queryTable" Target="../queryTables/queryTable404.xml"/><Relationship Id="rId75" Type="http://schemas.openxmlformats.org/officeDocument/2006/relationships/queryTable" Target="../queryTables/queryTable409.xml"/><Relationship Id="rId83" Type="http://schemas.openxmlformats.org/officeDocument/2006/relationships/queryTable" Target="../queryTables/queryTable417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340.xml"/><Relationship Id="rId15" Type="http://schemas.openxmlformats.org/officeDocument/2006/relationships/queryTable" Target="../queryTables/queryTable349.xml"/><Relationship Id="rId23" Type="http://schemas.openxmlformats.org/officeDocument/2006/relationships/queryTable" Target="../queryTables/queryTable357.xml"/><Relationship Id="rId28" Type="http://schemas.openxmlformats.org/officeDocument/2006/relationships/queryTable" Target="../queryTables/queryTable362.xml"/><Relationship Id="rId36" Type="http://schemas.openxmlformats.org/officeDocument/2006/relationships/queryTable" Target="../queryTables/queryTable370.xml"/><Relationship Id="rId49" Type="http://schemas.openxmlformats.org/officeDocument/2006/relationships/queryTable" Target="../queryTables/queryTable383.xml"/><Relationship Id="rId57" Type="http://schemas.openxmlformats.org/officeDocument/2006/relationships/queryTable" Target="../queryTables/queryTable391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40.xml"/><Relationship Id="rId21" Type="http://schemas.openxmlformats.org/officeDocument/2006/relationships/queryTable" Target="../queryTables/queryTable435.xml"/><Relationship Id="rId42" Type="http://schemas.openxmlformats.org/officeDocument/2006/relationships/queryTable" Target="../queryTables/queryTable456.xml"/><Relationship Id="rId47" Type="http://schemas.openxmlformats.org/officeDocument/2006/relationships/queryTable" Target="../queryTables/queryTable461.xml"/><Relationship Id="rId63" Type="http://schemas.openxmlformats.org/officeDocument/2006/relationships/queryTable" Target="../queryTables/queryTable477.xml"/><Relationship Id="rId68" Type="http://schemas.openxmlformats.org/officeDocument/2006/relationships/queryTable" Target="../queryTables/queryTable482.xml"/><Relationship Id="rId84" Type="http://schemas.openxmlformats.org/officeDocument/2006/relationships/queryTable" Target="../queryTables/queryTable498.xml"/><Relationship Id="rId89" Type="http://schemas.openxmlformats.org/officeDocument/2006/relationships/queryTable" Target="../queryTables/queryTable503.xml"/><Relationship Id="rId7" Type="http://schemas.openxmlformats.org/officeDocument/2006/relationships/queryTable" Target="../queryTables/queryTable421.xml"/><Relationship Id="rId71" Type="http://schemas.openxmlformats.org/officeDocument/2006/relationships/queryTable" Target="../queryTables/queryTable485.xml"/><Relationship Id="rId92" Type="http://schemas.openxmlformats.org/officeDocument/2006/relationships/queryTable" Target="../queryTables/queryTable50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430.xml"/><Relationship Id="rId29" Type="http://schemas.openxmlformats.org/officeDocument/2006/relationships/queryTable" Target="../queryTables/queryTable443.xml"/><Relationship Id="rId11" Type="http://schemas.openxmlformats.org/officeDocument/2006/relationships/queryTable" Target="../queryTables/queryTable425.xml"/><Relationship Id="rId24" Type="http://schemas.openxmlformats.org/officeDocument/2006/relationships/queryTable" Target="../queryTables/queryTable438.xml"/><Relationship Id="rId32" Type="http://schemas.openxmlformats.org/officeDocument/2006/relationships/queryTable" Target="../queryTables/queryTable446.xml"/><Relationship Id="rId37" Type="http://schemas.openxmlformats.org/officeDocument/2006/relationships/queryTable" Target="../queryTables/queryTable451.xml"/><Relationship Id="rId40" Type="http://schemas.openxmlformats.org/officeDocument/2006/relationships/queryTable" Target="../queryTables/queryTable454.xml"/><Relationship Id="rId45" Type="http://schemas.openxmlformats.org/officeDocument/2006/relationships/queryTable" Target="../queryTables/queryTable459.xml"/><Relationship Id="rId53" Type="http://schemas.openxmlformats.org/officeDocument/2006/relationships/queryTable" Target="../queryTables/queryTable467.xml"/><Relationship Id="rId58" Type="http://schemas.openxmlformats.org/officeDocument/2006/relationships/queryTable" Target="../queryTables/queryTable472.xml"/><Relationship Id="rId66" Type="http://schemas.openxmlformats.org/officeDocument/2006/relationships/queryTable" Target="../queryTables/queryTable480.xml"/><Relationship Id="rId74" Type="http://schemas.openxmlformats.org/officeDocument/2006/relationships/queryTable" Target="../queryTables/queryTable488.xml"/><Relationship Id="rId79" Type="http://schemas.openxmlformats.org/officeDocument/2006/relationships/queryTable" Target="../queryTables/queryTable493.xml"/><Relationship Id="rId87" Type="http://schemas.openxmlformats.org/officeDocument/2006/relationships/queryTable" Target="../queryTables/queryTable501.xml"/><Relationship Id="rId102" Type="http://schemas.openxmlformats.org/officeDocument/2006/relationships/queryTable" Target="../queryTables/queryTable516.xml"/><Relationship Id="rId5" Type="http://schemas.openxmlformats.org/officeDocument/2006/relationships/queryTable" Target="../queryTables/queryTable419.xml"/><Relationship Id="rId61" Type="http://schemas.openxmlformats.org/officeDocument/2006/relationships/queryTable" Target="../queryTables/queryTable475.xml"/><Relationship Id="rId82" Type="http://schemas.openxmlformats.org/officeDocument/2006/relationships/queryTable" Target="../queryTables/queryTable496.xml"/><Relationship Id="rId90" Type="http://schemas.openxmlformats.org/officeDocument/2006/relationships/queryTable" Target="../queryTables/queryTable504.xml"/><Relationship Id="rId95" Type="http://schemas.openxmlformats.org/officeDocument/2006/relationships/queryTable" Target="../queryTables/queryTable509.xml"/><Relationship Id="rId19" Type="http://schemas.openxmlformats.org/officeDocument/2006/relationships/queryTable" Target="../queryTables/queryTable433.xml"/><Relationship Id="rId14" Type="http://schemas.openxmlformats.org/officeDocument/2006/relationships/queryTable" Target="../queryTables/queryTable428.xml"/><Relationship Id="rId22" Type="http://schemas.openxmlformats.org/officeDocument/2006/relationships/queryTable" Target="../queryTables/queryTable436.xml"/><Relationship Id="rId27" Type="http://schemas.openxmlformats.org/officeDocument/2006/relationships/queryTable" Target="../queryTables/queryTable441.xml"/><Relationship Id="rId30" Type="http://schemas.openxmlformats.org/officeDocument/2006/relationships/queryTable" Target="../queryTables/queryTable444.xml"/><Relationship Id="rId35" Type="http://schemas.openxmlformats.org/officeDocument/2006/relationships/queryTable" Target="../queryTables/queryTable449.xml"/><Relationship Id="rId43" Type="http://schemas.openxmlformats.org/officeDocument/2006/relationships/queryTable" Target="../queryTables/queryTable457.xml"/><Relationship Id="rId48" Type="http://schemas.openxmlformats.org/officeDocument/2006/relationships/queryTable" Target="../queryTables/queryTable462.xml"/><Relationship Id="rId56" Type="http://schemas.openxmlformats.org/officeDocument/2006/relationships/queryTable" Target="../queryTables/queryTable470.xml"/><Relationship Id="rId64" Type="http://schemas.openxmlformats.org/officeDocument/2006/relationships/queryTable" Target="../queryTables/queryTable478.xml"/><Relationship Id="rId69" Type="http://schemas.openxmlformats.org/officeDocument/2006/relationships/queryTable" Target="../queryTables/queryTable483.xml"/><Relationship Id="rId77" Type="http://schemas.openxmlformats.org/officeDocument/2006/relationships/queryTable" Target="../queryTables/queryTable491.xml"/><Relationship Id="rId100" Type="http://schemas.openxmlformats.org/officeDocument/2006/relationships/queryTable" Target="../queryTables/queryTable514.xml"/><Relationship Id="rId105" Type="http://schemas.openxmlformats.org/officeDocument/2006/relationships/queryTable" Target="../queryTables/queryTable519.xml"/><Relationship Id="rId8" Type="http://schemas.openxmlformats.org/officeDocument/2006/relationships/queryTable" Target="../queryTables/queryTable422.xml"/><Relationship Id="rId51" Type="http://schemas.openxmlformats.org/officeDocument/2006/relationships/queryTable" Target="../queryTables/queryTable465.xml"/><Relationship Id="rId72" Type="http://schemas.openxmlformats.org/officeDocument/2006/relationships/queryTable" Target="../queryTables/queryTable486.xml"/><Relationship Id="rId80" Type="http://schemas.openxmlformats.org/officeDocument/2006/relationships/queryTable" Target="../queryTables/queryTable494.xml"/><Relationship Id="rId85" Type="http://schemas.openxmlformats.org/officeDocument/2006/relationships/queryTable" Target="../queryTables/queryTable499.xml"/><Relationship Id="rId93" Type="http://schemas.openxmlformats.org/officeDocument/2006/relationships/queryTable" Target="../queryTables/queryTable507.xml"/><Relationship Id="rId98" Type="http://schemas.openxmlformats.org/officeDocument/2006/relationships/queryTable" Target="../queryTables/queryTable512.xml"/><Relationship Id="rId3" Type="http://schemas.openxmlformats.org/officeDocument/2006/relationships/ctrlProp" Target="../ctrlProps/ctrlProp9.xml"/><Relationship Id="rId12" Type="http://schemas.openxmlformats.org/officeDocument/2006/relationships/queryTable" Target="../queryTables/queryTable426.xml"/><Relationship Id="rId17" Type="http://schemas.openxmlformats.org/officeDocument/2006/relationships/queryTable" Target="../queryTables/queryTable431.xml"/><Relationship Id="rId25" Type="http://schemas.openxmlformats.org/officeDocument/2006/relationships/queryTable" Target="../queryTables/queryTable439.xml"/><Relationship Id="rId33" Type="http://schemas.openxmlformats.org/officeDocument/2006/relationships/queryTable" Target="../queryTables/queryTable447.xml"/><Relationship Id="rId38" Type="http://schemas.openxmlformats.org/officeDocument/2006/relationships/queryTable" Target="../queryTables/queryTable452.xml"/><Relationship Id="rId46" Type="http://schemas.openxmlformats.org/officeDocument/2006/relationships/queryTable" Target="../queryTables/queryTable460.xml"/><Relationship Id="rId59" Type="http://schemas.openxmlformats.org/officeDocument/2006/relationships/queryTable" Target="../queryTables/queryTable473.xml"/><Relationship Id="rId67" Type="http://schemas.openxmlformats.org/officeDocument/2006/relationships/queryTable" Target="../queryTables/queryTable481.xml"/><Relationship Id="rId103" Type="http://schemas.openxmlformats.org/officeDocument/2006/relationships/queryTable" Target="../queryTables/queryTable517.xml"/><Relationship Id="rId20" Type="http://schemas.openxmlformats.org/officeDocument/2006/relationships/queryTable" Target="../queryTables/queryTable434.xml"/><Relationship Id="rId41" Type="http://schemas.openxmlformats.org/officeDocument/2006/relationships/queryTable" Target="../queryTables/queryTable455.xml"/><Relationship Id="rId54" Type="http://schemas.openxmlformats.org/officeDocument/2006/relationships/queryTable" Target="../queryTables/queryTable468.xml"/><Relationship Id="rId62" Type="http://schemas.openxmlformats.org/officeDocument/2006/relationships/queryTable" Target="../queryTables/queryTable476.xml"/><Relationship Id="rId70" Type="http://schemas.openxmlformats.org/officeDocument/2006/relationships/queryTable" Target="../queryTables/queryTable484.xml"/><Relationship Id="rId75" Type="http://schemas.openxmlformats.org/officeDocument/2006/relationships/queryTable" Target="../queryTables/queryTable489.xml"/><Relationship Id="rId83" Type="http://schemas.openxmlformats.org/officeDocument/2006/relationships/queryTable" Target="../queryTables/queryTable497.xml"/><Relationship Id="rId88" Type="http://schemas.openxmlformats.org/officeDocument/2006/relationships/queryTable" Target="../queryTables/queryTable502.xml"/><Relationship Id="rId91" Type="http://schemas.openxmlformats.org/officeDocument/2006/relationships/queryTable" Target="../queryTables/queryTable505.xml"/><Relationship Id="rId96" Type="http://schemas.openxmlformats.org/officeDocument/2006/relationships/queryTable" Target="../queryTables/queryTable510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420.xml"/><Relationship Id="rId15" Type="http://schemas.openxmlformats.org/officeDocument/2006/relationships/queryTable" Target="../queryTables/queryTable429.xml"/><Relationship Id="rId23" Type="http://schemas.openxmlformats.org/officeDocument/2006/relationships/queryTable" Target="../queryTables/queryTable437.xml"/><Relationship Id="rId28" Type="http://schemas.openxmlformats.org/officeDocument/2006/relationships/queryTable" Target="../queryTables/queryTable442.xml"/><Relationship Id="rId36" Type="http://schemas.openxmlformats.org/officeDocument/2006/relationships/queryTable" Target="../queryTables/queryTable450.xml"/><Relationship Id="rId49" Type="http://schemas.openxmlformats.org/officeDocument/2006/relationships/queryTable" Target="../queryTables/queryTable463.xml"/><Relationship Id="rId57" Type="http://schemas.openxmlformats.org/officeDocument/2006/relationships/queryTable" Target="../queryTables/queryTable471.xml"/><Relationship Id="rId106" Type="http://schemas.openxmlformats.org/officeDocument/2006/relationships/queryTable" Target="../queryTables/queryTable520.xml"/><Relationship Id="rId10" Type="http://schemas.openxmlformats.org/officeDocument/2006/relationships/queryTable" Target="../queryTables/queryTable424.xml"/><Relationship Id="rId31" Type="http://schemas.openxmlformats.org/officeDocument/2006/relationships/queryTable" Target="../queryTables/queryTable445.xml"/><Relationship Id="rId44" Type="http://schemas.openxmlformats.org/officeDocument/2006/relationships/queryTable" Target="../queryTables/queryTable458.xml"/><Relationship Id="rId52" Type="http://schemas.openxmlformats.org/officeDocument/2006/relationships/queryTable" Target="../queryTables/queryTable466.xml"/><Relationship Id="rId60" Type="http://schemas.openxmlformats.org/officeDocument/2006/relationships/queryTable" Target="../queryTables/queryTable474.xml"/><Relationship Id="rId65" Type="http://schemas.openxmlformats.org/officeDocument/2006/relationships/queryTable" Target="../queryTables/queryTable479.xml"/><Relationship Id="rId73" Type="http://schemas.openxmlformats.org/officeDocument/2006/relationships/queryTable" Target="../queryTables/queryTable487.xml"/><Relationship Id="rId78" Type="http://schemas.openxmlformats.org/officeDocument/2006/relationships/queryTable" Target="../queryTables/queryTable492.xml"/><Relationship Id="rId81" Type="http://schemas.openxmlformats.org/officeDocument/2006/relationships/queryTable" Target="../queryTables/queryTable495.xml"/><Relationship Id="rId86" Type="http://schemas.openxmlformats.org/officeDocument/2006/relationships/queryTable" Target="../queryTables/queryTable500.xml"/><Relationship Id="rId94" Type="http://schemas.openxmlformats.org/officeDocument/2006/relationships/queryTable" Target="../queryTables/queryTable508.xml"/><Relationship Id="rId99" Type="http://schemas.openxmlformats.org/officeDocument/2006/relationships/queryTable" Target="../queryTables/queryTable513.xml"/><Relationship Id="rId101" Type="http://schemas.openxmlformats.org/officeDocument/2006/relationships/queryTable" Target="../queryTables/queryTable515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423.xml"/><Relationship Id="rId13" Type="http://schemas.openxmlformats.org/officeDocument/2006/relationships/queryTable" Target="../queryTables/queryTable427.xml"/><Relationship Id="rId18" Type="http://schemas.openxmlformats.org/officeDocument/2006/relationships/queryTable" Target="../queryTables/queryTable432.xml"/><Relationship Id="rId39" Type="http://schemas.openxmlformats.org/officeDocument/2006/relationships/queryTable" Target="../queryTables/queryTable453.xml"/><Relationship Id="rId34" Type="http://schemas.openxmlformats.org/officeDocument/2006/relationships/queryTable" Target="../queryTables/queryTable448.xml"/><Relationship Id="rId50" Type="http://schemas.openxmlformats.org/officeDocument/2006/relationships/queryTable" Target="../queryTables/queryTable464.xml"/><Relationship Id="rId55" Type="http://schemas.openxmlformats.org/officeDocument/2006/relationships/queryTable" Target="../queryTables/queryTable469.xml"/><Relationship Id="rId76" Type="http://schemas.openxmlformats.org/officeDocument/2006/relationships/queryTable" Target="../queryTables/queryTable490.xml"/><Relationship Id="rId97" Type="http://schemas.openxmlformats.org/officeDocument/2006/relationships/queryTable" Target="../queryTables/queryTable511.xml"/><Relationship Id="rId104" Type="http://schemas.openxmlformats.org/officeDocument/2006/relationships/queryTable" Target="../queryTables/queryTable5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4.xml"/><Relationship Id="rId3" Type="http://schemas.openxmlformats.org/officeDocument/2006/relationships/ctrlProp" Target="../ctrlProps/ctrlProp11.xml"/><Relationship Id="rId7" Type="http://schemas.openxmlformats.org/officeDocument/2006/relationships/queryTable" Target="../queryTables/queryTable5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522.xml"/><Relationship Id="rId5" Type="http://schemas.openxmlformats.org/officeDocument/2006/relationships/queryTable" Target="../queryTables/queryTable521.xml"/><Relationship Id="rId10" Type="http://schemas.openxmlformats.org/officeDocument/2006/relationships/queryTable" Target="../queryTables/queryTable526.xml"/><Relationship Id="rId4" Type="http://schemas.openxmlformats.org/officeDocument/2006/relationships/ctrlProp" Target="../ctrlProps/ctrlProp12.xml"/><Relationship Id="rId9" Type="http://schemas.openxmlformats.org/officeDocument/2006/relationships/queryTable" Target="../queryTables/queryTable5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0.xml"/><Relationship Id="rId3" Type="http://schemas.openxmlformats.org/officeDocument/2006/relationships/ctrlProp" Target="../ctrlProps/ctrlProp13.xml"/><Relationship Id="rId7" Type="http://schemas.openxmlformats.org/officeDocument/2006/relationships/queryTable" Target="../queryTables/queryTable52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queryTable" Target="../queryTables/queryTable528.xml"/><Relationship Id="rId5" Type="http://schemas.openxmlformats.org/officeDocument/2006/relationships/queryTable" Target="../queryTables/queryTable52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4.xml"/><Relationship Id="rId3" Type="http://schemas.openxmlformats.org/officeDocument/2006/relationships/ctrlProp" Target="../ctrlProps/ctrlProp15.xml"/><Relationship Id="rId7" Type="http://schemas.openxmlformats.org/officeDocument/2006/relationships/queryTable" Target="../queryTables/queryTable53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6" Type="http://schemas.openxmlformats.org/officeDocument/2006/relationships/queryTable" Target="../queryTables/queryTable532.xml"/><Relationship Id="rId5" Type="http://schemas.openxmlformats.org/officeDocument/2006/relationships/queryTable" Target="../queryTables/queryTable531.xml"/><Relationship Id="rId4" Type="http://schemas.openxmlformats.org/officeDocument/2006/relationships/ctrlProp" Target="../ctrlProps/ctrlProp16.xml"/><Relationship Id="rId9" Type="http://schemas.openxmlformats.org/officeDocument/2006/relationships/queryTable" Target="../queryTables/queryTable5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9.xml"/><Relationship Id="rId3" Type="http://schemas.openxmlformats.org/officeDocument/2006/relationships/ctrlProp" Target="../ctrlProps/ctrlProp17.xml"/><Relationship Id="rId7" Type="http://schemas.openxmlformats.org/officeDocument/2006/relationships/queryTable" Target="../queryTables/queryTable5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6" Type="http://schemas.openxmlformats.org/officeDocument/2006/relationships/queryTable" Target="../queryTables/queryTable537.xml"/><Relationship Id="rId5" Type="http://schemas.openxmlformats.org/officeDocument/2006/relationships/queryTable" Target="../queryTables/queryTable536.xml"/><Relationship Id="rId4" Type="http://schemas.openxmlformats.org/officeDocument/2006/relationships/ctrlProp" Target="../ctrlProps/ctrlProp18.xml"/><Relationship Id="rId9" Type="http://schemas.openxmlformats.org/officeDocument/2006/relationships/queryTable" Target="../queryTables/queryTable540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47.xml"/><Relationship Id="rId18" Type="http://schemas.openxmlformats.org/officeDocument/2006/relationships/queryTable" Target="../queryTables/queryTable552.xml"/><Relationship Id="rId26" Type="http://schemas.openxmlformats.org/officeDocument/2006/relationships/queryTable" Target="../queryTables/queryTable560.xml"/><Relationship Id="rId39" Type="http://schemas.openxmlformats.org/officeDocument/2006/relationships/queryTable" Target="../queryTables/queryTable573.xml"/><Relationship Id="rId21" Type="http://schemas.openxmlformats.org/officeDocument/2006/relationships/queryTable" Target="../queryTables/queryTable555.xml"/><Relationship Id="rId34" Type="http://schemas.openxmlformats.org/officeDocument/2006/relationships/queryTable" Target="../queryTables/queryTable568.xml"/><Relationship Id="rId42" Type="http://schemas.openxmlformats.org/officeDocument/2006/relationships/queryTable" Target="../queryTables/queryTable576.xml"/><Relationship Id="rId47" Type="http://schemas.openxmlformats.org/officeDocument/2006/relationships/queryTable" Target="../queryTables/queryTable581.xml"/><Relationship Id="rId50" Type="http://schemas.openxmlformats.org/officeDocument/2006/relationships/queryTable" Target="../queryTables/queryTable584.xml"/><Relationship Id="rId55" Type="http://schemas.openxmlformats.org/officeDocument/2006/relationships/queryTable" Target="../queryTables/queryTable589.xml"/><Relationship Id="rId63" Type="http://schemas.openxmlformats.org/officeDocument/2006/relationships/queryTable" Target="../queryTables/queryTable597.xml"/><Relationship Id="rId68" Type="http://schemas.openxmlformats.org/officeDocument/2006/relationships/queryTable" Target="../queryTables/queryTable602.xml"/><Relationship Id="rId76" Type="http://schemas.openxmlformats.org/officeDocument/2006/relationships/queryTable" Target="../queryTables/queryTable610.xml"/><Relationship Id="rId7" Type="http://schemas.openxmlformats.org/officeDocument/2006/relationships/queryTable" Target="../queryTables/queryTable541.xml"/><Relationship Id="rId71" Type="http://schemas.openxmlformats.org/officeDocument/2006/relationships/queryTable" Target="../queryTables/queryTable605.xml"/><Relationship Id="rId2" Type="http://schemas.openxmlformats.org/officeDocument/2006/relationships/drawing" Target="../drawings/drawing10.xml"/><Relationship Id="rId16" Type="http://schemas.openxmlformats.org/officeDocument/2006/relationships/queryTable" Target="../queryTables/queryTable550.xml"/><Relationship Id="rId29" Type="http://schemas.openxmlformats.org/officeDocument/2006/relationships/queryTable" Target="../queryTables/queryTable563.xml"/><Relationship Id="rId11" Type="http://schemas.openxmlformats.org/officeDocument/2006/relationships/queryTable" Target="../queryTables/queryTable545.xml"/><Relationship Id="rId24" Type="http://schemas.openxmlformats.org/officeDocument/2006/relationships/queryTable" Target="../queryTables/queryTable558.xml"/><Relationship Id="rId32" Type="http://schemas.openxmlformats.org/officeDocument/2006/relationships/queryTable" Target="../queryTables/queryTable566.xml"/><Relationship Id="rId37" Type="http://schemas.openxmlformats.org/officeDocument/2006/relationships/queryTable" Target="../queryTables/queryTable571.xml"/><Relationship Id="rId40" Type="http://schemas.openxmlformats.org/officeDocument/2006/relationships/queryTable" Target="../queryTables/queryTable574.xml"/><Relationship Id="rId45" Type="http://schemas.openxmlformats.org/officeDocument/2006/relationships/queryTable" Target="../queryTables/queryTable579.xml"/><Relationship Id="rId53" Type="http://schemas.openxmlformats.org/officeDocument/2006/relationships/queryTable" Target="../queryTables/queryTable587.xml"/><Relationship Id="rId58" Type="http://schemas.openxmlformats.org/officeDocument/2006/relationships/queryTable" Target="../queryTables/queryTable592.xml"/><Relationship Id="rId66" Type="http://schemas.openxmlformats.org/officeDocument/2006/relationships/queryTable" Target="../queryTables/queryTable600.xml"/><Relationship Id="rId74" Type="http://schemas.openxmlformats.org/officeDocument/2006/relationships/queryTable" Target="../queryTables/queryTable608.xml"/><Relationship Id="rId79" Type="http://schemas.openxmlformats.org/officeDocument/2006/relationships/queryTable" Target="../queryTables/queryTable613.xml"/><Relationship Id="rId5" Type="http://schemas.openxmlformats.org/officeDocument/2006/relationships/ctrlProp" Target="../ctrlProps/ctrlProp20.xml"/><Relationship Id="rId61" Type="http://schemas.openxmlformats.org/officeDocument/2006/relationships/queryTable" Target="../queryTables/queryTable595.xml"/><Relationship Id="rId10" Type="http://schemas.openxmlformats.org/officeDocument/2006/relationships/queryTable" Target="../queryTables/queryTable544.xml"/><Relationship Id="rId19" Type="http://schemas.openxmlformats.org/officeDocument/2006/relationships/queryTable" Target="../queryTables/queryTable553.xml"/><Relationship Id="rId31" Type="http://schemas.openxmlformats.org/officeDocument/2006/relationships/queryTable" Target="../queryTables/queryTable565.xml"/><Relationship Id="rId44" Type="http://schemas.openxmlformats.org/officeDocument/2006/relationships/queryTable" Target="../queryTables/queryTable578.xml"/><Relationship Id="rId52" Type="http://schemas.openxmlformats.org/officeDocument/2006/relationships/queryTable" Target="../queryTables/queryTable586.xml"/><Relationship Id="rId60" Type="http://schemas.openxmlformats.org/officeDocument/2006/relationships/queryTable" Target="../queryTables/queryTable594.xml"/><Relationship Id="rId65" Type="http://schemas.openxmlformats.org/officeDocument/2006/relationships/queryTable" Target="../queryTables/queryTable599.xml"/><Relationship Id="rId73" Type="http://schemas.openxmlformats.org/officeDocument/2006/relationships/queryTable" Target="../queryTables/queryTable607.xml"/><Relationship Id="rId78" Type="http://schemas.openxmlformats.org/officeDocument/2006/relationships/queryTable" Target="../queryTables/queryTable612.xml"/><Relationship Id="rId4" Type="http://schemas.openxmlformats.org/officeDocument/2006/relationships/ctrlProp" Target="../ctrlProps/ctrlProp19.xml"/><Relationship Id="rId9" Type="http://schemas.openxmlformats.org/officeDocument/2006/relationships/queryTable" Target="../queryTables/queryTable543.xml"/><Relationship Id="rId14" Type="http://schemas.openxmlformats.org/officeDocument/2006/relationships/queryTable" Target="../queryTables/queryTable548.xml"/><Relationship Id="rId22" Type="http://schemas.openxmlformats.org/officeDocument/2006/relationships/queryTable" Target="../queryTables/queryTable556.xml"/><Relationship Id="rId27" Type="http://schemas.openxmlformats.org/officeDocument/2006/relationships/queryTable" Target="../queryTables/queryTable561.xml"/><Relationship Id="rId30" Type="http://schemas.openxmlformats.org/officeDocument/2006/relationships/queryTable" Target="../queryTables/queryTable564.xml"/><Relationship Id="rId35" Type="http://schemas.openxmlformats.org/officeDocument/2006/relationships/queryTable" Target="../queryTables/queryTable569.xml"/><Relationship Id="rId43" Type="http://schemas.openxmlformats.org/officeDocument/2006/relationships/queryTable" Target="../queryTables/queryTable577.xml"/><Relationship Id="rId48" Type="http://schemas.openxmlformats.org/officeDocument/2006/relationships/queryTable" Target="../queryTables/queryTable582.xml"/><Relationship Id="rId56" Type="http://schemas.openxmlformats.org/officeDocument/2006/relationships/queryTable" Target="../queryTables/queryTable590.xml"/><Relationship Id="rId64" Type="http://schemas.openxmlformats.org/officeDocument/2006/relationships/queryTable" Target="../queryTables/queryTable598.xml"/><Relationship Id="rId69" Type="http://schemas.openxmlformats.org/officeDocument/2006/relationships/queryTable" Target="../queryTables/queryTable603.xml"/><Relationship Id="rId77" Type="http://schemas.openxmlformats.org/officeDocument/2006/relationships/queryTable" Target="../queryTables/queryTable611.xml"/><Relationship Id="rId8" Type="http://schemas.openxmlformats.org/officeDocument/2006/relationships/queryTable" Target="../queryTables/queryTable542.xml"/><Relationship Id="rId51" Type="http://schemas.openxmlformats.org/officeDocument/2006/relationships/queryTable" Target="../queryTables/queryTable585.xml"/><Relationship Id="rId72" Type="http://schemas.openxmlformats.org/officeDocument/2006/relationships/queryTable" Target="../queryTables/queryTable606.xml"/><Relationship Id="rId3" Type="http://schemas.openxmlformats.org/officeDocument/2006/relationships/vmlDrawing" Target="../drawings/vmlDrawing11.vml"/><Relationship Id="rId12" Type="http://schemas.openxmlformats.org/officeDocument/2006/relationships/queryTable" Target="../queryTables/queryTable546.xml"/><Relationship Id="rId17" Type="http://schemas.openxmlformats.org/officeDocument/2006/relationships/queryTable" Target="../queryTables/queryTable551.xml"/><Relationship Id="rId25" Type="http://schemas.openxmlformats.org/officeDocument/2006/relationships/queryTable" Target="../queryTables/queryTable559.xml"/><Relationship Id="rId33" Type="http://schemas.openxmlformats.org/officeDocument/2006/relationships/queryTable" Target="../queryTables/queryTable567.xml"/><Relationship Id="rId38" Type="http://schemas.openxmlformats.org/officeDocument/2006/relationships/queryTable" Target="../queryTables/queryTable572.xml"/><Relationship Id="rId46" Type="http://schemas.openxmlformats.org/officeDocument/2006/relationships/queryTable" Target="../queryTables/queryTable580.xml"/><Relationship Id="rId59" Type="http://schemas.openxmlformats.org/officeDocument/2006/relationships/queryTable" Target="../queryTables/queryTable593.xml"/><Relationship Id="rId67" Type="http://schemas.openxmlformats.org/officeDocument/2006/relationships/queryTable" Target="../queryTables/queryTable601.xml"/><Relationship Id="rId20" Type="http://schemas.openxmlformats.org/officeDocument/2006/relationships/queryTable" Target="../queryTables/queryTable554.xml"/><Relationship Id="rId41" Type="http://schemas.openxmlformats.org/officeDocument/2006/relationships/queryTable" Target="../queryTables/queryTable575.xml"/><Relationship Id="rId54" Type="http://schemas.openxmlformats.org/officeDocument/2006/relationships/queryTable" Target="../queryTables/queryTable588.xml"/><Relationship Id="rId62" Type="http://schemas.openxmlformats.org/officeDocument/2006/relationships/queryTable" Target="../queryTables/queryTable596.xml"/><Relationship Id="rId70" Type="http://schemas.openxmlformats.org/officeDocument/2006/relationships/queryTable" Target="../queryTables/queryTable604.xml"/><Relationship Id="rId75" Type="http://schemas.openxmlformats.org/officeDocument/2006/relationships/queryTable" Target="../queryTables/queryTable60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5" Type="http://schemas.openxmlformats.org/officeDocument/2006/relationships/queryTable" Target="../queryTables/queryTable549.xml"/><Relationship Id="rId23" Type="http://schemas.openxmlformats.org/officeDocument/2006/relationships/queryTable" Target="../queryTables/queryTable557.xml"/><Relationship Id="rId28" Type="http://schemas.openxmlformats.org/officeDocument/2006/relationships/queryTable" Target="../queryTables/queryTable562.xml"/><Relationship Id="rId36" Type="http://schemas.openxmlformats.org/officeDocument/2006/relationships/queryTable" Target="../queryTables/queryTable570.xml"/><Relationship Id="rId49" Type="http://schemas.openxmlformats.org/officeDocument/2006/relationships/queryTable" Target="../queryTables/queryTable583.xml"/><Relationship Id="rId57" Type="http://schemas.openxmlformats.org/officeDocument/2006/relationships/queryTable" Target="../queryTables/queryTable59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workbookViewId="0">
      <selection activeCell="D1" sqref="D1"/>
    </sheetView>
  </sheetViews>
  <sheetFormatPr defaultColWidth="8.7109375" defaultRowHeight="15" x14ac:dyDescent="0.25"/>
  <cols>
    <col min="1" max="1" width="10.5703125" style="49" bestFit="1" customWidth="1"/>
    <col min="2" max="2" width="1.28515625" style="49" customWidth="1"/>
    <col min="3" max="3" width="4.28515625" style="49" bestFit="1" customWidth="1"/>
    <col min="4" max="4" width="7" style="49" bestFit="1" customWidth="1"/>
    <col min="5" max="5" width="1.28515625" style="49" customWidth="1"/>
    <col min="6" max="6" width="8.7109375" style="49"/>
    <col min="7" max="7" width="2.85546875" style="49" bestFit="1" customWidth="1"/>
    <col min="8" max="8" width="1.28515625" style="49" customWidth="1"/>
    <col min="9" max="9" width="18.28515625" style="49" bestFit="1" customWidth="1"/>
    <col min="10" max="10" width="2" style="51" bestFit="1" customWidth="1"/>
    <col min="11" max="16384" width="8.7109375" style="49"/>
  </cols>
  <sheetData>
    <row r="1" spans="1:11" x14ac:dyDescent="0.25">
      <c r="A1" s="3" t="s">
        <v>11</v>
      </c>
      <c r="B1" s="3"/>
      <c r="C1" s="49" t="s">
        <v>14</v>
      </c>
      <c r="D1" s="53" t="s">
        <v>70</v>
      </c>
      <c r="E1" s="3"/>
      <c r="F1" s="49" t="s">
        <v>15</v>
      </c>
      <c r="G1" s="53" t="s">
        <v>6</v>
      </c>
      <c r="H1" s="3"/>
      <c r="I1" s="50" t="s">
        <v>85</v>
      </c>
      <c r="J1" s="52">
        <v>0</v>
      </c>
      <c r="K1" s="3" t="s">
        <v>142</v>
      </c>
    </row>
    <row r="2" spans="1:11" x14ac:dyDescent="0.25">
      <c r="A2" s="3" t="s">
        <v>13</v>
      </c>
      <c r="B2" s="3"/>
      <c r="C2" s="49" t="s">
        <v>14</v>
      </c>
      <c r="D2" s="104" t="s">
        <v>10</v>
      </c>
      <c r="E2" s="3"/>
      <c r="H2" s="3"/>
    </row>
    <row r="3" spans="1:11" x14ac:dyDescent="0.25">
      <c r="A3" s="3" t="s">
        <v>12</v>
      </c>
      <c r="B3" s="3"/>
      <c r="C3" s="49" t="s">
        <v>14</v>
      </c>
      <c r="D3" s="53" t="s">
        <v>69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Internal!$A$2:$A$3</xm:f>
          </x14:formula1>
          <xm:sqref>G1</xm:sqref>
        </x14:dataValidation>
        <x14:dataValidation type="list" allowBlank="1" showInputMessage="1" showErrorMessage="1" xr:uid="{00000000-0002-0000-0000-000001000000}">
          <x14:formula1>
            <xm:f>Internal!$G$2:$G$5</xm:f>
          </x14:formula1>
          <xm:sqref>J1</xm:sqref>
        </x14:dataValidation>
        <x14:dataValidation type="list" allowBlank="1" showInputMessage="1" showErrorMessage="1" xr:uid="{00000000-0002-0000-0000-000002000000}">
          <x14:formula1>
            <xm:f>Internal!$H$2:$H$31</xm:f>
          </x14:formula1>
          <xm:sqref>D2:D3</xm:sqref>
        </x14:dataValidation>
        <x14:dataValidation type="list" allowBlank="1" showInputMessage="1" showErrorMessage="1" xr:uid="{00000000-0002-0000-0000-000003000000}">
          <x14:formula1>
            <xm:f>Internal!$H$2:$H$41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M63"/>
  <sheetViews>
    <sheetView topLeftCell="AN1" workbookViewId="0">
      <selection activeCell="AX29" sqref="AX29"/>
    </sheetView>
  </sheetViews>
  <sheetFormatPr defaultColWidth="12.28515625" defaultRowHeight="15" x14ac:dyDescent="0.25"/>
  <cols>
    <col min="1" max="1" width="2.7109375" style="11" bestFit="1" customWidth="1"/>
    <col min="2" max="2" width="11.5703125" style="11" bestFit="1" customWidth="1"/>
    <col min="3" max="4" width="11.5703125" style="54" customWidth="1"/>
    <col min="5" max="5" width="9.5703125" style="54" bestFit="1" customWidth="1"/>
    <col min="6" max="7" width="12.28515625" style="12"/>
    <col min="8" max="9" width="12.28515625" style="12" customWidth="1"/>
    <col min="10" max="10" width="12.42578125" style="12" customWidth="1"/>
    <col min="11" max="11" width="12.28515625" style="89" customWidth="1"/>
    <col min="12" max="13" width="12.42578125" style="70" customWidth="1"/>
    <col min="14" max="14" width="12.28515625" style="12" customWidth="1"/>
    <col min="15" max="15" width="12.28515625" style="70"/>
    <col min="16" max="17" width="12.28515625" style="12"/>
    <col min="18" max="19" width="12.28515625" style="13"/>
    <col min="20" max="20" width="12.28515625" style="77" customWidth="1"/>
    <col min="21" max="21" width="14" style="77" bestFit="1" customWidth="1"/>
    <col min="22" max="23" width="12.28515625" style="77" customWidth="1"/>
    <col min="24" max="25" width="12.28515625" style="14"/>
    <col min="26" max="26" width="12.28515625" style="94"/>
    <col min="27" max="27" width="14" style="94" bestFit="1" customWidth="1"/>
    <col min="28" max="29" width="12.28515625" style="94"/>
    <col min="30" max="31" width="12.28515625" style="13"/>
    <col min="32" max="32" width="12.28515625" style="77"/>
    <col min="33" max="33" width="14" style="77" bestFit="1" customWidth="1"/>
    <col min="34" max="35" width="12.28515625" style="77"/>
    <col min="36" max="37" width="12.28515625" style="14"/>
    <col min="38" max="38" width="12.28515625" style="94"/>
    <col min="39" max="39" width="14" style="94" bestFit="1" customWidth="1"/>
    <col min="40" max="40" width="12.28515625" style="94"/>
    <col min="41" max="41" width="15.140625" style="94" customWidth="1"/>
    <col min="42" max="42" width="12.28515625" style="13"/>
    <col min="43" max="43" width="12.7109375" style="13" bestFit="1" customWidth="1"/>
    <col min="44" max="44" width="12.28515625" style="77"/>
    <col min="45" max="45" width="14" style="13" bestFit="1" customWidth="1"/>
    <col min="46" max="47" width="12.28515625" style="13"/>
    <col min="48" max="48" width="12.28515625" style="14"/>
    <col min="49" max="49" width="12.7109375" style="14" bestFit="1" customWidth="1"/>
    <col min="50" max="50" width="12.28515625" style="94"/>
    <col min="51" max="51" width="14" style="94" bestFit="1" customWidth="1"/>
    <col min="52" max="53" width="12.28515625" style="94"/>
    <col min="54" max="54" width="12.28515625" style="13"/>
    <col min="55" max="55" width="12.7109375" style="13" bestFit="1" customWidth="1"/>
    <col min="56" max="56" width="12.28515625" style="77"/>
    <col min="57" max="57" width="14" style="77" bestFit="1" customWidth="1"/>
    <col min="58" max="59" width="12.28515625" style="77"/>
    <col min="60" max="61" width="12.7109375" style="14" bestFit="1" customWidth="1"/>
    <col min="62" max="62" width="12.28515625" style="94"/>
    <col min="63" max="63" width="14" style="94" bestFit="1" customWidth="1"/>
    <col min="64" max="65" width="12.28515625" style="94"/>
    <col min="66" max="16384" width="12.28515625" style="16"/>
  </cols>
  <sheetData>
    <row r="1" spans="1:65" s="10" customFormat="1" ht="15.75" thickBot="1" x14ac:dyDescent="0.3">
      <c r="A1" s="6" t="s">
        <v>23</v>
      </c>
      <c r="B1" s="57" t="s">
        <v>88</v>
      </c>
      <c r="C1" s="57" t="s">
        <v>206</v>
      </c>
      <c r="D1" s="57" t="s">
        <v>205</v>
      </c>
      <c r="E1" s="57" t="s">
        <v>86</v>
      </c>
      <c r="F1" s="7" t="s">
        <v>51</v>
      </c>
      <c r="G1" s="123" t="s">
        <v>204</v>
      </c>
      <c r="H1" s="7" t="s">
        <v>31</v>
      </c>
      <c r="I1" s="7"/>
      <c r="J1" s="7" t="s">
        <v>32</v>
      </c>
      <c r="K1" s="66" t="s">
        <v>151</v>
      </c>
      <c r="L1" s="66" t="s">
        <v>164</v>
      </c>
      <c r="M1" s="123" t="s">
        <v>152</v>
      </c>
      <c r="N1" s="7" t="s">
        <v>33</v>
      </c>
      <c r="O1" s="66" t="s">
        <v>165</v>
      </c>
      <c r="P1" s="66" t="s">
        <v>164</v>
      </c>
      <c r="Q1" s="123" t="s">
        <v>152</v>
      </c>
      <c r="R1" s="8" t="s">
        <v>52</v>
      </c>
      <c r="S1" s="8" t="s">
        <v>46</v>
      </c>
      <c r="T1" s="73" t="s">
        <v>157</v>
      </c>
      <c r="U1" s="73" t="s">
        <v>159</v>
      </c>
      <c r="V1" s="130" t="s">
        <v>158</v>
      </c>
      <c r="W1" s="131" t="s">
        <v>203</v>
      </c>
      <c r="X1" s="9" t="s">
        <v>53</v>
      </c>
      <c r="Y1" s="9" t="s">
        <v>16</v>
      </c>
      <c r="Z1" s="93" t="s">
        <v>166</v>
      </c>
      <c r="AA1" s="93" t="s">
        <v>159</v>
      </c>
      <c r="AB1" s="135" t="s">
        <v>158</v>
      </c>
      <c r="AC1" s="135" t="s">
        <v>203</v>
      </c>
      <c r="AD1" s="8" t="s">
        <v>54</v>
      </c>
      <c r="AE1" s="8" t="s">
        <v>17</v>
      </c>
      <c r="AF1" s="73" t="s">
        <v>167</v>
      </c>
      <c r="AG1" s="73" t="s">
        <v>159</v>
      </c>
      <c r="AH1" s="130" t="s">
        <v>158</v>
      </c>
      <c r="AI1" s="130" t="s">
        <v>203</v>
      </c>
      <c r="AJ1" s="9" t="s">
        <v>55</v>
      </c>
      <c r="AK1" s="9" t="s">
        <v>18</v>
      </c>
      <c r="AL1" s="93" t="s">
        <v>168</v>
      </c>
      <c r="AM1" s="93" t="s">
        <v>159</v>
      </c>
      <c r="AN1" s="135" t="s">
        <v>158</v>
      </c>
      <c r="AO1" s="135" t="s">
        <v>203</v>
      </c>
      <c r="AP1" s="8" t="s">
        <v>56</v>
      </c>
      <c r="AQ1" s="8" t="s">
        <v>19</v>
      </c>
      <c r="AR1" s="73" t="s">
        <v>170</v>
      </c>
      <c r="AS1" s="73" t="s">
        <v>171</v>
      </c>
      <c r="AT1" s="73" t="s">
        <v>172</v>
      </c>
      <c r="AU1" s="73" t="s">
        <v>203</v>
      </c>
      <c r="AV1" s="9" t="s">
        <v>57</v>
      </c>
      <c r="AW1" s="9" t="s">
        <v>20</v>
      </c>
      <c r="AX1" s="93" t="s">
        <v>173</v>
      </c>
      <c r="AY1" s="93" t="s">
        <v>174</v>
      </c>
      <c r="AZ1" s="93" t="s">
        <v>175</v>
      </c>
      <c r="BA1" s="93" t="s">
        <v>203</v>
      </c>
      <c r="BB1" s="8" t="s">
        <v>58</v>
      </c>
      <c r="BC1" s="8" t="s">
        <v>21</v>
      </c>
      <c r="BD1" s="73" t="s">
        <v>176</v>
      </c>
      <c r="BE1" s="73" t="s">
        <v>177</v>
      </c>
      <c r="BF1" s="73" t="s">
        <v>178</v>
      </c>
      <c r="BG1" s="73" t="s">
        <v>203</v>
      </c>
      <c r="BH1" s="9" t="s">
        <v>59</v>
      </c>
      <c r="BI1" s="9" t="s">
        <v>22</v>
      </c>
      <c r="BJ1" s="93" t="s">
        <v>179</v>
      </c>
      <c r="BK1" s="93" t="s">
        <v>180</v>
      </c>
      <c r="BL1" s="93" t="s">
        <v>181</v>
      </c>
      <c r="BM1" s="93" t="s">
        <v>203</v>
      </c>
    </row>
    <row r="2" spans="1:65" x14ac:dyDescent="0.25">
      <c r="A2" s="11">
        <v>1</v>
      </c>
      <c r="B2" s="11">
        <v>-5000</v>
      </c>
      <c r="C2" s="11">
        <v>-27000</v>
      </c>
      <c r="D2" s="11">
        <f>IF(Connect!G$1=Internal!A$2,Data!B2,Data!C2)</f>
        <v>-27000</v>
      </c>
      <c r="E2" s="58">
        <v>-27000</v>
      </c>
      <c r="F2" s="12">
        <f>Voltage!L2</f>
        <v>9.7309792000000002</v>
      </c>
      <c r="G2" s="124">
        <f>((E2-G$32)/G$26-F2)*1000</f>
        <v>0.21133591472377589</v>
      </c>
      <c r="H2" s="12">
        <f>Voltage!M2</f>
        <v>-26548</v>
      </c>
      <c r="J2" s="12">
        <f>Voltage!N2</f>
        <v>-31886</v>
      </c>
      <c r="K2" s="82">
        <f t="shared" ref="K2:K11" si="0">J2*K$26+K$32</f>
        <v>9.7313791177999995</v>
      </c>
      <c r="L2" s="79">
        <f>ABS($F2-K2)</f>
        <v>3.9991779999937194E-4</v>
      </c>
      <c r="M2" s="127">
        <f t="shared" ref="M2:M22" si="1">ABS(L2/$F2)</f>
        <v>4.1097385142840705E-5</v>
      </c>
      <c r="N2" s="12">
        <f>Voltage!O2</f>
        <v>-12706</v>
      </c>
      <c r="O2" s="82">
        <f t="shared" ref="O2:O11" si="2">N2*O$26+O$32</f>
        <v>9.7308193445999986</v>
      </c>
      <c r="P2" s="106">
        <f>ABS($F2-O2)</f>
        <v>1.5985540000151843E-4</v>
      </c>
      <c r="Q2" s="127">
        <f>ABS(P2/$F2)</f>
        <v>1.6427473198331204E-5</v>
      </c>
      <c r="R2" s="61">
        <f>'Range 0'!L2*1000</f>
        <v>946.99253999999996</v>
      </c>
      <c r="S2" s="13">
        <f>'Range 0'!M2</f>
        <v>-31540</v>
      </c>
      <c r="T2" s="85">
        <f t="shared" ref="T2:T22" si="3">S2*U$26/Igain+U$32</f>
        <v>947.09913399824416</v>
      </c>
      <c r="U2" s="85">
        <f t="shared" ref="U2:U22" si="4">ABS(T2-R2)</f>
        <v>0.10659399824419324</v>
      </c>
      <c r="V2" s="132">
        <f t="shared" ref="V2:V22" si="5">ABS(U2/CUR_RNG_R0)</f>
        <v>1.0659399824419324E-4</v>
      </c>
      <c r="W2" s="132">
        <f t="shared" ref="W2:W22" si="6">ABS((D2-S$32)/S$26-R2)/CUR_RNG_R0</f>
        <v>8.8164977283327063E-5</v>
      </c>
      <c r="X2" s="15">
        <f>'Range 1'!L2*1000</f>
        <v>59.757235000000001</v>
      </c>
      <c r="Y2" s="14">
        <f>'Range 1'!M2</f>
        <v>-31532</v>
      </c>
      <c r="Z2" s="94">
        <f t="shared" ref="Z2:Z22" si="7">Y2*AA$26/Igain+AA$32</f>
        <v>59.75347284658627</v>
      </c>
      <c r="AA2" s="101">
        <f t="shared" ref="AA2:AA22" si="8">ABS(Z2-X2)</f>
        <v>3.7621534137315393E-3</v>
      </c>
      <c r="AB2" s="136">
        <f t="shared" ref="AB2:AB22" si="9">ABS(AA2/CUR_RNG_R1)</f>
        <v>3.7621534137315396E-5</v>
      </c>
      <c r="AC2" s="136">
        <f t="shared" ref="AC2:AC22" si="10">ABS(($D2-Y$32)/Y$26-X2)/CUR_RNG_R1</f>
        <v>3.7768755659612908E-5</v>
      </c>
      <c r="AD2" s="61">
        <f>'Range 2'!L2*1000</f>
        <v>9.6404598000000004</v>
      </c>
      <c r="AE2" s="13">
        <f>'Range 2'!M2</f>
        <v>-31532</v>
      </c>
      <c r="AF2" s="77">
        <f t="shared" ref="AF2:AF22" si="11">AE2*AG$26/Igain+AG$32</f>
        <v>9.6410415202805257</v>
      </c>
      <c r="AG2" s="85">
        <f t="shared" ref="AG2:AG22" si="12">ABS(AF2-AD2)</f>
        <v>5.8172028052538849E-4</v>
      </c>
      <c r="AH2" s="139">
        <f t="shared" ref="AH2:AH22" si="13">ABS(AG2/CUR_RNG_R2)</f>
        <v>5.8172028052538846E-5</v>
      </c>
      <c r="AI2" s="139">
        <f t="shared" ref="AI2:AI22" si="14">ABS(($D2-AE$32)/AE$26-AD2)/CUR_RNG_R2</f>
        <v>1.805938063128565E-5</v>
      </c>
      <c r="AJ2" s="15">
        <f>'Range 3'!L2*1000</f>
        <v>0.96409999999999996</v>
      </c>
      <c r="AK2" s="14">
        <f>'Range 3'!M2</f>
        <v>-31533</v>
      </c>
      <c r="AL2" s="94">
        <f t="shared" ref="AL2:AL22" si="15">AK2*AM$26/Igain+AM$32</f>
        <v>0.96411593634994952</v>
      </c>
      <c r="AM2" s="101">
        <f t="shared" ref="AM2:AM22" si="16">ABS(AL2-AJ2)</f>
        <v>1.59363499495635E-5</v>
      </c>
      <c r="AN2" s="136">
        <f t="shared" ref="AN2:AN22" si="17">ABS(AM2/CUR_RNG_R3)</f>
        <v>1.59363499495635E-5</v>
      </c>
      <c r="AO2" s="136">
        <f t="shared" ref="AO2:AO22" si="18">ABS(($D2-AK$32)/AK$26-AJ2)/CUR_RNG_R3</f>
        <v>1.4009756684862928E-5</v>
      </c>
      <c r="AP2" s="61">
        <f>'Range 4'!L2*1000</f>
        <v>9.6409999999999996E-2</v>
      </c>
      <c r="AQ2" s="13">
        <f>'Range 4'!M2</f>
        <v>-31533</v>
      </c>
      <c r="AR2" s="77">
        <f t="shared" ref="AR2:AR22" si="19">AQ2*AS$26/Igain+AS$32</f>
        <v>9.6416565254298689E-2</v>
      </c>
      <c r="AS2" s="85">
        <f t="shared" ref="AS2:AS22" si="20">ABS(AR2-AP2)</f>
        <v>6.5652542986932572E-6</v>
      </c>
      <c r="AT2" s="113">
        <f>ABS(AS2/CUR_RNG_R4)</f>
        <v>6.5652542986932572E-5</v>
      </c>
      <c r="AU2" s="150">
        <f t="shared" ref="AU2:AU22" si="21">ABS(($D2-AQ$32)/AQ$26-AP2)/CUR_RNG_R4</f>
        <v>3.5984605286643045E-5</v>
      </c>
      <c r="AV2" s="15">
        <f>'Range 5'!L2*1000</f>
        <v>9.6539999999999994E-3</v>
      </c>
      <c r="AW2" s="14">
        <f>'Range 5'!M2</f>
        <v>-31532</v>
      </c>
      <c r="AX2" s="146">
        <f t="shared" ref="AX2:AX22" si="22">AW2*AX$26/Igain+AX$32</f>
        <v>9.6516421082896552E-3</v>
      </c>
      <c r="AY2" s="101">
        <f t="shared" ref="AY2:AY22" si="23">ABS(AX2-AV2)</f>
        <v>2.3578917103441593E-6</v>
      </c>
      <c r="AZ2" s="109">
        <f>ABS(AY2/CUR_RNG_R5)</f>
        <v>2.3578917103441593E-4</v>
      </c>
      <c r="BA2" s="149">
        <f t="shared" ref="BA2:BA22" si="24">ABS(($D2-AW$32)/AW$26-AV2)/CUR_RNG_R5</f>
        <v>2.8709625362367819E-4</v>
      </c>
      <c r="BB2" s="13">
        <f>'Range 6'!L2*1000</f>
        <v>9.660999999999999E-4</v>
      </c>
      <c r="BC2" s="13">
        <f>'Range 6'!M2</f>
        <v>-31531</v>
      </c>
      <c r="BD2" s="77">
        <f t="shared" ref="BD2:BD22" si="25">BC2*BD$26/Igain+BD$32</f>
        <v>9.6349024002227745E-4</v>
      </c>
      <c r="BE2" s="85">
        <f t="shared" ref="BE2:BE22" si="26">ABS(BD2-BB2)</f>
        <v>2.6097599777224513E-6</v>
      </c>
      <c r="BF2" s="113">
        <f>ABS(BE2/CUR_RNG_R6)</f>
        <v>2.6097599777224513E-3</v>
      </c>
      <c r="BG2" s="113">
        <f t="shared" ref="BG2:BG22" si="27">ABS(($D2-BC$32)/BC$26-BB2)/CUR_RNG_R6</f>
        <v>2.5559035497555284E-3</v>
      </c>
      <c r="BH2" s="14">
        <f>'Range 7'!L2*1000</f>
        <v>9.6019999999999992E-5</v>
      </c>
      <c r="BI2" s="14">
        <f>'Range 7'!M2</f>
        <v>-31532</v>
      </c>
      <c r="BJ2" s="94">
        <f t="shared" ref="BJ2:BJ22" si="28">BI2*BJ$26/Igain+BJ$32</f>
        <v>9.6156057365523958E-5</v>
      </c>
      <c r="BK2" s="101">
        <f t="shared" ref="BK2:BK22" si="29">ABS(BJ2-BH2)</f>
        <v>1.3605736552396578E-7</v>
      </c>
      <c r="BL2" s="109">
        <f>ABS(BK2/CUR_RNG_R7)</f>
        <v>1.3605736552396578E-3</v>
      </c>
      <c r="BM2" s="109">
        <f t="shared" ref="BM2:BM22" si="30">ABS(($D2-BI$32)/BI$26-BH2)/CUR_RNG_R7</f>
        <v>1.9018054273399834E-3</v>
      </c>
    </row>
    <row r="3" spans="1:65" x14ac:dyDescent="0.25">
      <c r="A3" s="11">
        <v>2</v>
      </c>
      <c r="B3" s="11">
        <v>-4500</v>
      </c>
      <c r="C3" s="11">
        <v>-24300</v>
      </c>
      <c r="D3" s="11">
        <f>IF(Connect!G$1=Internal!A$2,Data!B3,Data!C3)</f>
        <v>-24300</v>
      </c>
      <c r="E3" s="58">
        <v>-24300</v>
      </c>
      <c r="F3" s="12">
        <f>Voltage!L3</f>
        <v>8.7536837999999992</v>
      </c>
      <c r="G3" s="124">
        <f>((E3-G$32)/G$26-F3)*1000</f>
        <v>0.20086415245756939</v>
      </c>
      <c r="H3" s="12">
        <f>Voltage!M3</f>
        <v>-23882</v>
      </c>
      <c r="J3" s="12">
        <f>Voltage!N3</f>
        <v>-28686</v>
      </c>
      <c r="K3" s="82">
        <f>J3*K$26+K$32</f>
        <v>8.7542037578000009</v>
      </c>
      <c r="L3" s="79">
        <f t="shared" ref="L3:L22" si="31">ABS($F3-K3)</f>
        <v>5.1995780000169134E-4</v>
      </c>
      <c r="M3" s="127">
        <f t="shared" si="1"/>
        <v>5.9398741362087052E-5</v>
      </c>
      <c r="N3" s="12">
        <f>Voltage!O3</f>
        <v>-11430</v>
      </c>
      <c r="O3" s="82">
        <f t="shared" si="2"/>
        <v>8.7534995549999994</v>
      </c>
      <c r="P3" s="106">
        <f t="shared" ref="P3:P22" si="32">ABS($F3-O3)</f>
        <v>1.8424499999980526E-4</v>
      </c>
      <c r="Q3" s="127">
        <f t="shared" ref="Q3:Q22" si="33">ABS(P3/$F3)</f>
        <v>2.1047710222272967E-5</v>
      </c>
      <c r="R3" s="13">
        <f>'Range 0'!L3*1000</f>
        <v>852.02103999999997</v>
      </c>
      <c r="S3" s="13">
        <f>'Range 0'!M3</f>
        <v>-28377</v>
      </c>
      <c r="T3" s="85">
        <f t="shared" si="3"/>
        <v>852.11338223235111</v>
      </c>
      <c r="U3" s="85">
        <f t="shared" si="4"/>
        <v>9.2342232351143139E-2</v>
      </c>
      <c r="V3" s="132">
        <f t="shared" si="5"/>
        <v>9.2342232351143145E-5</v>
      </c>
      <c r="W3" s="132">
        <f t="shared" si="6"/>
        <v>3.9763586825415584E-5</v>
      </c>
      <c r="X3" s="14">
        <f>'Range 1'!L3*1000</f>
        <v>53.761265999999999</v>
      </c>
      <c r="Y3" s="14">
        <f>'Range 1'!M3</f>
        <v>-28370</v>
      </c>
      <c r="Z3" s="94">
        <f t="shared" si="7"/>
        <v>53.760525631651859</v>
      </c>
      <c r="AA3" s="101">
        <f t="shared" si="8"/>
        <v>7.4036834813995256E-4</v>
      </c>
      <c r="AB3" s="136">
        <f t="shared" si="9"/>
        <v>7.4036834813995256E-6</v>
      </c>
      <c r="AC3" s="136">
        <f t="shared" si="10"/>
        <v>3.3232300807810589E-5</v>
      </c>
      <c r="AD3" s="13">
        <f>'Range 2'!L3*1000</f>
        <v>8.6732966000000005</v>
      </c>
      <c r="AE3" s="13">
        <f>'Range 2'!M3</f>
        <v>-28369</v>
      </c>
      <c r="AF3" s="77">
        <f t="shared" si="11"/>
        <v>8.6738513371321897</v>
      </c>
      <c r="AG3" s="85">
        <f t="shared" si="12"/>
        <v>5.5473713218923137E-4</v>
      </c>
      <c r="AH3" s="139">
        <f t="shared" si="13"/>
        <v>5.5473713218923139E-5</v>
      </c>
      <c r="AI3" s="139">
        <f t="shared" si="14"/>
        <v>9.518977890543568E-6</v>
      </c>
      <c r="AJ3" s="14">
        <f>'Range 3'!L3*1000</f>
        <v>0.86729999999999996</v>
      </c>
      <c r="AK3" s="14">
        <f>'Range 3'!M3</f>
        <v>-28371</v>
      </c>
      <c r="AL3" s="94">
        <f t="shared" si="15"/>
        <v>0.86742172109263349</v>
      </c>
      <c r="AM3" s="101">
        <f t="shared" si="16"/>
        <v>1.2172109263353104E-4</v>
      </c>
      <c r="AN3" s="136">
        <f t="shared" si="17"/>
        <v>1.2172109263353104E-4</v>
      </c>
      <c r="AO3" s="136">
        <f t="shared" si="18"/>
        <v>7.83717744040624E-5</v>
      </c>
      <c r="AP3" s="13">
        <f>'Range 4'!L3*1000</f>
        <v>8.6730000000000002E-2</v>
      </c>
      <c r="AQ3" s="13">
        <f>'Range 4'!M3</f>
        <v>-28370</v>
      </c>
      <c r="AR3" s="77">
        <f t="shared" si="19"/>
        <v>8.6743725055509577E-2</v>
      </c>
      <c r="AS3" s="85">
        <f t="shared" si="20"/>
        <v>1.3725055509575257E-5</v>
      </c>
      <c r="AT3" s="113">
        <f t="shared" ref="AT3:AT22" si="34">ABS(AS3/CUR_RNG_R4)</f>
        <v>1.3725055509575257E-4</v>
      </c>
      <c r="AU3" s="113">
        <f t="shared" si="21"/>
        <v>9.9514812861578594E-5</v>
      </c>
      <c r="AV3" s="14">
        <f>'Range 5'!L3*1000</f>
        <v>8.6819999999999987E-3</v>
      </c>
      <c r="AW3" s="14">
        <f>'Range 5'!M3</f>
        <v>-28370</v>
      </c>
      <c r="AX3" s="94">
        <f t="shared" si="22"/>
        <v>8.6837225673423567E-3</v>
      </c>
      <c r="AY3" s="101">
        <f t="shared" si="23"/>
        <v>1.7225673423579974E-6</v>
      </c>
      <c r="AZ3" s="109">
        <f t="shared" ref="AZ3:AZ22" si="35">ABS(AY3/CUR_RNG_R3)</f>
        <v>1.7225673423579974E-6</v>
      </c>
      <c r="BA3" s="109">
        <f t="shared" si="24"/>
        <v>8.6930860517669961E-5</v>
      </c>
      <c r="BB3" s="13">
        <f>'Range 6'!L3*1000</f>
        <v>8.6840000000000007E-4</v>
      </c>
      <c r="BC3" s="13">
        <f>'Range 6'!M3</f>
        <v>-28369</v>
      </c>
      <c r="BD3" s="77">
        <f t="shared" si="25"/>
        <v>8.6686662804954595E-4</v>
      </c>
      <c r="BE3" s="85">
        <f t="shared" si="26"/>
        <v>1.5333719504541203E-6</v>
      </c>
      <c r="BF3" s="113">
        <f t="shared" ref="BF3:BF22" si="36">ABS(BE3/CUR_RNG_R3)</f>
        <v>1.5333719504541203E-6</v>
      </c>
      <c r="BG3" s="113">
        <f t="shared" si="27"/>
        <v>1.5209591321626616E-3</v>
      </c>
      <c r="BH3" s="14">
        <f>'Range 7'!L3*1000</f>
        <v>8.6429999999999997E-5</v>
      </c>
      <c r="BI3" s="14">
        <f>'Range 7'!M3</f>
        <v>-28370</v>
      </c>
      <c r="BJ3" s="94">
        <f t="shared" si="28"/>
        <v>8.6534068008853996E-5</v>
      </c>
      <c r="BK3" s="101">
        <f t="shared" si="29"/>
        <v>1.040680088539985E-7</v>
      </c>
      <c r="BL3" s="109">
        <f t="shared" ref="BL3:BL22" si="37">ABS(BK3/CUR_RNG_R3)</f>
        <v>1.040680088539985E-7</v>
      </c>
      <c r="BM3" s="109">
        <f t="shared" si="30"/>
        <v>1.4914205995786062E-3</v>
      </c>
    </row>
    <row r="4" spans="1:65" x14ac:dyDescent="0.25">
      <c r="A4" s="11">
        <v>3</v>
      </c>
      <c r="B4" s="11">
        <v>-4000</v>
      </c>
      <c r="C4" s="11">
        <v>-21600</v>
      </c>
      <c r="D4" s="11">
        <f>IF(Connect!G$1=Internal!A$2,Data!B4,Data!C4)</f>
        <v>-21600</v>
      </c>
      <c r="E4" s="58">
        <v>-21600</v>
      </c>
      <c r="F4" s="12">
        <f>Voltage!L4</f>
        <v>7.7762269000000002</v>
      </c>
      <c r="G4" s="124">
        <f>((E4-G$32)/G$26-F4)*1000</f>
        <v>0.35189239018951213</v>
      </c>
      <c r="H4" s="12">
        <f>Voltage!M4</f>
        <v>-21215</v>
      </c>
      <c r="J4" s="12">
        <f>Voltage!N4</f>
        <v>-25486</v>
      </c>
      <c r="K4" s="82">
        <f t="shared" si="0"/>
        <v>7.7770283978000005</v>
      </c>
      <c r="L4" s="79">
        <f t="shared" si="31"/>
        <v>8.0149780000038362E-4</v>
      </c>
      <c r="M4" s="127">
        <f t="shared" si="1"/>
        <v>1.0307026920734317E-4</v>
      </c>
      <c r="N4" s="12">
        <f>Voltage!O4</f>
        <v>-10154</v>
      </c>
      <c r="O4" s="82">
        <f t="shared" si="2"/>
        <v>7.7761797653999993</v>
      </c>
      <c r="P4" s="106">
        <f t="shared" si="32"/>
        <v>4.7134600000831028E-5</v>
      </c>
      <c r="Q4" s="127">
        <f t="shared" si="33"/>
        <v>6.0613714860649228E-6</v>
      </c>
      <c r="R4" s="13">
        <f>'Range 0'!L4*1000</f>
        <v>757.02080999999998</v>
      </c>
      <c r="S4" s="13">
        <f>'Range 0'!M4</f>
        <v>-25213</v>
      </c>
      <c r="T4" s="85">
        <f t="shared" si="3"/>
        <v>757.09760019400608</v>
      </c>
      <c r="U4" s="85">
        <f t="shared" si="4"/>
        <v>7.679019400609377E-2</v>
      </c>
      <c r="V4" s="132">
        <f t="shared" si="5"/>
        <v>7.6790194006093771E-5</v>
      </c>
      <c r="W4" s="132">
        <f t="shared" si="6"/>
        <v>2.0092196367500036E-5</v>
      </c>
      <c r="X4" s="14">
        <f>'Range 1'!L4*1000</f>
        <v>47.766083000000002</v>
      </c>
      <c r="Y4" s="14">
        <f>'Range 1'!M4</f>
        <v>-25207</v>
      </c>
      <c r="Z4" s="94">
        <f t="shared" si="7"/>
        <v>47.765683113992935</v>
      </c>
      <c r="AA4" s="101">
        <f t="shared" si="8"/>
        <v>3.9988600706664101E-4</v>
      </c>
      <c r="AB4" s="136">
        <f t="shared" si="9"/>
        <v>3.9988600706664101E-6</v>
      </c>
      <c r="AC4" s="136">
        <f t="shared" si="10"/>
        <v>3.6555845956058877E-5</v>
      </c>
      <c r="AD4" s="13">
        <f>'Range 2'!L4*1000</f>
        <v>7.7060395000000002</v>
      </c>
      <c r="AE4" s="13">
        <f>'Range 2'!M4</f>
        <v>-25206</v>
      </c>
      <c r="AF4" s="77">
        <f t="shared" si="11"/>
        <v>7.7066611539838545</v>
      </c>
      <c r="AG4" s="85">
        <f t="shared" si="12"/>
        <v>6.2165398385438664E-4</v>
      </c>
      <c r="AH4" s="139">
        <f t="shared" si="13"/>
        <v>6.2165398385438664E-5</v>
      </c>
      <c r="AI4" s="139">
        <f t="shared" si="14"/>
        <v>1.0368575149666271E-5</v>
      </c>
      <c r="AJ4" s="14">
        <f>'Range 3'!L4*1000</f>
        <v>0.77059999999999995</v>
      </c>
      <c r="AK4" s="14">
        <f>'Range 3'!M4</f>
        <v>-25207</v>
      </c>
      <c r="AL4" s="94">
        <f t="shared" si="15"/>
        <v>0.77066634567386472</v>
      </c>
      <c r="AM4" s="101">
        <f t="shared" si="16"/>
        <v>6.6345673864764976E-5</v>
      </c>
      <c r="AN4" s="136">
        <f t="shared" si="17"/>
        <v>6.6345673864764976E-5</v>
      </c>
      <c r="AO4" s="136">
        <f t="shared" si="18"/>
        <v>4.2733792123161862E-5</v>
      </c>
      <c r="AP4" s="13">
        <f>'Range 4'!L4*1000</f>
        <v>7.7060000000000003E-2</v>
      </c>
      <c r="AQ4" s="13">
        <f>'Range 4'!M4</f>
        <v>-25207</v>
      </c>
      <c r="AR4" s="77">
        <f t="shared" si="19"/>
        <v>7.7070884856720492E-2</v>
      </c>
      <c r="AS4" s="85">
        <f t="shared" si="20"/>
        <v>1.0884856720488889E-5</v>
      </c>
      <c r="AT4" s="113">
        <f t="shared" si="34"/>
        <v>1.0884856720488889E-4</v>
      </c>
      <c r="AU4" s="113">
        <f t="shared" si="21"/>
        <v>6.3045020436552912E-5</v>
      </c>
      <c r="AV4" s="14">
        <f>'Range 5'!L4*1000</f>
        <v>7.7120000000000001E-3</v>
      </c>
      <c r="AW4" s="14">
        <f>'Range 5'!M4</f>
        <v>-25207</v>
      </c>
      <c r="AX4" s="94">
        <f t="shared" si="22"/>
        <v>7.7154969164833116E-3</v>
      </c>
      <c r="AY4" s="101">
        <f t="shared" si="23"/>
        <v>3.4969164833115185E-6</v>
      </c>
      <c r="AZ4" s="109">
        <f t="shared" si="35"/>
        <v>3.4969164833115185E-6</v>
      </c>
      <c r="BA4" s="109">
        <f t="shared" si="24"/>
        <v>2.6095797465890483E-4</v>
      </c>
      <c r="BB4" s="13">
        <f>'Range 6'!L4*1000</f>
        <v>7.7139999999999999E-4</v>
      </c>
      <c r="BC4" s="13">
        <f>'Range 6'!M4</f>
        <v>-25206</v>
      </c>
      <c r="BD4" s="77">
        <f t="shared" si="25"/>
        <v>7.7021245832476729E-4</v>
      </c>
      <c r="BE4" s="85">
        <f t="shared" si="26"/>
        <v>1.1875416752327042E-6</v>
      </c>
      <c r="BF4" s="113">
        <f t="shared" si="36"/>
        <v>1.1875416752327042E-6</v>
      </c>
      <c r="BG4" s="113">
        <f t="shared" si="27"/>
        <v>1.1860147145695407E-3</v>
      </c>
      <c r="BH4" s="14">
        <f>'Range 7'!L4*1000</f>
        <v>7.6619999999999995E-5</v>
      </c>
      <c r="BI4" s="14">
        <f>'Range 7'!M4</f>
        <v>-25206</v>
      </c>
      <c r="BJ4" s="94">
        <f t="shared" si="28"/>
        <v>7.6905992637410714E-5</v>
      </c>
      <c r="BK4" s="101">
        <f t="shared" si="29"/>
        <v>2.8599263741071925E-7</v>
      </c>
      <c r="BL4" s="109">
        <f t="shared" si="37"/>
        <v>2.8599263741071925E-7</v>
      </c>
      <c r="BM4" s="109">
        <f t="shared" si="30"/>
        <v>3.2810357718173096E-3</v>
      </c>
    </row>
    <row r="5" spans="1:65" x14ac:dyDescent="0.25">
      <c r="A5" s="11">
        <v>4</v>
      </c>
      <c r="B5" s="11">
        <v>-3500</v>
      </c>
      <c r="C5" s="11">
        <v>-18900</v>
      </c>
      <c r="D5" s="11">
        <f>IF(Connect!G$1=Internal!A$2,Data!B5,Data!C5)</f>
        <v>-18900</v>
      </c>
      <c r="E5" s="58">
        <v>-18900</v>
      </c>
      <c r="F5" s="12">
        <f>Voltage!L5</f>
        <v>6.7994041000000003</v>
      </c>
      <c r="G5" s="124">
        <f t="shared" ref="G5:G11" si="38">((E5-G$32)/G$26-F5)*1000</f>
        <v>-0.13117937207773878</v>
      </c>
      <c r="H5" s="12">
        <f>Voltage!M5</f>
        <v>-18550</v>
      </c>
      <c r="J5" s="12">
        <f>Voltage!N5</f>
        <v>-22287</v>
      </c>
      <c r="K5" s="82">
        <f t="shared" si="0"/>
        <v>6.8001584051000004</v>
      </c>
      <c r="L5" s="79">
        <f t="shared" si="31"/>
        <v>7.5430510000007445E-4</v>
      </c>
      <c r="M5" s="127">
        <f t="shared" si="1"/>
        <v>1.1093694225352401E-4</v>
      </c>
      <c r="N5" s="12">
        <f>Voltage!O5</f>
        <v>-8879</v>
      </c>
      <c r="O5" s="82">
        <f t="shared" si="2"/>
        <v>6.7996259003999997</v>
      </c>
      <c r="P5" s="106">
        <f t="shared" si="32"/>
        <v>2.218003999994167E-4</v>
      </c>
      <c r="Q5" s="127">
        <f t="shared" si="33"/>
        <v>3.2620564499088488E-5</v>
      </c>
      <c r="R5" s="13">
        <f>'Range 0'!L5*1000</f>
        <v>662.07583</v>
      </c>
      <c r="S5" s="13">
        <f>'Range 0'!M5</f>
        <v>-22050</v>
      </c>
      <c r="T5" s="85">
        <f t="shared" si="3"/>
        <v>662.11184842811292</v>
      </c>
      <c r="U5" s="85">
        <f t="shared" si="4"/>
        <v>3.6018428112924994E-2</v>
      </c>
      <c r="V5" s="132">
        <f t="shared" si="5"/>
        <v>3.6018428112924993E-5</v>
      </c>
      <c r="W5" s="132">
        <f t="shared" si="6"/>
        <v>5.4829194090416421E-5</v>
      </c>
      <c r="X5" s="14">
        <f>'Range 1'!L5*1000</f>
        <v>41.775135999999996</v>
      </c>
      <c r="Y5" s="14">
        <f>'Range 1'!M5</f>
        <v>-22045</v>
      </c>
      <c r="Z5" s="94">
        <f t="shared" si="7"/>
        <v>41.772735899058524</v>
      </c>
      <c r="AA5" s="101">
        <f t="shared" si="8"/>
        <v>2.4001009414718055E-3</v>
      </c>
      <c r="AB5" s="136">
        <f t="shared" si="9"/>
        <v>2.4001009414718055E-5</v>
      </c>
      <c r="AC5" s="136">
        <f t="shared" si="10"/>
        <v>8.2239391104295119E-5</v>
      </c>
      <c r="AD5" s="13">
        <f>'Range 2'!L5*1000</f>
        <v>6.7392342999999997</v>
      </c>
      <c r="AE5" s="13">
        <f>'Range 2'!M5</f>
        <v>-22045</v>
      </c>
      <c r="AF5" s="77">
        <f t="shared" si="11"/>
        <v>6.7400825359212915</v>
      </c>
      <c r="AG5" s="85">
        <f t="shared" si="12"/>
        <v>8.4823592129179559E-4</v>
      </c>
      <c r="AH5" s="139">
        <f t="shared" si="13"/>
        <v>8.4823592129179562E-5</v>
      </c>
      <c r="AI5" s="139">
        <f t="shared" si="14"/>
        <v>3.3971827591106062E-5</v>
      </c>
      <c r="AJ5" s="14">
        <f>'Range 3'!L5*1000</f>
        <v>0.67389999999999994</v>
      </c>
      <c r="AK5" s="14">
        <f>'Range 3'!M5</f>
        <v>-22046</v>
      </c>
      <c r="AL5" s="94">
        <f t="shared" si="15"/>
        <v>0.67400271049727534</v>
      </c>
      <c r="AM5" s="101">
        <f t="shared" si="16"/>
        <v>1.0271049727539339E-4</v>
      </c>
      <c r="AN5" s="136">
        <f t="shared" si="17"/>
        <v>1.0271049727539339E-4</v>
      </c>
      <c r="AO5" s="136">
        <f t="shared" si="18"/>
        <v>7.0958098422613247E-6</v>
      </c>
      <c r="AP5" s="13">
        <f>'Range 4'!L5*1000</f>
        <v>6.7379999999999995E-2</v>
      </c>
      <c r="AQ5" s="13">
        <f>'Range 4'!M5</f>
        <v>-22045</v>
      </c>
      <c r="AR5" s="77">
        <f t="shared" si="19"/>
        <v>6.7401102780030281E-2</v>
      </c>
      <c r="AS5" s="85">
        <f t="shared" si="20"/>
        <v>2.1102780030285428E-5</v>
      </c>
      <c r="AT5" s="113">
        <f t="shared" si="34"/>
        <v>2.1102780030285428E-4</v>
      </c>
      <c r="AU5" s="113">
        <f t="shared" si="21"/>
        <v>1.2657522801148846E-4</v>
      </c>
      <c r="AV5" s="14">
        <f>'Range 5'!L5*1000</f>
        <v>6.7410000000000005E-3</v>
      </c>
      <c r="AW5" s="14">
        <f>'Range 5'!M5</f>
        <v>-22046</v>
      </c>
      <c r="AX5" s="94">
        <f t="shared" si="22"/>
        <v>6.7478834854477615E-3</v>
      </c>
      <c r="AY5" s="101">
        <f t="shared" si="23"/>
        <v>6.8834854477610452E-6</v>
      </c>
      <c r="AZ5" s="109">
        <f t="shared" si="35"/>
        <v>6.8834854477610452E-6</v>
      </c>
      <c r="BA5" s="109">
        <f t="shared" si="24"/>
        <v>5.3498508880015297E-4</v>
      </c>
      <c r="BB5" s="13">
        <f>'Range 6'!L5*1000</f>
        <v>6.7439999999999991E-4</v>
      </c>
      <c r="BC5" s="13">
        <f>'Range 6'!M5</f>
        <v>-22045</v>
      </c>
      <c r="BD5" s="77">
        <f t="shared" si="25"/>
        <v>6.7361940410408264E-4</v>
      </c>
      <c r="BE5" s="85">
        <f t="shared" si="26"/>
        <v>7.8059589591727551E-7</v>
      </c>
      <c r="BF5" s="113">
        <f t="shared" si="36"/>
        <v>7.8059589591727551E-7</v>
      </c>
      <c r="BG5" s="113">
        <f t="shared" si="27"/>
        <v>8.510702969764198E-4</v>
      </c>
      <c r="BH5" s="14">
        <f>'Range 7'!L5*1000</f>
        <v>6.6419999999999991E-5</v>
      </c>
      <c r="BI5" s="14">
        <f>'Range 7'!M5</f>
        <v>-22045</v>
      </c>
      <c r="BJ5" s="94">
        <f t="shared" si="28"/>
        <v>6.7287046288127433E-5</v>
      </c>
      <c r="BK5" s="101">
        <f t="shared" si="29"/>
        <v>8.6704628812744172E-7</v>
      </c>
      <c r="BL5" s="109">
        <f t="shared" si="37"/>
        <v>8.6704628812744172E-7</v>
      </c>
      <c r="BM5" s="109">
        <f t="shared" si="30"/>
        <v>8.9706509440558909E-3</v>
      </c>
    </row>
    <row r="6" spans="1:65" x14ac:dyDescent="0.25">
      <c r="A6" s="11">
        <v>5</v>
      </c>
      <c r="B6" s="11">
        <v>-3000</v>
      </c>
      <c r="C6" s="11">
        <v>-16200</v>
      </c>
      <c r="D6" s="11">
        <f>IF(Connect!G$1=Internal!A$2,Data!B6,Data!C6)</f>
        <v>-16200</v>
      </c>
      <c r="E6" s="58">
        <v>-16200</v>
      </c>
      <c r="F6" s="12">
        <f>Voltage!L6</f>
        <v>5.8220755000000004</v>
      </c>
      <c r="G6" s="124">
        <f t="shared" si="38"/>
        <v>-0.10845113434498899</v>
      </c>
      <c r="H6" s="12">
        <f>Voltage!M6</f>
        <v>-15884</v>
      </c>
      <c r="J6" s="12">
        <f>Voltage!N6</f>
        <v>-19086</v>
      </c>
      <c r="K6" s="82">
        <f t="shared" si="0"/>
        <v>5.8226776777999998</v>
      </c>
      <c r="L6" s="79">
        <f t="shared" si="31"/>
        <v>6.0217779999938159E-4</v>
      </c>
      <c r="M6" s="127">
        <f t="shared" si="1"/>
        <v>1.0343009121049385E-4</v>
      </c>
      <c r="N6" s="12">
        <f>Voltage!O6</f>
        <v>-7603</v>
      </c>
      <c r="O6" s="82">
        <f t="shared" si="2"/>
        <v>5.8223061107999996</v>
      </c>
      <c r="P6" s="106">
        <f t="shared" si="32"/>
        <v>2.3061079999919798E-4</v>
      </c>
      <c r="Q6" s="127">
        <f t="shared" si="33"/>
        <v>3.9609723370849101E-5</v>
      </c>
      <c r="R6" s="13">
        <f>'Range 0'!L6*1000</f>
        <v>567.07110999999998</v>
      </c>
      <c r="S6" s="13">
        <f>'Range 0'!M6</f>
        <v>-18886</v>
      </c>
      <c r="T6" s="85">
        <f t="shared" si="3"/>
        <v>567.09606638976788</v>
      </c>
      <c r="U6" s="85">
        <f t="shared" si="4"/>
        <v>2.4956389767908149E-2</v>
      </c>
      <c r="V6" s="132">
        <f t="shared" si="5"/>
        <v>2.4956389767908151E-5</v>
      </c>
      <c r="W6" s="132">
        <f t="shared" si="6"/>
        <v>7.0010584548299443E-5</v>
      </c>
      <c r="X6" s="14">
        <f>'Range 1'!L6*1000</f>
        <v>35.780921999999997</v>
      </c>
      <c r="Y6" s="14">
        <f>'Range 1'!M6</f>
        <v>-18883</v>
      </c>
      <c r="Z6" s="94">
        <f t="shared" si="7"/>
        <v>35.779788684124114</v>
      </c>
      <c r="AA6" s="101">
        <f t="shared" si="8"/>
        <v>1.1333158758830564E-3</v>
      </c>
      <c r="AB6" s="136">
        <f t="shared" si="9"/>
        <v>1.1333158758830563E-5</v>
      </c>
      <c r="AC6" s="136">
        <f t="shared" si="10"/>
        <v>9.5252936252521178E-5</v>
      </c>
      <c r="AD6" s="13">
        <f>'Range 2'!L6*1000</f>
        <v>5.7720410000000006</v>
      </c>
      <c r="AE6" s="13">
        <f>'Range 2'!M6</f>
        <v>-18882</v>
      </c>
      <c r="AF6" s="77">
        <f t="shared" si="11"/>
        <v>5.7728923527729563</v>
      </c>
      <c r="AG6" s="85">
        <f t="shared" si="12"/>
        <v>8.5135277295567136E-4</v>
      </c>
      <c r="AH6" s="139">
        <f t="shared" si="13"/>
        <v>8.5135277295567141E-5</v>
      </c>
      <c r="AI6" s="139">
        <f t="shared" si="14"/>
        <v>3.9502230332022493E-5</v>
      </c>
      <c r="AJ6" s="14">
        <f>'Range 3'!L6*1000</f>
        <v>0.57720000000000005</v>
      </c>
      <c r="AK6" s="14">
        <f>'Range 3'!M6</f>
        <v>-18883</v>
      </c>
      <c r="AL6" s="94">
        <f t="shared" si="15"/>
        <v>0.57727791515923299</v>
      </c>
      <c r="AM6" s="101">
        <f t="shared" si="16"/>
        <v>7.791515923294412E-5</v>
      </c>
      <c r="AN6" s="136">
        <f t="shared" si="17"/>
        <v>7.791515923294412E-5</v>
      </c>
      <c r="AO6" s="136">
        <f t="shared" si="18"/>
        <v>2.8542172438861257E-5</v>
      </c>
      <c r="AP6" s="13">
        <f>'Range 4'!L6*1000</f>
        <v>5.7710000000000004E-2</v>
      </c>
      <c r="AQ6" s="13">
        <f>'Range 4'!M6</f>
        <v>-18882</v>
      </c>
      <c r="AR6" s="77">
        <f t="shared" si="19"/>
        <v>5.7728262581241169E-2</v>
      </c>
      <c r="AS6" s="85">
        <f t="shared" si="20"/>
        <v>1.8262581241164366E-5</v>
      </c>
      <c r="AT6" s="113">
        <f t="shared" si="34"/>
        <v>1.8262581241164366E-4</v>
      </c>
      <c r="AU6" s="113">
        <f t="shared" si="21"/>
        <v>9.010543558639339E-5</v>
      </c>
      <c r="AV6" s="14">
        <f>'Range 5'!L6*1000</f>
        <v>5.7790000000000003E-3</v>
      </c>
      <c r="AW6" s="14">
        <f>'Range 5'!M6</f>
        <v>-18883</v>
      </c>
      <c r="AX6" s="94">
        <f t="shared" si="22"/>
        <v>5.7796578345887147E-3</v>
      </c>
      <c r="AY6" s="101">
        <f t="shared" si="23"/>
        <v>6.5783458871437189E-7</v>
      </c>
      <c r="AZ6" s="109">
        <f t="shared" si="35"/>
        <v>6.5783458871437189E-7</v>
      </c>
      <c r="BA6" s="109">
        <f t="shared" si="24"/>
        <v>9.0987797058544873E-5</v>
      </c>
      <c r="BB6" s="13">
        <f>'Range 6'!L6*1000</f>
        <v>5.7429999999999992E-4</v>
      </c>
      <c r="BC6" s="13">
        <f>'Range 6'!M6</f>
        <v>-18882</v>
      </c>
      <c r="BD6" s="77">
        <f t="shared" si="25"/>
        <v>5.7696523437930408E-4</v>
      </c>
      <c r="BE6" s="85">
        <f t="shared" si="26"/>
        <v>2.6652343793041617E-6</v>
      </c>
      <c r="BF6" s="113">
        <f t="shared" si="36"/>
        <v>2.6652343793041617E-6</v>
      </c>
      <c r="BG6" s="113">
        <f t="shared" si="27"/>
        <v>2.5838741206166138E-3</v>
      </c>
      <c r="BH6" s="14">
        <f>'Range 7'!L6*1000</f>
        <v>5.8770000000000001E-5</v>
      </c>
      <c r="BI6" s="14">
        <f>'Range 7'!M6</f>
        <v>-18883</v>
      </c>
      <c r="BJ6" s="94">
        <f t="shared" si="28"/>
        <v>5.7665056931457484E-5</v>
      </c>
      <c r="BK6" s="101">
        <f t="shared" si="29"/>
        <v>1.1049430685425171E-6</v>
      </c>
      <c r="BL6" s="109">
        <f t="shared" si="37"/>
        <v>1.1049430685425171E-6</v>
      </c>
      <c r="BM6" s="109">
        <f t="shared" si="30"/>
        <v>1.0839733883705604E-2</v>
      </c>
    </row>
    <row r="7" spans="1:65" x14ac:dyDescent="0.25">
      <c r="A7" s="11">
        <v>6</v>
      </c>
      <c r="B7" s="11">
        <v>-2500</v>
      </c>
      <c r="C7" s="11">
        <v>-13500</v>
      </c>
      <c r="D7" s="11">
        <f>IF(Connect!G$1=Internal!A$2,Data!B7,Data!C7)</f>
        <v>-13500</v>
      </c>
      <c r="E7" s="58">
        <v>-13500</v>
      </c>
      <c r="F7" s="12">
        <f>Voltage!L7</f>
        <v>4.8448194999999998</v>
      </c>
      <c r="G7" s="124">
        <f t="shared" si="38"/>
        <v>-0.1583228966115513</v>
      </c>
      <c r="H7" s="12">
        <f>Voltage!M7</f>
        <v>-13218</v>
      </c>
      <c r="J7" s="12">
        <f>Voltage!N7</f>
        <v>-15887</v>
      </c>
      <c r="K7" s="82">
        <f t="shared" si="0"/>
        <v>4.8458076851000005</v>
      </c>
      <c r="L7" s="79">
        <f t="shared" si="31"/>
        <v>9.8818510000064919E-4</v>
      </c>
      <c r="M7" s="127">
        <f t="shared" si="1"/>
        <v>2.0396737174638793E-4</v>
      </c>
      <c r="N7" s="12">
        <f>Voltage!O7</f>
        <v>-6327</v>
      </c>
      <c r="O7" s="82">
        <f t="shared" si="2"/>
        <v>4.8449863211999995</v>
      </c>
      <c r="P7" s="106">
        <f t="shared" si="32"/>
        <v>1.6682119999966716E-4</v>
      </c>
      <c r="Q7" s="127">
        <f t="shared" si="33"/>
        <v>3.4432903021395776E-5</v>
      </c>
      <c r="R7" s="13">
        <f>'Range 0'!L7*1000</f>
        <v>472.06937999999997</v>
      </c>
      <c r="S7" s="13">
        <f>'Range 0'!M7</f>
        <v>-15723</v>
      </c>
      <c r="T7" s="85">
        <f t="shared" si="3"/>
        <v>472.11031462387484</v>
      </c>
      <c r="U7" s="85">
        <f t="shared" si="4"/>
        <v>4.0934623874875342E-2</v>
      </c>
      <c r="V7" s="132">
        <f t="shared" si="5"/>
        <v>4.0934623874875343E-5</v>
      </c>
      <c r="W7" s="132">
        <f t="shared" si="6"/>
        <v>8.8181975006193622E-5</v>
      </c>
      <c r="X7" s="14">
        <f>'Range 1'!L7*1000</f>
        <v>29.786325999999999</v>
      </c>
      <c r="Y7" s="14">
        <f>'Range 1'!M7</f>
        <v>-15719</v>
      </c>
      <c r="Z7" s="94">
        <f t="shared" si="7"/>
        <v>29.783050863740666</v>
      </c>
      <c r="AA7" s="101">
        <f t="shared" si="8"/>
        <v>3.2751362593330668E-3</v>
      </c>
      <c r="AB7" s="136">
        <f t="shared" si="9"/>
        <v>3.2751362593330671E-5</v>
      </c>
      <c r="AC7" s="136">
        <f t="shared" si="10"/>
        <v>1.0444648140079948E-4</v>
      </c>
      <c r="AD7" s="13">
        <f>'Range 2'!L7*1000</f>
        <v>4.8048016999999996</v>
      </c>
      <c r="AE7" s="13">
        <f>'Range 2'!M7</f>
        <v>-15719</v>
      </c>
      <c r="AF7" s="77">
        <f t="shared" si="11"/>
        <v>4.8057021696246212</v>
      </c>
      <c r="AG7" s="85">
        <f t="shared" si="12"/>
        <v>9.0046962462153601E-4</v>
      </c>
      <c r="AH7" s="139">
        <f t="shared" si="13"/>
        <v>9.0046962462153607E-5</v>
      </c>
      <c r="AI7" s="139">
        <f t="shared" si="14"/>
        <v>4.0432633072740032E-5</v>
      </c>
      <c r="AJ7" s="14">
        <f>'Range 3'!L7*1000</f>
        <v>0.48040000000000005</v>
      </c>
      <c r="AK7" s="14">
        <f>'Range 3'!M7</f>
        <v>-15720</v>
      </c>
      <c r="AL7" s="94">
        <f t="shared" si="15"/>
        <v>0.48055311982119064</v>
      </c>
      <c r="AM7" s="101">
        <f t="shared" si="16"/>
        <v>1.5311982119059486E-4</v>
      </c>
      <c r="AN7" s="136">
        <f t="shared" si="17"/>
        <v>1.5311982119059486E-4</v>
      </c>
      <c r="AO7" s="136">
        <f t="shared" si="18"/>
        <v>3.5819845280227192E-5</v>
      </c>
      <c r="AP7" s="13">
        <f>'Range 4'!L7*1000</f>
        <v>4.8039999999999999E-2</v>
      </c>
      <c r="AQ7" s="13">
        <f>'Range 4'!M7</f>
        <v>-15719</v>
      </c>
      <c r="AR7" s="77">
        <f t="shared" si="19"/>
        <v>4.805542238245207E-2</v>
      </c>
      <c r="AS7" s="85">
        <f t="shared" si="20"/>
        <v>1.542238245207106E-5</v>
      </c>
      <c r="AT7" s="113">
        <f t="shared" si="34"/>
        <v>1.542238245207106E-4</v>
      </c>
      <c r="AU7" s="113">
        <f t="shared" si="21"/>
        <v>5.3635643161437097E-5</v>
      </c>
      <c r="AV7" s="14">
        <f>'Range 5'!L7*1000</f>
        <v>4.8080000000000006E-3</v>
      </c>
      <c r="AW7" s="14">
        <f>'Range 5'!M7</f>
        <v>-15720</v>
      </c>
      <c r="AX7" s="94">
        <f t="shared" si="22"/>
        <v>4.8114321837296687E-3</v>
      </c>
      <c r="AY7" s="101">
        <f t="shared" si="23"/>
        <v>3.4321837296680258E-6</v>
      </c>
      <c r="AZ7" s="109">
        <f t="shared" si="35"/>
        <v>3.4321837296680258E-6</v>
      </c>
      <c r="BA7" s="109">
        <f t="shared" si="24"/>
        <v>1.8303931708270327E-4</v>
      </c>
      <c r="BB7" s="13">
        <f>'Range 6'!L7*1000</f>
        <v>4.75E-4</v>
      </c>
      <c r="BC7" s="13">
        <f>'Range 6'!M7</f>
        <v>-15720</v>
      </c>
      <c r="BD7" s="77">
        <f t="shared" si="25"/>
        <v>4.8034162240657258E-4</v>
      </c>
      <c r="BE7" s="85">
        <f t="shared" si="26"/>
        <v>5.3416224065725858E-6</v>
      </c>
      <c r="BF7" s="113">
        <f t="shared" si="36"/>
        <v>5.3416224065725858E-6</v>
      </c>
      <c r="BG7" s="113">
        <f t="shared" si="27"/>
        <v>5.2188185382095196E-3</v>
      </c>
      <c r="BH7" s="14">
        <f>'Range 7'!L7*1000</f>
        <v>4.6369999999999998E-5</v>
      </c>
      <c r="BI7" s="14">
        <f>'Range 7'!M7</f>
        <v>-15720</v>
      </c>
      <c r="BJ7" s="94">
        <f t="shared" si="28"/>
        <v>4.8040024567400862E-5</v>
      </c>
      <c r="BK7" s="101">
        <f t="shared" si="29"/>
        <v>1.6700245674008642E-6</v>
      </c>
      <c r="BL7" s="109">
        <f t="shared" si="37"/>
        <v>1.6700245674008642E-6</v>
      </c>
      <c r="BM7" s="109">
        <f t="shared" si="30"/>
        <v>1.6849881288533035E-2</v>
      </c>
    </row>
    <row r="8" spans="1:65" x14ac:dyDescent="0.25">
      <c r="A8" s="11">
        <v>7</v>
      </c>
      <c r="B8" s="11">
        <v>-2000</v>
      </c>
      <c r="C8" s="11">
        <v>-10800</v>
      </c>
      <c r="D8" s="11">
        <f>IF(Connect!G$1=Internal!A$2,Data!B8,Data!C8)</f>
        <v>-10800</v>
      </c>
      <c r="E8" s="58">
        <v>-10800</v>
      </c>
      <c r="F8" s="12">
        <f>Voltage!L8</f>
        <v>3.8669661</v>
      </c>
      <c r="G8" s="124">
        <f t="shared" si="38"/>
        <v>0.38920534112163452</v>
      </c>
      <c r="H8" s="12">
        <f>Voltage!M8</f>
        <v>-10550</v>
      </c>
      <c r="J8" s="12">
        <f>Voltage!N8</f>
        <v>-12684</v>
      </c>
      <c r="K8" s="82">
        <f t="shared" si="0"/>
        <v>3.8677162232</v>
      </c>
      <c r="L8" s="79">
        <f t="shared" si="31"/>
        <v>7.5012320000000798E-4</v>
      </c>
      <c r="M8" s="127">
        <f t="shared" si="1"/>
        <v>1.9398235738348157E-4</v>
      </c>
      <c r="N8" s="12">
        <f>Voltage!O8</f>
        <v>-5050</v>
      </c>
      <c r="O8" s="82">
        <f t="shared" si="2"/>
        <v>3.8669006069999994</v>
      </c>
      <c r="P8" s="106">
        <f t="shared" si="32"/>
        <v>6.5493000000582668E-5</v>
      </c>
      <c r="Q8" s="127">
        <f t="shared" si="33"/>
        <v>1.6936533268440773E-5</v>
      </c>
      <c r="R8" s="13">
        <f>'Range 0'!L8*1000</f>
        <v>377.00076000000001</v>
      </c>
      <c r="S8" s="13">
        <f>'Range 0'!M8</f>
        <v>-12557</v>
      </c>
      <c r="T8" s="85">
        <f t="shared" si="3"/>
        <v>377.03447204062559</v>
      </c>
      <c r="U8" s="85">
        <f t="shared" si="4"/>
        <v>3.3712040625573536E-2</v>
      </c>
      <c r="V8" s="132">
        <f t="shared" si="5"/>
        <v>3.3712040625573535E-5</v>
      </c>
      <c r="W8" s="132">
        <f t="shared" si="6"/>
        <v>3.9463365464143863E-5</v>
      </c>
      <c r="X8" s="14">
        <f>'Range 1'!L8*1000</f>
        <v>23.787620999999998</v>
      </c>
      <c r="Y8" s="14">
        <f>'Range 1'!M8</f>
        <v>-12554</v>
      </c>
      <c r="Z8" s="94">
        <f t="shared" si="7"/>
        <v>23.784417740632694</v>
      </c>
      <c r="AA8" s="101">
        <f t="shared" si="8"/>
        <v>3.2032593673037013E-3</v>
      </c>
      <c r="AB8" s="136">
        <f t="shared" si="9"/>
        <v>3.2032593673037014E-5</v>
      </c>
      <c r="AC8" s="136">
        <f t="shared" si="10"/>
        <v>7.2550026549009778E-5</v>
      </c>
      <c r="AD8" s="13">
        <f>'Range 2'!L8*1000</f>
        <v>3.8370045999999998</v>
      </c>
      <c r="AE8" s="13">
        <f>'Range 2'!M8</f>
        <v>-12554</v>
      </c>
      <c r="AF8" s="77">
        <f t="shared" si="11"/>
        <v>3.8379004213905148</v>
      </c>
      <c r="AG8" s="85">
        <f t="shared" si="12"/>
        <v>8.9582139051502807E-4</v>
      </c>
      <c r="AH8" s="139">
        <f t="shared" si="13"/>
        <v>8.9582139051502813E-5</v>
      </c>
      <c r="AI8" s="139">
        <f t="shared" si="14"/>
        <v>1.4416964186425574E-5</v>
      </c>
      <c r="AJ8" s="14">
        <f>'Range 3'!L8*1000</f>
        <v>0.3836</v>
      </c>
      <c r="AK8" s="14">
        <f>'Range 3'!M8</f>
        <v>-12555</v>
      </c>
      <c r="AL8" s="94">
        <f t="shared" si="15"/>
        <v>0.38376716432169522</v>
      </c>
      <c r="AM8" s="101">
        <f t="shared" si="16"/>
        <v>1.6716432169522344E-4</v>
      </c>
      <c r="AN8" s="136">
        <f t="shared" si="17"/>
        <v>1.6716432169522344E-4</v>
      </c>
      <c r="AO8" s="136">
        <f t="shared" si="18"/>
        <v>1.0018186299942666E-4</v>
      </c>
      <c r="AP8" s="13">
        <f>'Range 4'!L8*1000</f>
        <v>3.8359999999999998E-2</v>
      </c>
      <c r="AQ8" s="13">
        <f>'Range 4'!M8</f>
        <v>-12554</v>
      </c>
      <c r="AR8" s="77">
        <f t="shared" si="19"/>
        <v>3.8376465939465185E-2</v>
      </c>
      <c r="AS8" s="85">
        <f t="shared" si="20"/>
        <v>1.646593946518643E-5</v>
      </c>
      <c r="AT8" s="113">
        <f t="shared" si="34"/>
        <v>1.646593946518643E-4</v>
      </c>
      <c r="AU8" s="113">
        <f t="shared" si="21"/>
        <v>1.1716585073637265E-4</v>
      </c>
      <c r="AV8" s="14">
        <f>'Range 5'!L8*1000</f>
        <v>3.836E-3</v>
      </c>
      <c r="AW8" s="14">
        <f>'Range 5'!M8</f>
        <v>-12555</v>
      </c>
      <c r="AX8" s="94">
        <f t="shared" si="22"/>
        <v>3.8425943130471259E-3</v>
      </c>
      <c r="AY8" s="101">
        <f t="shared" si="23"/>
        <v>6.5943130471259395E-6</v>
      </c>
      <c r="AZ8" s="109">
        <f t="shared" si="35"/>
        <v>6.5943130471259395E-6</v>
      </c>
      <c r="BA8" s="109">
        <f t="shared" si="24"/>
        <v>5.5706643122413815E-4</v>
      </c>
      <c r="BB8" s="13">
        <f>'Range 6'!L8*1000</f>
        <v>3.8309999999999999E-4</v>
      </c>
      <c r="BC8" s="13">
        <f>'Range 6'!M8</f>
        <v>-12555</v>
      </c>
      <c r="BD8" s="77">
        <f t="shared" si="25"/>
        <v>3.8362633717769991E-4</v>
      </c>
      <c r="BE8" s="85">
        <f t="shared" si="26"/>
        <v>5.2633717769991943E-7</v>
      </c>
      <c r="BF8" s="113">
        <f t="shared" si="36"/>
        <v>5.2633717769991943E-7</v>
      </c>
      <c r="BG8" s="113">
        <f t="shared" si="27"/>
        <v>4.5376295580257069E-4</v>
      </c>
      <c r="BH8" s="14">
        <f>'Range 7'!L8*1000</f>
        <v>3.8680000000000002E-5</v>
      </c>
      <c r="BI8" s="14">
        <f>'Range 7'!M8</f>
        <v>-12555</v>
      </c>
      <c r="BJ8" s="94">
        <f t="shared" si="28"/>
        <v>3.8408906188570887E-5</v>
      </c>
      <c r="BK8" s="101">
        <f t="shared" si="29"/>
        <v>2.7109381142911571E-7</v>
      </c>
      <c r="BL8" s="109">
        <f t="shared" si="37"/>
        <v>2.7109381142911571E-7</v>
      </c>
      <c r="BM8" s="109">
        <f t="shared" si="30"/>
        <v>2.5605035392283282E-3</v>
      </c>
    </row>
    <row r="9" spans="1:65" x14ac:dyDescent="0.25">
      <c r="A9" s="11">
        <v>8</v>
      </c>
      <c r="B9" s="11">
        <v>-1500</v>
      </c>
      <c r="C9" s="11">
        <v>-8100</v>
      </c>
      <c r="D9" s="11">
        <f>IF(Connect!G$1=Internal!A$2,Data!B9,Data!C9)</f>
        <v>-8100</v>
      </c>
      <c r="E9" s="58">
        <v>-8100</v>
      </c>
      <c r="F9" s="12">
        <f>Voltage!L9</f>
        <v>2.8894570000000002</v>
      </c>
      <c r="G9" s="124">
        <f t="shared" si="38"/>
        <v>0.59243357885385706</v>
      </c>
      <c r="H9" s="12">
        <f>Voltage!M9</f>
        <v>-7883</v>
      </c>
      <c r="J9" s="12">
        <f>Voltage!N9</f>
        <v>-9483</v>
      </c>
      <c r="K9" s="82">
        <f t="shared" si="0"/>
        <v>2.8902354958999998</v>
      </c>
      <c r="L9" s="79">
        <f t="shared" si="31"/>
        <v>7.7849589999967606E-4</v>
      </c>
      <c r="M9" s="127">
        <f t="shared" si="1"/>
        <v>2.6942636626870587E-4</v>
      </c>
      <c r="N9" s="12">
        <f>Voltage!O9</f>
        <v>-3774</v>
      </c>
      <c r="O9" s="82">
        <f t="shared" si="2"/>
        <v>2.8895808173999997</v>
      </c>
      <c r="P9" s="106">
        <f t="shared" si="32"/>
        <v>1.2381739999955954E-4</v>
      </c>
      <c r="Q9" s="127">
        <f t="shared" si="33"/>
        <v>4.2851442329669393E-5</v>
      </c>
      <c r="R9" s="13">
        <f>'Range 0'!L9*1000</f>
        <v>281.95143000000002</v>
      </c>
      <c r="S9" s="13">
        <f>'Range 0'!M9</f>
        <v>-9391</v>
      </c>
      <c r="T9" s="85">
        <f t="shared" si="3"/>
        <v>281.95862945737639</v>
      </c>
      <c r="U9" s="85">
        <f t="shared" si="4"/>
        <v>7.1994573763731751E-3</v>
      </c>
      <c r="V9" s="132">
        <f t="shared" si="5"/>
        <v>7.1994573763731754E-6</v>
      </c>
      <c r="W9" s="132">
        <f t="shared" si="6"/>
        <v>1.0034755922049498E-5</v>
      </c>
      <c r="X9" s="14">
        <f>'Range 1'!L9*1000</f>
        <v>17.790084</v>
      </c>
      <c r="Y9" s="14">
        <f>'Range 1'!M9</f>
        <v>-9389</v>
      </c>
      <c r="Z9" s="94">
        <f t="shared" si="7"/>
        <v>17.785784617524719</v>
      </c>
      <c r="AA9" s="101">
        <f t="shared" si="8"/>
        <v>4.299382475281277E-3</v>
      </c>
      <c r="AB9" s="136">
        <f t="shared" si="9"/>
        <v>4.299382475281277E-5</v>
      </c>
      <c r="AC9" s="136">
        <f t="shared" si="10"/>
        <v>5.2333571697253945E-5</v>
      </c>
      <c r="AD9" s="13">
        <f>'Range 2'!L9*1000</f>
        <v>2.8695278000000002</v>
      </c>
      <c r="AE9" s="13">
        <f>'Range 2'!M9</f>
        <v>-9390</v>
      </c>
      <c r="AF9" s="77">
        <f t="shared" si="11"/>
        <v>2.8704044556992936</v>
      </c>
      <c r="AG9" s="85">
        <f t="shared" si="12"/>
        <v>8.7665569929340492E-4</v>
      </c>
      <c r="AH9" s="139">
        <f t="shared" si="13"/>
        <v>8.7665569929340492E-5</v>
      </c>
      <c r="AI9" s="139">
        <f t="shared" si="14"/>
        <v>3.7236561445563862E-5</v>
      </c>
      <c r="AJ9" s="14">
        <f>'Range 3'!L9*1000</f>
        <v>0.28689999999999999</v>
      </c>
      <c r="AK9" s="14">
        <f>'Range 3'!M9</f>
        <v>-9390</v>
      </c>
      <c r="AL9" s="94">
        <f t="shared" si="15"/>
        <v>0.28698120882219974</v>
      </c>
      <c r="AM9" s="101">
        <f t="shared" si="16"/>
        <v>8.1208822199752007E-5</v>
      </c>
      <c r="AN9" s="136">
        <f t="shared" si="17"/>
        <v>8.1208822199752007E-5</v>
      </c>
      <c r="AO9" s="136">
        <f t="shared" si="18"/>
        <v>6.4543880718526125E-5</v>
      </c>
      <c r="AP9" s="13">
        <f>'Range 4'!L9*1000</f>
        <v>2.8680000000000001E-2</v>
      </c>
      <c r="AQ9" s="13">
        <f>'Range 4'!M9</f>
        <v>-9390</v>
      </c>
      <c r="AR9" s="77">
        <f t="shared" si="19"/>
        <v>2.8700567618577196E-2</v>
      </c>
      <c r="AS9" s="85">
        <f t="shared" si="20"/>
        <v>2.0567618577195523E-5</v>
      </c>
      <c r="AT9" s="113">
        <f t="shared" si="34"/>
        <v>2.0567618577195523E-4</v>
      </c>
      <c r="AU9" s="113">
        <f t="shared" si="21"/>
        <v>1.8069605831134289E-4</v>
      </c>
      <c r="AV9" s="14">
        <f>'Range 5'!L9*1000</f>
        <v>2.8710000000000003E-3</v>
      </c>
      <c r="AW9" s="14">
        <f>'Range 5'!M9</f>
        <v>-9391</v>
      </c>
      <c r="AX9" s="94">
        <f t="shared" si="22"/>
        <v>2.8740625522763316E-3</v>
      </c>
      <c r="AY9" s="101">
        <f t="shared" si="23"/>
        <v>3.0625522763312943E-6</v>
      </c>
      <c r="AZ9" s="109">
        <f t="shared" si="35"/>
        <v>3.0625522763312943E-6</v>
      </c>
      <c r="BA9" s="109">
        <f t="shared" si="24"/>
        <v>2.3109354536548013E-4</v>
      </c>
      <c r="BB9" s="13">
        <f>'Range 6'!L9*1000</f>
        <v>2.8729999999999999E-4</v>
      </c>
      <c r="BC9" s="13">
        <f>'Range 6'!M9</f>
        <v>-9390</v>
      </c>
      <c r="BD9" s="77">
        <f t="shared" si="25"/>
        <v>2.8691105194882728E-4</v>
      </c>
      <c r="BE9" s="85">
        <f t="shared" si="26"/>
        <v>3.8894805117270633E-7</v>
      </c>
      <c r="BF9" s="113">
        <f t="shared" si="36"/>
        <v>3.8894805117270633E-7</v>
      </c>
      <c r="BG9" s="113">
        <f t="shared" si="27"/>
        <v>4.112926266043376E-4</v>
      </c>
      <c r="BH9" s="14">
        <f>'Range 7'!L9*1000</f>
        <v>2.9329999999999999E-5</v>
      </c>
      <c r="BI9" s="14">
        <f>'Range 7'!M9</f>
        <v>-9391</v>
      </c>
      <c r="BJ9" s="94">
        <f t="shared" si="28"/>
        <v>2.8780830817127591E-5</v>
      </c>
      <c r="BK9" s="101">
        <f t="shared" si="29"/>
        <v>5.491691828724075E-7</v>
      </c>
      <c r="BL9" s="109">
        <f t="shared" si="37"/>
        <v>5.491691828724075E-7</v>
      </c>
      <c r="BM9" s="109">
        <f t="shared" si="30"/>
        <v>5.3708883669896486E-3</v>
      </c>
    </row>
    <row r="10" spans="1:65" x14ac:dyDescent="0.25">
      <c r="A10" s="11">
        <v>9</v>
      </c>
      <c r="B10" s="11">
        <v>-1000</v>
      </c>
      <c r="C10" s="11">
        <v>-5400</v>
      </c>
      <c r="D10" s="11">
        <f>IF(Connect!G$1=Internal!A$2,Data!B10,Data!C10)</f>
        <v>-5400</v>
      </c>
      <c r="E10" s="58">
        <v>-5400</v>
      </c>
      <c r="F10" s="12">
        <f>Voltage!L10</f>
        <v>1.9126320999999999</v>
      </c>
      <c r="G10" s="124">
        <f t="shared" si="38"/>
        <v>0.11146181658716614</v>
      </c>
      <c r="H10" s="12">
        <f>Voltage!M10</f>
        <v>-5218</v>
      </c>
      <c r="J10" s="12">
        <f>Voltage!N10</f>
        <v>-6284</v>
      </c>
      <c r="K10" s="82">
        <f t="shared" si="0"/>
        <v>1.9133655032000001</v>
      </c>
      <c r="L10" s="79">
        <f t="shared" si="31"/>
        <v>7.3340320000014891E-4</v>
      </c>
      <c r="M10" s="127">
        <f t="shared" si="1"/>
        <v>3.8345231160773099E-4</v>
      </c>
      <c r="N10" s="12">
        <f>Voltage!O10</f>
        <v>-2498</v>
      </c>
      <c r="O10" s="82">
        <f t="shared" si="2"/>
        <v>1.9122610277999998</v>
      </c>
      <c r="P10" s="106">
        <f t="shared" si="32"/>
        <v>3.7107220000009988E-4</v>
      </c>
      <c r="Q10" s="127">
        <f t="shared" si="33"/>
        <v>1.9401127901183917E-4</v>
      </c>
      <c r="R10" s="13">
        <f>'Range 0'!L10*1000</f>
        <v>186.96462</v>
      </c>
      <c r="S10" s="13">
        <f>'Range 0'!M10</f>
        <v>-6229</v>
      </c>
      <c r="T10" s="85">
        <f t="shared" si="3"/>
        <v>187.00290796393543</v>
      </c>
      <c r="U10" s="85">
        <f t="shared" si="4"/>
        <v>3.8287963935431435E-2</v>
      </c>
      <c r="V10" s="132">
        <f t="shared" si="5"/>
        <v>3.8287963935431436E-5</v>
      </c>
      <c r="W10" s="132">
        <f t="shared" si="6"/>
        <v>4.3126146379904637E-5</v>
      </c>
      <c r="X10" s="14">
        <f>'Range 1'!L10*1000</f>
        <v>11.796001</v>
      </c>
      <c r="Y10" s="14">
        <f>'Range 1'!M10</f>
        <v>-6227</v>
      </c>
      <c r="Z10" s="94">
        <f t="shared" si="7"/>
        <v>11.792837402590314</v>
      </c>
      <c r="AA10" s="101">
        <f t="shared" si="8"/>
        <v>3.163597409686858E-3</v>
      </c>
      <c r="AB10" s="136">
        <f t="shared" si="9"/>
        <v>3.1635974096868581E-5</v>
      </c>
      <c r="AC10" s="136">
        <f t="shared" si="10"/>
        <v>6.6657116845476595E-5</v>
      </c>
      <c r="AD10" s="13">
        <f>'Range 2'!L10*1000</f>
        <v>1.9027417</v>
      </c>
      <c r="AE10" s="13">
        <f>'Range 2'!M10</f>
        <v>-6228</v>
      </c>
      <c r="AF10" s="77">
        <f t="shared" si="11"/>
        <v>1.9035200550938447</v>
      </c>
      <c r="AG10" s="85">
        <f t="shared" si="12"/>
        <v>7.7835509384471813E-4</v>
      </c>
      <c r="AH10" s="139">
        <f t="shared" si="13"/>
        <v>7.7835509384471807E-5</v>
      </c>
      <c r="AI10" s="139">
        <f t="shared" si="14"/>
        <v>9.0138412952578406E-6</v>
      </c>
      <c r="AJ10" s="14">
        <f>'Range 3'!L10*1000</f>
        <v>0.19019999999999998</v>
      </c>
      <c r="AK10" s="14">
        <f>'Range 3'!M10</f>
        <v>-6228</v>
      </c>
      <c r="AL10" s="94">
        <f t="shared" si="15"/>
        <v>0.19028699356488393</v>
      </c>
      <c r="AM10" s="101">
        <f t="shared" si="16"/>
        <v>8.6993564883952601E-5</v>
      </c>
      <c r="AN10" s="136">
        <f t="shared" si="17"/>
        <v>8.6993564883952601E-5</v>
      </c>
      <c r="AO10" s="136">
        <f t="shared" si="18"/>
        <v>2.8905898437653343E-5</v>
      </c>
      <c r="AP10" s="13">
        <f>'Range 4'!L10*1000</f>
        <v>1.9009999999999999E-2</v>
      </c>
      <c r="AQ10" s="13">
        <f>'Range 4'!M10</f>
        <v>-6228</v>
      </c>
      <c r="AR10" s="77">
        <f t="shared" si="19"/>
        <v>1.9030785541886985E-2</v>
      </c>
      <c r="AS10" s="85">
        <f t="shared" si="20"/>
        <v>2.0785541886985531E-5</v>
      </c>
      <c r="AT10" s="113">
        <f t="shared" si="34"/>
        <v>2.0785541886985531E-4</v>
      </c>
      <c r="AU10" s="113">
        <f t="shared" si="21"/>
        <v>1.4422626588631721E-4</v>
      </c>
      <c r="AV10" s="14">
        <f>'Range 5'!L10*1000</f>
        <v>1.9039999999999999E-3</v>
      </c>
      <c r="AW10" s="14">
        <f>'Range 5'!M10</f>
        <v>-6229</v>
      </c>
      <c r="AX10" s="94">
        <f t="shared" si="22"/>
        <v>1.9061430113290333E-3</v>
      </c>
      <c r="AY10" s="101">
        <f t="shared" si="23"/>
        <v>2.1430113290334379E-6</v>
      </c>
      <c r="AZ10" s="109">
        <f t="shared" si="35"/>
        <v>2.1430113290334379E-6</v>
      </c>
      <c r="BA10" s="109">
        <f t="shared" si="24"/>
        <v>1.0512065950682697E-4</v>
      </c>
      <c r="BB10" s="13">
        <f>'Range 6'!L10*1000</f>
        <v>1.9079999999999998E-4</v>
      </c>
      <c r="BC10" s="13">
        <f>'Range 6'!M10</f>
        <v>-6228</v>
      </c>
      <c r="BD10" s="77">
        <f t="shared" si="25"/>
        <v>1.9028743997609568E-4</v>
      </c>
      <c r="BE10" s="85">
        <f t="shared" si="26"/>
        <v>5.1256002390429609E-7</v>
      </c>
      <c r="BF10" s="113">
        <f t="shared" si="36"/>
        <v>5.1256002390429609E-7</v>
      </c>
      <c r="BG10" s="113">
        <f t="shared" si="27"/>
        <v>5.7634820901131018E-4</v>
      </c>
      <c r="BH10" s="14">
        <f>'Range 7'!L10*1000</f>
        <v>1.8069999999999998E-5</v>
      </c>
      <c r="BI10" s="14">
        <f>'Range 7'!M10</f>
        <v>-6228</v>
      </c>
      <c r="BJ10" s="94">
        <f t="shared" si="28"/>
        <v>1.9155798453070969E-5</v>
      </c>
      <c r="BK10" s="101">
        <f t="shared" si="29"/>
        <v>1.0857984530709712E-6</v>
      </c>
      <c r="BL10" s="109">
        <f t="shared" si="37"/>
        <v>1.0857984530709712E-6</v>
      </c>
      <c r="BM10" s="109">
        <f t="shared" si="30"/>
        <v>1.0918726805249E-2</v>
      </c>
    </row>
    <row r="11" spans="1:65" x14ac:dyDescent="0.25">
      <c r="A11" s="11">
        <v>10</v>
      </c>
      <c r="B11" s="11">
        <v>-500</v>
      </c>
      <c r="C11" s="11">
        <v>-2700</v>
      </c>
      <c r="D11" s="11">
        <f>IF(Connect!G$1=Internal!A$2,Data!B11,Data!C11)</f>
        <v>-2700</v>
      </c>
      <c r="E11" s="58">
        <v>-2700</v>
      </c>
      <c r="F11" s="12">
        <f>Voltage!L11</f>
        <v>0.93523199000000001</v>
      </c>
      <c r="G11" s="124">
        <f t="shared" si="38"/>
        <v>0.20570005432007932</v>
      </c>
      <c r="H11" s="12">
        <f>Voltage!M11</f>
        <v>-2552</v>
      </c>
      <c r="J11" s="12">
        <f>Voltage!N11</f>
        <v>-3082</v>
      </c>
      <c r="K11" s="82">
        <f t="shared" si="0"/>
        <v>0.9355794086</v>
      </c>
      <c r="L11" s="79">
        <f t="shared" si="31"/>
        <v>3.4741859999998237E-4</v>
      </c>
      <c r="M11" s="127">
        <f t="shared" si="1"/>
        <v>3.7147852480963825E-4</v>
      </c>
      <c r="N11" s="12">
        <f>Voltage!O11</f>
        <v>-1222</v>
      </c>
      <c r="O11" s="82">
        <f t="shared" si="2"/>
        <v>0.93494123819999997</v>
      </c>
      <c r="P11" s="106">
        <f t="shared" si="32"/>
        <v>2.9075180000004419E-4</v>
      </c>
      <c r="Q11" s="127">
        <f t="shared" si="33"/>
        <v>3.108873553395497E-4</v>
      </c>
      <c r="R11" s="13">
        <f>'Range 0'!L11*1000</f>
        <v>91.715512000000004</v>
      </c>
      <c r="S11" s="13">
        <f>'Range 0'!M11</f>
        <v>-3063</v>
      </c>
      <c r="T11" s="85">
        <f t="shared" si="3"/>
        <v>91.927065380686159</v>
      </c>
      <c r="U11" s="85">
        <f t="shared" si="4"/>
        <v>0.21155338068615492</v>
      </c>
      <c r="V11" s="132">
        <f t="shared" si="5"/>
        <v>2.1155338068615492E-4</v>
      </c>
      <c r="W11" s="133">
        <f t="shared" si="6"/>
        <v>1.8608046316219884E-4</v>
      </c>
      <c r="X11" s="14">
        <f>'Range 1'!L11*1000</f>
        <v>5.7979229999999999</v>
      </c>
      <c r="Y11" s="14">
        <f>'Range 1'!M11</f>
        <v>-3063</v>
      </c>
      <c r="Z11" s="94">
        <f t="shared" si="7"/>
        <v>5.7960995822068613</v>
      </c>
      <c r="AA11" s="101">
        <f t="shared" si="8"/>
        <v>1.8234177931386597E-3</v>
      </c>
      <c r="AB11" s="136">
        <f t="shared" si="9"/>
        <v>1.8234177931386596E-5</v>
      </c>
      <c r="AC11" s="136">
        <f t="shared" si="10"/>
        <v>4.1030661993710641E-5</v>
      </c>
      <c r="AD11" s="13">
        <f>'Range 2'!L11*1000</f>
        <v>0.93533660000000007</v>
      </c>
      <c r="AE11" s="13">
        <f>'Range 2'!M11</f>
        <v>-3063</v>
      </c>
      <c r="AF11" s="77">
        <f t="shared" si="11"/>
        <v>0.93571830685973767</v>
      </c>
      <c r="AG11" s="85">
        <f t="shared" si="12"/>
        <v>3.817068597375961E-4</v>
      </c>
      <c r="AH11" s="139">
        <f t="shared" si="13"/>
        <v>3.8170685973759609E-5</v>
      </c>
      <c r="AI11" s="139">
        <f t="shared" si="14"/>
        <v>6.6357559638907658E-6</v>
      </c>
      <c r="AJ11" s="14">
        <f>'Range 3'!L11*1000</f>
        <v>9.3439999999999995E-2</v>
      </c>
      <c r="AK11" s="14">
        <f>'Range 3'!M11</f>
        <v>-3063</v>
      </c>
      <c r="AL11" s="94">
        <f t="shared" si="15"/>
        <v>9.3501038065388495E-2</v>
      </c>
      <c r="AM11" s="101">
        <f t="shared" si="16"/>
        <v>6.1038065388499541E-5</v>
      </c>
      <c r="AN11" s="136">
        <f t="shared" si="17"/>
        <v>6.1038065388499541E-5</v>
      </c>
      <c r="AO11" s="136">
        <f t="shared" si="18"/>
        <v>5.3267916156715667E-5</v>
      </c>
      <c r="AP11" s="13">
        <f>'Range 4'!L11*1000</f>
        <v>9.3449999999999991E-3</v>
      </c>
      <c r="AQ11" s="13">
        <f>'Range 4'!M11</f>
        <v>-3064</v>
      </c>
      <c r="AR11" s="77">
        <f t="shared" si="19"/>
        <v>9.3548872209989909E-3</v>
      </c>
      <c r="AS11" s="85">
        <f t="shared" si="20"/>
        <v>9.8872209989917664E-6</v>
      </c>
      <c r="AT11" s="113">
        <f t="shared" si="34"/>
        <v>9.8872209989917664E-5</v>
      </c>
      <c r="AU11" s="113">
        <f t="shared" si="21"/>
        <v>5.7756473461258867E-5</v>
      </c>
      <c r="AV11" s="14">
        <f>'Range 5'!L11*1000</f>
        <v>9.3639999999999999E-4</v>
      </c>
      <c r="AW11" s="14">
        <f>'Range 5'!M11</f>
        <v>-3065</v>
      </c>
      <c r="AX11" s="94">
        <f t="shared" si="22"/>
        <v>9.3761125055823874E-4</v>
      </c>
      <c r="AY11" s="101">
        <f t="shared" si="23"/>
        <v>1.2112505582387474E-6</v>
      </c>
      <c r="AZ11" s="109">
        <f t="shared" si="35"/>
        <v>1.2112505582387474E-6</v>
      </c>
      <c r="BA11" s="109">
        <f t="shared" si="24"/>
        <v>3.9147773648121054E-5</v>
      </c>
      <c r="BB11" s="13">
        <f>'Range 6'!L11*1000</f>
        <v>9.4679999999999995E-5</v>
      </c>
      <c r="BC11" s="13">
        <f>'Range 6'!M11</f>
        <v>-3063</v>
      </c>
      <c r="BD11" s="77">
        <f t="shared" si="25"/>
        <v>9.3572154747223002E-5</v>
      </c>
      <c r="BE11" s="85">
        <f t="shared" si="26"/>
        <v>1.1078452527769927E-6</v>
      </c>
      <c r="BF11" s="113">
        <f t="shared" si="36"/>
        <v>1.1078452527769927E-6</v>
      </c>
      <c r="BG11" s="113">
        <f t="shared" si="27"/>
        <v>1.1214037914182892E-3</v>
      </c>
      <c r="BH11" s="14">
        <f>'Range 7'!L11*1000</f>
        <v>9.3039999999999994E-6</v>
      </c>
      <c r="BI11" s="14">
        <f>'Range 7'!M11</f>
        <v>-3064</v>
      </c>
      <c r="BJ11" s="94">
        <f t="shared" si="28"/>
        <v>9.5277230816276671E-6</v>
      </c>
      <c r="BK11" s="101">
        <f t="shared" si="29"/>
        <v>2.2372308162766777E-7</v>
      </c>
      <c r="BL11" s="109">
        <f t="shared" si="37"/>
        <v>2.2372308162766777E-7</v>
      </c>
      <c r="BM11" s="109">
        <f t="shared" si="30"/>
        <v>2.2683419774876309E-3</v>
      </c>
    </row>
    <row r="12" spans="1:65" s="21" customFormat="1" x14ac:dyDescent="0.25">
      <c r="A12" s="17">
        <v>11</v>
      </c>
      <c r="B12" s="17">
        <v>0</v>
      </c>
      <c r="C12" s="17">
        <v>0</v>
      </c>
      <c r="D12" s="17">
        <f>IF(Connect!G$1=Internal!A$2,Data!B12,Data!C12)</f>
        <v>0</v>
      </c>
      <c r="E12" s="59">
        <v>0</v>
      </c>
      <c r="F12" s="18">
        <f>Voltage!L12</f>
        <v>-4.1831782999999997E-2</v>
      </c>
      <c r="G12" s="125">
        <f>((E12-G$32)/G$26-F12)*1000</f>
        <v>-3.6398707946978803E-2</v>
      </c>
      <c r="H12" s="18">
        <f>Voltage!M12</f>
        <v>113</v>
      </c>
      <c r="I12" s="18"/>
      <c r="J12" s="18">
        <f>Voltage!N12</f>
        <v>117</v>
      </c>
      <c r="K12" s="83">
        <f>K32+IF(J12&gt;0,J12*K29,J12*K26)</f>
        <v>-4.1282312199999997E-2</v>
      </c>
      <c r="L12" s="80">
        <f t="shared" si="31"/>
        <v>5.4947080000000009E-4</v>
      </c>
      <c r="M12" s="128">
        <f t="shared" si="1"/>
        <v>1.3135246948474564E-2</v>
      </c>
      <c r="N12" s="18">
        <f>Voltage!O12</f>
        <v>53</v>
      </c>
      <c r="O12" s="83">
        <f>O32+IF(N12&gt;0,N12*O29,N12*O26)</f>
        <v>-4.1609727700000002E-2</v>
      </c>
      <c r="P12" s="107">
        <f t="shared" si="32"/>
        <v>2.2205529999999585E-4</v>
      </c>
      <c r="Q12" s="128">
        <f t="shared" si="33"/>
        <v>5.3082915447327664E-3</v>
      </c>
      <c r="R12" s="19">
        <f>'Range 0'!L12*1000</f>
        <v>-3.1028544</v>
      </c>
      <c r="S12" s="19">
        <f>'Range 0'!M12</f>
        <v>100</v>
      </c>
      <c r="T12" s="86">
        <f t="shared" si="3"/>
        <v>-3.0586863852068613</v>
      </c>
      <c r="U12" s="86">
        <f t="shared" si="4"/>
        <v>4.4168014793138699E-2</v>
      </c>
      <c r="V12" s="134">
        <f t="shared" si="5"/>
        <v>4.41680147931387E-5</v>
      </c>
      <c r="W12" s="133">
        <f t="shared" si="6"/>
        <v>1.5454527295698737E-5</v>
      </c>
      <c r="X12" s="20">
        <f>'Range 1'!L12*1000</f>
        <v>-0.19868770000000002</v>
      </c>
      <c r="Y12" s="20">
        <f>'Range 1'!M12</f>
        <v>100</v>
      </c>
      <c r="Z12" s="95">
        <f t="shared" si="7"/>
        <v>-0.19874293545206861</v>
      </c>
      <c r="AA12" s="102">
        <f t="shared" si="8"/>
        <v>5.5235452068591595E-5</v>
      </c>
      <c r="AB12" s="137">
        <f t="shared" si="9"/>
        <v>5.5235452068591593E-7</v>
      </c>
      <c r="AC12" s="137">
        <f t="shared" si="10"/>
        <v>3.0077207141946672E-5</v>
      </c>
      <c r="AD12" s="19">
        <f>'Range 2'!L12*1000</f>
        <v>-3.1773100000000006E-2</v>
      </c>
      <c r="AE12" s="19">
        <f>'Range 2'!M12</f>
        <v>99</v>
      </c>
      <c r="AF12" s="90">
        <f t="shared" si="11"/>
        <v>-3.1166093745711405E-2</v>
      </c>
      <c r="AG12" s="86">
        <f t="shared" si="12"/>
        <v>6.0700625428860081E-4</v>
      </c>
      <c r="AH12" s="140">
        <f t="shared" si="13"/>
        <v>6.0700625428860081E-5</v>
      </c>
      <c r="AI12" s="140">
        <f t="shared" si="14"/>
        <v>7.2546467769302177E-6</v>
      </c>
      <c r="AJ12" s="20">
        <f>'Range 3'!L12*1000</f>
        <v>-3.2360000000000002E-3</v>
      </c>
      <c r="AK12" s="20">
        <f>'Range 3'!M12</f>
        <v>99</v>
      </c>
      <c r="AL12" s="95">
        <f t="shared" si="15"/>
        <v>-3.1931771919273457E-3</v>
      </c>
      <c r="AM12" s="102">
        <f t="shared" si="16"/>
        <v>4.2822808072654449E-5</v>
      </c>
      <c r="AN12" s="137">
        <f t="shared" si="17"/>
        <v>4.2822808072654449E-5</v>
      </c>
      <c r="AO12" s="137">
        <f t="shared" si="18"/>
        <v>6.3700661241828521E-6</v>
      </c>
      <c r="AP12" s="19">
        <f>'Range 4'!L12*1000</f>
        <v>-3.2220000000000003E-4</v>
      </c>
      <c r="AQ12" s="19">
        <f>'Range 4'!M12</f>
        <v>99</v>
      </c>
      <c r="AR12" s="90">
        <f t="shared" si="19"/>
        <v>-3.1795297779011101E-4</v>
      </c>
      <c r="AS12" s="86">
        <f t="shared" si="20"/>
        <v>4.2470222098890133E-6</v>
      </c>
      <c r="AT12" s="114">
        <f t="shared" si="34"/>
        <v>4.2470222098890133E-5</v>
      </c>
      <c r="AU12" s="114">
        <f t="shared" si="21"/>
        <v>6.7133189637875535E-6</v>
      </c>
      <c r="AV12" s="20">
        <f>'Range 5'!L12*1000</f>
        <v>-2.9819999999999999E-5</v>
      </c>
      <c r="AW12" s="20">
        <f>'Range 5'!M12</f>
        <v>98</v>
      </c>
      <c r="AX12" s="95">
        <f t="shared" si="22"/>
        <v>-3.0614400300807762E-5</v>
      </c>
      <c r="AY12" s="102">
        <f t="shared" si="23"/>
        <v>7.9440030080776301E-7</v>
      </c>
      <c r="AZ12" s="110">
        <f t="shared" si="35"/>
        <v>7.9440030080776301E-7</v>
      </c>
      <c r="BA12" s="110">
        <f t="shared" si="24"/>
        <v>1.6482511221054422E-4</v>
      </c>
      <c r="BB12" s="19">
        <f>'Range 6'!L12*1000</f>
        <v>0</v>
      </c>
      <c r="BC12" s="19">
        <f>'Range 6'!M12</f>
        <v>100</v>
      </c>
      <c r="BD12" s="90">
        <f t="shared" si="25"/>
        <v>-3.0820149775556061E-6</v>
      </c>
      <c r="BE12" s="86">
        <f t="shared" si="26"/>
        <v>3.0820149775556061E-6</v>
      </c>
      <c r="BF12" s="114">
        <f t="shared" si="36"/>
        <v>3.0820149775556061E-6</v>
      </c>
      <c r="BG12" s="114">
        <f t="shared" si="27"/>
        <v>3.1064593738252509E-3</v>
      </c>
      <c r="BH12" s="20">
        <f>'Range 7'!L12*1000</f>
        <v>-5.4499999999999998E-8</v>
      </c>
      <c r="BI12" s="20">
        <f>'Range 7'!M12</f>
        <v>98</v>
      </c>
      <c r="BJ12" s="95">
        <f t="shared" si="28"/>
        <v>-9.4266275042279514E-8</v>
      </c>
      <c r="BK12" s="102">
        <f t="shared" si="29"/>
        <v>3.9766275042279516E-8</v>
      </c>
      <c r="BL12" s="110">
        <f t="shared" si="37"/>
        <v>3.9766275042279516E-8</v>
      </c>
      <c r="BM12" s="110">
        <f t="shared" si="30"/>
        <v>4.5704285027373538E-4</v>
      </c>
    </row>
    <row r="13" spans="1:65" x14ac:dyDescent="0.25">
      <c r="A13" s="11">
        <v>12</v>
      </c>
      <c r="B13" s="11">
        <v>500</v>
      </c>
      <c r="C13" s="11">
        <v>2700</v>
      </c>
      <c r="D13" s="11">
        <f>IF(Connect!G$1=Internal!A$2,Data!B13,Data!C13)</f>
        <v>2700</v>
      </c>
      <c r="E13" s="58">
        <v>2700</v>
      </c>
      <c r="F13" s="12">
        <f>Voltage!L13</f>
        <v>-1.0189288999999999</v>
      </c>
      <c r="G13" s="124">
        <f>((E13-G$32)/G$29-F13)*1000</f>
        <v>-0.31045392322970322</v>
      </c>
      <c r="H13" s="12">
        <f>Voltage!M13</f>
        <v>2779</v>
      </c>
      <c r="J13" s="12">
        <f>Voltage!N13</f>
        <v>3317</v>
      </c>
      <c r="K13" s="82">
        <f t="shared" ref="K13:K22" si="39">J13*K$29+K$32</f>
        <v>-1.0182314321999999</v>
      </c>
      <c r="L13" s="79">
        <f t="shared" si="31"/>
        <v>6.9746780000001785E-4</v>
      </c>
      <c r="M13" s="127">
        <f t="shared" si="1"/>
        <v>6.8451076419563509E-4</v>
      </c>
      <c r="N13" s="12">
        <f>Voltage!O13</f>
        <v>1329</v>
      </c>
      <c r="O13" s="82">
        <f t="shared" ref="O13:O22" si="40">N13*O$29+O$32</f>
        <v>-1.0188597201</v>
      </c>
      <c r="P13" s="106">
        <f t="shared" si="32"/>
        <v>6.9179899999882721E-5</v>
      </c>
      <c r="Q13" s="127">
        <f t="shared" si="33"/>
        <v>6.7894727492647162E-5</v>
      </c>
      <c r="R13" s="13">
        <f>'Range 0'!L13*1000</f>
        <v>-97.992238</v>
      </c>
      <c r="S13" s="13">
        <f>'Range 0'!M13</f>
        <v>3263</v>
      </c>
      <c r="T13" s="85">
        <f t="shared" si="3"/>
        <v>-98.044438151099897</v>
      </c>
      <c r="U13" s="85">
        <f t="shared" si="4"/>
        <v>5.2200151099896175E-2</v>
      </c>
      <c r="V13" s="132">
        <f t="shared" si="5"/>
        <v>5.2200151099896174E-5</v>
      </c>
      <c r="W13" s="132">
        <f t="shared" si="6"/>
        <v>1.4597231775358922E-4</v>
      </c>
      <c r="X13" s="14">
        <f>'Range 1'!L13*1000</f>
        <v>-6.1959869999999997</v>
      </c>
      <c r="Y13" s="14">
        <f>'Range 1'!M13</f>
        <v>3263</v>
      </c>
      <c r="Z13" s="94">
        <f t="shared" si="7"/>
        <v>-6.1935854531109982</v>
      </c>
      <c r="AA13" s="101">
        <f t="shared" si="8"/>
        <v>2.4015468890015157E-3</v>
      </c>
      <c r="AB13" s="136">
        <f t="shared" si="9"/>
        <v>2.4015468890015156E-5</v>
      </c>
      <c r="AC13" s="136">
        <f t="shared" si="10"/>
        <v>1.2237752290182868E-5</v>
      </c>
      <c r="AD13" s="13">
        <f>'Range 2'!L13*1000</f>
        <v>-0.99886490000000006</v>
      </c>
      <c r="AE13" s="13">
        <f>'Range 2'!M13</f>
        <v>3263</v>
      </c>
      <c r="AF13" s="77">
        <f t="shared" si="11"/>
        <v>-0.99866205943693243</v>
      </c>
      <c r="AG13" s="85">
        <f t="shared" si="12"/>
        <v>2.0284056306762999E-4</v>
      </c>
      <c r="AH13" s="139">
        <f t="shared" si="13"/>
        <v>2.0284056306762998E-5</v>
      </c>
      <c r="AI13" s="139">
        <f t="shared" si="14"/>
        <v>2.2935049517758264E-5</v>
      </c>
      <c r="AJ13" s="14">
        <f>'Range 3'!L13*1000</f>
        <v>-0.1</v>
      </c>
      <c r="AK13" s="14">
        <f>'Range 3'!M13</f>
        <v>3264</v>
      </c>
      <c r="AL13" s="94">
        <f t="shared" si="15"/>
        <v>-9.9979132691422792E-2</v>
      </c>
      <c r="AM13" s="101">
        <f t="shared" si="16"/>
        <v>2.0867308577213195E-5</v>
      </c>
      <c r="AN13" s="136">
        <f t="shared" si="17"/>
        <v>2.0867308577213195E-5</v>
      </c>
      <c r="AO13" s="136">
        <f t="shared" si="18"/>
        <v>2.199195159492684E-5</v>
      </c>
      <c r="AP13" s="13">
        <f>'Range 4'!L13*1000</f>
        <v>-1.0006999999999999E-2</v>
      </c>
      <c r="AQ13" s="13">
        <f>'Range 4'!M13</f>
        <v>3264</v>
      </c>
      <c r="AR13" s="77">
        <f t="shared" si="19"/>
        <v>-9.9969094207769931E-3</v>
      </c>
      <c r="AS13" s="85">
        <f t="shared" si="20"/>
        <v>1.0090579223005422E-5</v>
      </c>
      <c r="AT13" s="113">
        <f t="shared" si="34"/>
        <v>1.0090579223005422E-4</v>
      </c>
      <c r="AU13" s="113">
        <f t="shared" si="21"/>
        <v>1.0481688861115404E-4</v>
      </c>
      <c r="AV13" s="14">
        <f>'Range 5'!L13*1000</f>
        <v>-1.0096E-3</v>
      </c>
      <c r="AW13" s="14">
        <f>'Range 5'!M13</f>
        <v>3262</v>
      </c>
      <c r="AX13" s="94">
        <f t="shared" si="22"/>
        <v>-9.9914616107160226E-4</v>
      </c>
      <c r="AY13" s="101">
        <f t="shared" si="23"/>
        <v>1.0453838928397782E-5</v>
      </c>
      <c r="AZ13" s="109">
        <f t="shared" si="35"/>
        <v>1.0453838928397782E-5</v>
      </c>
      <c r="BA13" s="109">
        <f t="shared" si="24"/>
        <v>9.8720200193077885E-4</v>
      </c>
      <c r="BB13" s="13">
        <f>'Range 6'!L13*1000</f>
        <v>-9.9530000000000004E-5</v>
      </c>
      <c r="BC13" s="13">
        <f>'Range 6'!M13</f>
        <v>3262</v>
      </c>
      <c r="BD13" s="77">
        <f t="shared" si="25"/>
        <v>-9.9705626950287172E-5</v>
      </c>
      <c r="BE13" s="85">
        <f t="shared" si="26"/>
        <v>1.7562695028716809E-7</v>
      </c>
      <c r="BF13" s="113">
        <f t="shared" si="36"/>
        <v>1.7562695028716809E-7</v>
      </c>
      <c r="BG13" s="113">
        <f t="shared" si="27"/>
        <v>2.4151495623221046E-4</v>
      </c>
      <c r="BH13" s="14">
        <f>'Range 7'!L13*1000</f>
        <v>-8.4139999999999994E-6</v>
      </c>
      <c r="BI13" s="14">
        <f>'Range 7'!M13</f>
        <v>3261</v>
      </c>
      <c r="BJ13" s="94">
        <f t="shared" si="28"/>
        <v>-9.7192986390989014E-6</v>
      </c>
      <c r="BK13" s="101">
        <f t="shared" si="29"/>
        <v>1.305298639098902E-6</v>
      </c>
      <c r="BL13" s="109">
        <f t="shared" si="37"/>
        <v>1.305298639098902E-6</v>
      </c>
      <c r="BM13" s="109">
        <f t="shared" si="30"/>
        <v>1.3172427678035094E-2</v>
      </c>
    </row>
    <row r="14" spans="1:65" x14ac:dyDescent="0.25">
      <c r="A14" s="11">
        <v>13</v>
      </c>
      <c r="B14" s="11">
        <v>1000</v>
      </c>
      <c r="C14" s="11">
        <v>5400</v>
      </c>
      <c r="D14" s="11">
        <f>IF(Connect!G$1=Internal!A$2,Data!B14,Data!C14)</f>
        <v>5400</v>
      </c>
      <c r="E14" s="58">
        <v>5400</v>
      </c>
      <c r="F14" s="12">
        <f>Voltage!L14</f>
        <v>-1.9959994000000001</v>
      </c>
      <c r="G14" s="124">
        <f>((E14-G$32)/G$29-F14)*1000</f>
        <v>-0.60844356312350634</v>
      </c>
      <c r="H14" s="12">
        <f>Voltage!M14</f>
        <v>5444</v>
      </c>
      <c r="J14" s="12">
        <f>Voltage!N14</f>
        <v>6518</v>
      </c>
      <c r="K14" s="82">
        <f>J14*K$29+K$32</f>
        <v>-1.9954858487999998</v>
      </c>
      <c r="L14" s="79">
        <f t="shared" si="31"/>
        <v>5.1355120000029508E-4</v>
      </c>
      <c r="M14" s="127">
        <f t="shared" si="1"/>
        <v>2.5729025770263009E-4</v>
      </c>
      <c r="N14" s="12">
        <f>Voltage!O14</f>
        <v>2604</v>
      </c>
      <c r="O14" s="82">
        <f t="shared" si="40"/>
        <v>-1.9953438425999999</v>
      </c>
      <c r="P14" s="106">
        <f t="shared" si="32"/>
        <v>6.5555740000022844E-4</v>
      </c>
      <c r="Q14" s="127">
        <f t="shared" si="33"/>
        <v>3.2843566987055629E-4</v>
      </c>
      <c r="R14" s="13">
        <f>'Range 0'!L14*1000</f>
        <v>-193.24620999999999</v>
      </c>
      <c r="S14" s="13">
        <f>'Range 0'!M14</f>
        <v>6429</v>
      </c>
      <c r="T14" s="85">
        <f t="shared" si="3"/>
        <v>-193.12028073434911</v>
      </c>
      <c r="U14" s="85">
        <f t="shared" si="4"/>
        <v>0.12592926565088192</v>
      </c>
      <c r="V14" s="132">
        <f t="shared" si="5"/>
        <v>1.2592926565088193E-4</v>
      </c>
      <c r="W14" s="132">
        <f t="shared" si="6"/>
        <v>8.8098291788497819E-5</v>
      </c>
      <c r="X14" s="14">
        <f>'Range 1'!L14*1000</f>
        <v>-12.193223</v>
      </c>
      <c r="Y14" s="14">
        <f>'Range 1'!M14</f>
        <v>6427</v>
      </c>
      <c r="Z14" s="94">
        <f t="shared" si="7"/>
        <v>-12.19032327349445</v>
      </c>
      <c r="AA14" s="101">
        <f t="shared" si="8"/>
        <v>2.8997265055501487E-3</v>
      </c>
      <c r="AB14" s="136">
        <f t="shared" si="9"/>
        <v>2.8997265055501487E-5</v>
      </c>
      <c r="AC14" s="136">
        <f t="shared" si="10"/>
        <v>4.968702561587435E-6</v>
      </c>
      <c r="AD14" s="13">
        <f>'Range 2'!L14*1000</f>
        <v>-1.9659688</v>
      </c>
      <c r="AE14" s="13">
        <f>'Range 2'!M14</f>
        <v>6426</v>
      </c>
      <c r="AF14" s="77">
        <f t="shared" si="11"/>
        <v>-1.9658522425852674</v>
      </c>
      <c r="AG14" s="85">
        <f t="shared" si="12"/>
        <v>1.1655741473259873E-4</v>
      </c>
      <c r="AH14" s="139">
        <f t="shared" si="13"/>
        <v>1.1655741473259872E-5</v>
      </c>
      <c r="AI14" s="139">
        <f t="shared" si="14"/>
        <v>3.74054522585876E-5</v>
      </c>
      <c r="AJ14" s="14">
        <f>'Range 3'!L14*1000</f>
        <v>-0.19668999999999998</v>
      </c>
      <c r="AK14" s="14">
        <f>'Range 3'!M14</f>
        <v>6427</v>
      </c>
      <c r="AL14" s="94">
        <f t="shared" si="15"/>
        <v>-0.19670392802946518</v>
      </c>
      <c r="AM14" s="101">
        <f t="shared" si="16"/>
        <v>1.3928029465204439E-5</v>
      </c>
      <c r="AN14" s="136">
        <f t="shared" si="17"/>
        <v>1.3928029465204439E-5</v>
      </c>
      <c r="AO14" s="136">
        <f t="shared" si="18"/>
        <v>2.3646030685997577E-5</v>
      </c>
      <c r="AP14" s="13">
        <f>'Range 4'!L14*1000</f>
        <v>-1.9675000000000002E-2</v>
      </c>
      <c r="AQ14" s="13">
        <f>'Range 4'!M14</f>
        <v>6426</v>
      </c>
      <c r="AR14" s="77">
        <f t="shared" si="19"/>
        <v>-1.9666691497467203E-2</v>
      </c>
      <c r="AS14" s="85">
        <f t="shared" si="20"/>
        <v>8.3085025327986339E-6</v>
      </c>
      <c r="AT14" s="113">
        <f t="shared" si="34"/>
        <v>8.3085025327986339E-5</v>
      </c>
      <c r="AU14" s="113">
        <f t="shared" si="21"/>
        <v>4.8347096186160399E-5</v>
      </c>
      <c r="AV14" s="14">
        <f>'Range 5'!L14*1000</f>
        <v>-1.9686E-3</v>
      </c>
      <c r="AW14" s="14">
        <f>'Range 5'!M14</f>
        <v>6426</v>
      </c>
      <c r="AX14" s="94">
        <f t="shared" si="22"/>
        <v>-1.9676779218423968E-3</v>
      </c>
      <c r="AY14" s="101">
        <f t="shared" si="23"/>
        <v>9.2207815760320805E-7</v>
      </c>
      <c r="AZ14" s="109">
        <f t="shared" si="35"/>
        <v>9.2207815760320805E-7</v>
      </c>
      <c r="BA14" s="109">
        <f t="shared" si="24"/>
        <v>6.1229116072106238E-5</v>
      </c>
      <c r="BB14" s="13">
        <f>'Range 6'!L14*1000</f>
        <v>-1.9623000000000001E-4</v>
      </c>
      <c r="BC14" s="13">
        <f>'Range 6'!M14</f>
        <v>6426</v>
      </c>
      <c r="BD14" s="77">
        <f t="shared" si="25"/>
        <v>-1.963903544271128E-4</v>
      </c>
      <c r="BE14" s="85">
        <f t="shared" si="26"/>
        <v>1.6035442711279276E-7</v>
      </c>
      <c r="BF14" s="113">
        <f t="shared" si="36"/>
        <v>1.6035442711279276E-7</v>
      </c>
      <c r="BG14" s="113">
        <f t="shared" si="27"/>
        <v>2.0657053863916463E-4</v>
      </c>
      <c r="BH14" s="14">
        <f>'Range 7'!L14*1000</f>
        <v>-1.8716000000000002E-5</v>
      </c>
      <c r="BI14" s="14">
        <f>'Range 7'!M14</f>
        <v>6425</v>
      </c>
      <c r="BJ14" s="94">
        <f t="shared" si="28"/>
        <v>-1.9347374010542202E-5</v>
      </c>
      <c r="BK14" s="101">
        <f t="shared" si="29"/>
        <v>6.3137401054220015E-7</v>
      </c>
      <c r="BL14" s="109">
        <f t="shared" si="37"/>
        <v>6.3137401054220015E-7</v>
      </c>
      <c r="BM14" s="109">
        <f t="shared" si="30"/>
        <v>6.4628125057964282E-3</v>
      </c>
    </row>
    <row r="15" spans="1:65" x14ac:dyDescent="0.25">
      <c r="A15" s="11">
        <v>14</v>
      </c>
      <c r="B15" s="11">
        <v>1500</v>
      </c>
      <c r="C15" s="11">
        <v>8100</v>
      </c>
      <c r="D15" s="11">
        <f>IF(Connect!G$1=Internal!A$2,Data!B15,Data!C15)</f>
        <v>8100</v>
      </c>
      <c r="E15" s="58">
        <v>8100</v>
      </c>
      <c r="F15" s="12">
        <f>Voltage!L15</f>
        <v>-2.9731893</v>
      </c>
      <c r="G15" s="124">
        <f t="shared" ref="G15:G22" si="41">((E15-G$32)/G$29-F15)*1000</f>
        <v>-0.78703320301709567</v>
      </c>
      <c r="H15" s="12">
        <f>Voltage!M15</f>
        <v>8110</v>
      </c>
      <c r="J15" s="12">
        <f>Voltage!N15</f>
        <v>9719</v>
      </c>
      <c r="K15" s="82">
        <f t="shared" si="39"/>
        <v>-2.9727402653999997</v>
      </c>
      <c r="L15" s="79">
        <f t="shared" si="31"/>
        <v>4.4903460000034201E-4</v>
      </c>
      <c r="M15" s="127">
        <f t="shared" si="1"/>
        <v>1.5102792143115206E-4</v>
      </c>
      <c r="N15" s="12">
        <f>Voltage!O15</f>
        <v>3880</v>
      </c>
      <c r="O15" s="82">
        <f t="shared" si="40"/>
        <v>-2.9725938350000001</v>
      </c>
      <c r="P15" s="106">
        <f t="shared" si="32"/>
        <v>5.9546499999996172E-4</v>
      </c>
      <c r="Q15" s="127">
        <f t="shared" si="33"/>
        <v>2.0027819957510332E-4</v>
      </c>
      <c r="R15" s="13">
        <f>'Range 0'!L15*1000</f>
        <v>-288.15653000000003</v>
      </c>
      <c r="S15" s="13">
        <f>'Range 0'!M15</f>
        <v>9593</v>
      </c>
      <c r="T15" s="85">
        <f t="shared" si="3"/>
        <v>-288.13606277269417</v>
      </c>
      <c r="U15" s="85">
        <f t="shared" si="4"/>
        <v>2.0467227305857705E-2</v>
      </c>
      <c r="V15" s="132">
        <f t="shared" si="5"/>
        <v>2.0467227305857705E-5</v>
      </c>
      <c r="W15" s="132">
        <f t="shared" si="6"/>
        <v>2.1483098669364153E-5</v>
      </c>
      <c r="X15" s="14">
        <f>'Range 1'!L15*1000</f>
        <v>-18.191002000000001</v>
      </c>
      <c r="Y15" s="14">
        <f>'Range 1'!M15</f>
        <v>9591</v>
      </c>
      <c r="Z15" s="94">
        <f t="shared" si="7"/>
        <v>-18.187061093877901</v>
      </c>
      <c r="AA15" s="101">
        <f t="shared" si="8"/>
        <v>3.9409061221000741E-3</v>
      </c>
      <c r="AB15" s="136">
        <f t="shared" si="9"/>
        <v>3.9409061221000744E-5</v>
      </c>
      <c r="AC15" s="136">
        <f t="shared" si="10"/>
        <v>2.7605157413361782E-5</v>
      </c>
      <c r="AD15" s="13">
        <f>'Range 2'!L15*1000</f>
        <v>-2.9331482000000002</v>
      </c>
      <c r="AE15" s="13">
        <f>'Range 2'!M15</f>
        <v>9590</v>
      </c>
      <c r="AF15" s="77">
        <f t="shared" si="11"/>
        <v>-2.9333482082764886</v>
      </c>
      <c r="AG15" s="85">
        <f t="shared" si="12"/>
        <v>2.000082764883615E-4</v>
      </c>
      <c r="AH15" s="139">
        <f t="shared" si="13"/>
        <v>2.0000827648836149E-5</v>
      </c>
      <c r="AI15" s="139">
        <f t="shared" si="14"/>
        <v>4.4325854999405226E-5</v>
      </c>
      <c r="AJ15" s="14">
        <f>'Range 3'!L15*1000</f>
        <v>-0.29339999999999999</v>
      </c>
      <c r="AK15" s="14">
        <f>'Range 3'!M15</f>
        <v>9590</v>
      </c>
      <c r="AL15" s="94">
        <f t="shared" si="15"/>
        <v>-0.29342872336750753</v>
      </c>
      <c r="AM15" s="101">
        <f t="shared" si="16"/>
        <v>2.8723367507532682E-5</v>
      </c>
      <c r="AN15" s="136">
        <f t="shared" si="17"/>
        <v>2.8723367507532682E-5</v>
      </c>
      <c r="AO15" s="136">
        <f t="shared" si="18"/>
        <v>4.9284012966888113E-5</v>
      </c>
      <c r="AP15" s="13">
        <f>'Range 4'!L15*1000</f>
        <v>-2.9329999999999998E-2</v>
      </c>
      <c r="AQ15" s="13">
        <f>'Range 4'!M15</f>
        <v>9589</v>
      </c>
      <c r="AR15" s="77">
        <f t="shared" si="19"/>
        <v>-2.9339531696256308E-2</v>
      </c>
      <c r="AS15" s="85">
        <f t="shared" si="20"/>
        <v>9.5316962563096741E-6</v>
      </c>
      <c r="AT15" s="113">
        <f t="shared" si="34"/>
        <v>9.5316962563096741E-5</v>
      </c>
      <c r="AU15" s="113">
        <f t="shared" si="21"/>
        <v>1.3812269623891121E-4</v>
      </c>
      <c r="AV15" s="14">
        <f>'Range 5'!L15*1000</f>
        <v>-2.9340000000000004E-3</v>
      </c>
      <c r="AW15" s="14">
        <f>'Range 5'!M15</f>
        <v>9590</v>
      </c>
      <c r="AX15" s="94">
        <f t="shared" si="22"/>
        <v>-2.9362096826131912E-3</v>
      </c>
      <c r="AY15" s="101">
        <f t="shared" si="23"/>
        <v>2.2096826131907769E-6</v>
      </c>
      <c r="AZ15" s="109">
        <f t="shared" si="35"/>
        <v>2.2096826131907769E-6</v>
      </c>
      <c r="BA15" s="109">
        <f t="shared" si="24"/>
        <v>2.2474376978652913E-4</v>
      </c>
      <c r="BB15" s="13">
        <f>'Range 6'!L15*1000</f>
        <v>-2.9159999999999999E-4</v>
      </c>
      <c r="BC15" s="13">
        <f>'Range 6'!M15</f>
        <v>9589</v>
      </c>
      <c r="BD15" s="77">
        <f t="shared" si="25"/>
        <v>-2.9304452415189144E-4</v>
      </c>
      <c r="BE15" s="85">
        <f t="shared" si="26"/>
        <v>1.4445241518914543E-6</v>
      </c>
      <c r="BF15" s="113">
        <f t="shared" si="36"/>
        <v>1.4445241518914543E-6</v>
      </c>
      <c r="BG15" s="113">
        <f t="shared" si="27"/>
        <v>1.5016261210461213E-3</v>
      </c>
      <c r="BH15" s="14">
        <f>'Range 7'!L15*1000</f>
        <v>-2.745E-5</v>
      </c>
      <c r="BI15" s="14">
        <f>'Range 7'!M15</f>
        <v>9589</v>
      </c>
      <c r="BJ15" s="94">
        <f t="shared" si="28"/>
        <v>-2.8975449381985504E-5</v>
      </c>
      <c r="BK15" s="101">
        <f t="shared" si="29"/>
        <v>1.5254493819855043E-6</v>
      </c>
      <c r="BL15" s="109">
        <f t="shared" si="37"/>
        <v>1.5254493819855043E-6</v>
      </c>
      <c r="BM15" s="109">
        <f t="shared" si="30"/>
        <v>1.5433197333557804E-2</v>
      </c>
    </row>
    <row r="16" spans="1:65" x14ac:dyDescent="0.25">
      <c r="A16" s="11">
        <v>15</v>
      </c>
      <c r="B16" s="11">
        <v>2000</v>
      </c>
      <c r="C16" s="11">
        <v>10800</v>
      </c>
      <c r="D16" s="11">
        <f>IF(Connect!G$1=Internal!A$2,Data!B16,Data!C16)</f>
        <v>10800</v>
      </c>
      <c r="E16" s="58">
        <v>10800</v>
      </c>
      <c r="F16" s="12">
        <f>Voltage!L16</f>
        <v>-3.9505184</v>
      </c>
      <c r="G16" s="124">
        <f t="shared" si="41"/>
        <v>-0.82642284291134516</v>
      </c>
      <c r="H16" s="12">
        <f>Voltage!M16</f>
        <v>10776</v>
      </c>
      <c r="J16" s="12">
        <f>Voltage!N16</f>
        <v>12920</v>
      </c>
      <c r="K16" s="82">
        <f t="shared" si="39"/>
        <v>-3.9499946819999998</v>
      </c>
      <c r="L16" s="79">
        <f t="shared" si="31"/>
        <v>5.2371800000017288E-4</v>
      </c>
      <c r="M16" s="127">
        <f t="shared" si="1"/>
        <v>1.3256943696305095E-4</v>
      </c>
      <c r="N16" s="12">
        <f>Voltage!O16</f>
        <v>5156</v>
      </c>
      <c r="O16" s="82">
        <f t="shared" si="40"/>
        <v>-3.9498438274000001</v>
      </c>
      <c r="P16" s="106">
        <f t="shared" si="32"/>
        <v>6.7457259999992303E-4</v>
      </c>
      <c r="Q16" s="127">
        <f t="shared" si="33"/>
        <v>1.7075546338422902E-4</v>
      </c>
      <c r="R16" s="13">
        <f>'Range 0'!L16*1000</f>
        <v>-383.19104999999996</v>
      </c>
      <c r="S16" s="13">
        <f>'Range 0'!M16</f>
        <v>12758</v>
      </c>
      <c r="T16" s="85">
        <f t="shared" si="3"/>
        <v>-383.18187508349138</v>
      </c>
      <c r="U16" s="85">
        <f t="shared" si="4"/>
        <v>9.1749165085843742E-3</v>
      </c>
      <c r="V16" s="132">
        <f t="shared" si="5"/>
        <v>9.174916508584375E-6</v>
      </c>
      <c r="W16" s="132">
        <f t="shared" si="6"/>
        <v>6.8644891273379468E-6</v>
      </c>
      <c r="X16" s="14">
        <f>'Range 1'!L16*1000</f>
        <v>-24.18946</v>
      </c>
      <c r="Y16" s="14">
        <f>'Range 1'!M16</f>
        <v>12755</v>
      </c>
      <c r="Z16" s="94">
        <f t="shared" si="7"/>
        <v>-24.183798914261349</v>
      </c>
      <c r="AA16" s="101">
        <f t="shared" si="8"/>
        <v>5.66108573865165E-3</v>
      </c>
      <c r="AB16" s="136">
        <f t="shared" si="9"/>
        <v>5.6610857386516502E-5</v>
      </c>
      <c r="AC16" s="136">
        <f t="shared" si="10"/>
        <v>5.7031612265099341E-5</v>
      </c>
      <c r="AD16" s="13">
        <f>'Range 2'!L16*1000</f>
        <v>-3.9004612000000001</v>
      </c>
      <c r="AE16" s="13">
        <f>'Range 2'!M16</f>
        <v>12754</v>
      </c>
      <c r="AF16" s="77">
        <f t="shared" si="11"/>
        <v>-3.9008441739677093</v>
      </c>
      <c r="AG16" s="85">
        <f t="shared" si="12"/>
        <v>3.8297396770925474E-4</v>
      </c>
      <c r="AH16" s="139">
        <f t="shared" si="13"/>
        <v>3.8297396770925471E-5</v>
      </c>
      <c r="AI16" s="139">
        <f t="shared" si="14"/>
        <v>3.7886257740238348E-5</v>
      </c>
      <c r="AJ16" s="14">
        <f>'Range 3'!L16*1000</f>
        <v>-0.3901</v>
      </c>
      <c r="AK16" s="14">
        <f>'Range 3'!M16</f>
        <v>12754</v>
      </c>
      <c r="AL16" s="94">
        <f t="shared" si="15"/>
        <v>-0.39018409878627647</v>
      </c>
      <c r="AM16" s="101">
        <f t="shared" si="16"/>
        <v>8.4098786276465276E-5</v>
      </c>
      <c r="AN16" s="136">
        <f t="shared" si="17"/>
        <v>8.4098786276465276E-5</v>
      </c>
      <c r="AO16" s="136">
        <f t="shared" si="18"/>
        <v>8.4921995247788651E-5</v>
      </c>
      <c r="AP16" s="13">
        <f>'Range 4'!L16*1000</f>
        <v>-3.9E-2</v>
      </c>
      <c r="AQ16" s="13">
        <f>'Range 4'!M16</f>
        <v>12753</v>
      </c>
      <c r="AR16" s="77">
        <f t="shared" si="19"/>
        <v>-3.9015430017144297E-2</v>
      </c>
      <c r="AS16" s="85">
        <f t="shared" si="20"/>
        <v>1.5430017144296704E-5</v>
      </c>
      <c r="AT16" s="113">
        <f t="shared" si="34"/>
        <v>1.5430017144296704E-4</v>
      </c>
      <c r="AU16" s="113">
        <f t="shared" si="21"/>
        <v>1.745924886639022E-4</v>
      </c>
      <c r="AV16" s="14">
        <f>'Range 5'!L16*1000</f>
        <v>-3.9020000000000001E-3</v>
      </c>
      <c r="AW16" s="14">
        <f>'Range 5'!M16</f>
        <v>12755</v>
      </c>
      <c r="AX16" s="94">
        <f t="shared" si="22"/>
        <v>-3.9050475532957339E-3</v>
      </c>
      <c r="AY16" s="101">
        <f t="shared" si="23"/>
        <v>3.0475532957338278E-6</v>
      </c>
      <c r="AZ16" s="109">
        <f t="shared" si="35"/>
        <v>3.0475532957338278E-6</v>
      </c>
      <c r="BA16" s="109">
        <f t="shared" si="24"/>
        <v>2.5071665564527744E-4</v>
      </c>
      <c r="BB16" s="13">
        <f>'Range 6'!L16*1000</f>
        <v>-3.8969999999999999E-4</v>
      </c>
      <c r="BC16" s="13">
        <f>'Range 6'!M16</f>
        <v>12753</v>
      </c>
      <c r="BD16" s="77">
        <f t="shared" si="25"/>
        <v>-3.8972925162871706E-4</v>
      </c>
      <c r="BE16" s="85">
        <f t="shared" si="26"/>
        <v>2.9251628717071997E-8</v>
      </c>
      <c r="BF16" s="113">
        <f t="shared" si="36"/>
        <v>2.9251628717071997E-8</v>
      </c>
      <c r="BG16" s="113">
        <f t="shared" si="27"/>
        <v>6.6681703453082102E-5</v>
      </c>
      <c r="BH16" s="14">
        <f>'Range 7'!L16*1000</f>
        <v>-3.854E-5</v>
      </c>
      <c r="BI16" s="14">
        <f>'Range 7'!M16</f>
        <v>12752</v>
      </c>
      <c r="BJ16" s="94">
        <f t="shared" si="28"/>
        <v>-3.8600481746042129E-5</v>
      </c>
      <c r="BK16" s="101">
        <f t="shared" si="29"/>
        <v>6.048174604212904E-8</v>
      </c>
      <c r="BL16" s="109">
        <f t="shared" si="37"/>
        <v>6.048174604212904E-8</v>
      </c>
      <c r="BM16" s="109">
        <f t="shared" si="30"/>
        <v>8.4358216131922453E-4</v>
      </c>
    </row>
    <row r="17" spans="1:65" x14ac:dyDescent="0.25">
      <c r="A17" s="11">
        <v>16</v>
      </c>
      <c r="B17" s="11">
        <v>2500</v>
      </c>
      <c r="C17" s="11">
        <v>13500</v>
      </c>
      <c r="D17" s="11">
        <f>IF(Connect!G$1=Internal!A$2,Data!B17,Data!C17)</f>
        <v>13500</v>
      </c>
      <c r="E17" s="58">
        <v>13500</v>
      </c>
      <c r="F17" s="12">
        <f>Voltage!L17</f>
        <v>-4.9280539000000001</v>
      </c>
      <c r="G17" s="124">
        <f t="shared" si="41"/>
        <v>-0.65941248280498854</v>
      </c>
      <c r="H17" s="12">
        <f>Voltage!M17</f>
        <v>13443</v>
      </c>
      <c r="J17" s="12">
        <f>Voltage!N17</f>
        <v>16122</v>
      </c>
      <c r="K17" s="82">
        <f t="shared" si="39"/>
        <v>-4.9275543951999996</v>
      </c>
      <c r="L17" s="79">
        <f t="shared" si="31"/>
        <v>4.9950480000049424E-4</v>
      </c>
      <c r="M17" s="127">
        <f t="shared" si="1"/>
        <v>1.0135944332924082E-4</v>
      </c>
      <c r="N17" s="12">
        <f>Voltage!O17</f>
        <v>6433</v>
      </c>
      <c r="O17" s="82">
        <f t="shared" si="40"/>
        <v>-4.9278596897</v>
      </c>
      <c r="P17" s="106">
        <f t="shared" si="32"/>
        <v>1.942103000001083E-4</v>
      </c>
      <c r="Q17" s="127">
        <f t="shared" si="33"/>
        <v>3.9409126592569999E-5</v>
      </c>
      <c r="R17" s="13">
        <f>'Range 0'!L17*1000</f>
        <v>-478.23567000000003</v>
      </c>
      <c r="S17" s="13">
        <f>'Range 0'!M17</f>
        <v>15924</v>
      </c>
      <c r="T17" s="85">
        <f t="shared" si="3"/>
        <v>-478.25771766674063</v>
      </c>
      <c r="U17" s="85">
        <f t="shared" si="4"/>
        <v>2.2047666740604654E-2</v>
      </c>
      <c r="V17" s="132">
        <f t="shared" si="5"/>
        <v>2.2047666740604656E-5</v>
      </c>
      <c r="W17" s="132">
        <f t="shared" si="6"/>
        <v>1.7854120414824591E-5</v>
      </c>
      <c r="X17" s="14">
        <f>'Range 1'!L17*1000</f>
        <v>-30.188223000000001</v>
      </c>
      <c r="Y17" s="14">
        <f>'Range 1'!M17</f>
        <v>15920</v>
      </c>
      <c r="Z17" s="94">
        <f t="shared" si="7"/>
        <v>-30.18243203736932</v>
      </c>
      <c r="AA17" s="101">
        <f t="shared" si="8"/>
        <v>5.7909626306802409E-3</v>
      </c>
      <c r="AB17" s="136">
        <f t="shared" si="9"/>
        <v>5.7909626306802411E-5</v>
      </c>
      <c r="AC17" s="136">
        <f t="shared" si="10"/>
        <v>8.9508067116881305E-5</v>
      </c>
      <c r="AD17" s="13">
        <f>'Range 2'!L17*1000</f>
        <v>-4.8679487000000004</v>
      </c>
      <c r="AE17" s="13">
        <f>'Range 2'!M17</f>
        <v>15919</v>
      </c>
      <c r="AF17" s="77">
        <f t="shared" si="11"/>
        <v>-4.868645922201817</v>
      </c>
      <c r="AG17" s="85">
        <f t="shared" si="12"/>
        <v>6.9722220181667183E-4</v>
      </c>
      <c r="AH17" s="139">
        <f t="shared" si="13"/>
        <v>6.9722220181667177E-5</v>
      </c>
      <c r="AI17" s="139">
        <f t="shared" si="14"/>
        <v>1.3996660481030432E-5</v>
      </c>
      <c r="AJ17" s="14">
        <f>'Range 3'!L17*1000</f>
        <v>-0.48680000000000001</v>
      </c>
      <c r="AK17" s="14">
        <f>'Range 3'!M17</f>
        <v>15918</v>
      </c>
      <c r="AL17" s="94">
        <f t="shared" si="15"/>
        <v>-0.48693947420504535</v>
      </c>
      <c r="AM17" s="101">
        <f t="shared" si="16"/>
        <v>1.3947420504534236E-4</v>
      </c>
      <c r="AN17" s="136">
        <f t="shared" si="17"/>
        <v>1.3947420504534236E-4</v>
      </c>
      <c r="AO17" s="136">
        <f t="shared" si="18"/>
        <v>1.2055997752868919E-4</v>
      </c>
      <c r="AP17" s="13">
        <f>'Range 4'!L17*1000</f>
        <v>-4.8680000000000001E-2</v>
      </c>
      <c r="AQ17" s="13">
        <f>'Range 4'!M17</f>
        <v>15918</v>
      </c>
      <c r="AR17" s="77">
        <f t="shared" si="19"/>
        <v>-4.8694386460131182E-2</v>
      </c>
      <c r="AS17" s="85">
        <f t="shared" si="20"/>
        <v>1.4386460131181333E-5</v>
      </c>
      <c r="AT17" s="113">
        <f t="shared" si="34"/>
        <v>1.4386460131181333E-4</v>
      </c>
      <c r="AU17" s="113">
        <f t="shared" si="21"/>
        <v>1.1106228108896665E-4</v>
      </c>
      <c r="AV17" s="14">
        <f>'Range 5'!L17*1000</f>
        <v>-4.8700000000000002E-3</v>
      </c>
      <c r="AW17" s="14">
        <f>'Range 5'!M17</f>
        <v>15919</v>
      </c>
      <c r="AX17" s="94">
        <f t="shared" si="22"/>
        <v>-4.8735793140665283E-3</v>
      </c>
      <c r="AY17" s="101">
        <f t="shared" si="23"/>
        <v>3.5793140665280748E-6</v>
      </c>
      <c r="AZ17" s="109">
        <f t="shared" si="35"/>
        <v>3.5793140665280748E-6</v>
      </c>
      <c r="BA17" s="109">
        <f t="shared" si="24"/>
        <v>2.7668954150393901E-4</v>
      </c>
      <c r="BB17" s="13">
        <f>'Range 6'!L17*1000</f>
        <v>-4.8709999999999997E-4</v>
      </c>
      <c r="BC17" s="13">
        <f>'Range 6'!M17</f>
        <v>15918</v>
      </c>
      <c r="BD17" s="77">
        <f t="shared" si="25"/>
        <v>-4.8644453685758968E-4</v>
      </c>
      <c r="BE17" s="85">
        <f t="shared" si="26"/>
        <v>6.5546314241028691E-7</v>
      </c>
      <c r="BF17" s="113">
        <f t="shared" si="36"/>
        <v>6.5546314241028691E-7</v>
      </c>
      <c r="BG17" s="113">
        <f t="shared" si="27"/>
        <v>6.6826271413994009E-4</v>
      </c>
      <c r="BH17" s="14">
        <f>'Range 7'!L17*1000</f>
        <v>-4.9210000000000005E-5</v>
      </c>
      <c r="BI17" s="14">
        <f>'Range 7'!M17</f>
        <v>15917</v>
      </c>
      <c r="BJ17" s="94">
        <f t="shared" si="28"/>
        <v>-4.8231600124872105E-5</v>
      </c>
      <c r="BK17" s="101">
        <f t="shared" si="29"/>
        <v>9.7839987512789975E-7</v>
      </c>
      <c r="BL17" s="109">
        <f t="shared" si="37"/>
        <v>9.7839987512789975E-7</v>
      </c>
      <c r="BM17" s="109">
        <f t="shared" si="30"/>
        <v>9.5460330109194969E-3</v>
      </c>
    </row>
    <row r="18" spans="1:65" x14ac:dyDescent="0.25">
      <c r="A18" s="11">
        <v>17</v>
      </c>
      <c r="B18" s="11">
        <v>3000</v>
      </c>
      <c r="C18" s="11">
        <v>16200</v>
      </c>
      <c r="D18" s="11">
        <f>IF(Connect!G$1=Internal!A$2,Data!B18,Data!C18)</f>
        <v>16200</v>
      </c>
      <c r="E18" s="58">
        <v>16200</v>
      </c>
      <c r="F18" s="12">
        <f>Voltage!L18</f>
        <v>-5.9055758000000003</v>
      </c>
      <c r="G18" s="124">
        <f t="shared" si="41"/>
        <v>-0.506002122699023</v>
      </c>
      <c r="H18" s="12">
        <f>Voltage!M18</f>
        <v>16110</v>
      </c>
      <c r="J18" s="12">
        <f>Voltage!N18</f>
        <v>19324</v>
      </c>
      <c r="K18" s="82">
        <f t="shared" si="39"/>
        <v>-5.9051141083999994</v>
      </c>
      <c r="L18" s="79">
        <f t="shared" si="31"/>
        <v>4.6169160000086862E-4</v>
      </c>
      <c r="M18" s="127">
        <f t="shared" si="1"/>
        <v>7.8178930494951675E-5</v>
      </c>
      <c r="N18" s="12">
        <f>Voltage!O18</f>
        <v>7709</v>
      </c>
      <c r="O18" s="82">
        <f t="shared" si="40"/>
        <v>-5.9051096821</v>
      </c>
      <c r="P18" s="106">
        <f t="shared" si="32"/>
        <v>4.6611790000028464E-4</v>
      </c>
      <c r="Q18" s="127">
        <f t="shared" si="33"/>
        <v>7.8928442506873687E-5</v>
      </c>
      <c r="R18" s="13">
        <f>'Range 0'!L18*1000</f>
        <v>-573.27784000000008</v>
      </c>
      <c r="S18" s="13">
        <f>'Range 0'!M18</f>
        <v>19090</v>
      </c>
      <c r="T18" s="85">
        <f t="shared" si="3"/>
        <v>-573.33356024998977</v>
      </c>
      <c r="U18" s="85">
        <f t="shared" si="4"/>
        <v>5.5720249989690274E-2</v>
      </c>
      <c r="V18" s="132">
        <f t="shared" si="5"/>
        <v>5.5720249989690273E-5</v>
      </c>
      <c r="W18" s="132">
        <f t="shared" si="6"/>
        <v>4.0122729957033701E-5</v>
      </c>
      <c r="X18" s="14">
        <f>'Range 1'!L18*1000</f>
        <v>-36.186371999999999</v>
      </c>
      <c r="Y18" s="14">
        <f>'Range 1'!M18</f>
        <v>19085</v>
      </c>
      <c r="Z18" s="94">
        <f t="shared" si="7"/>
        <v>-36.181065160477289</v>
      </c>
      <c r="AA18" s="101">
        <f t="shared" si="8"/>
        <v>5.3068395227100496E-3</v>
      </c>
      <c r="AB18" s="136">
        <f t="shared" si="9"/>
        <v>5.3068395227100498E-5</v>
      </c>
      <c r="AC18" s="136">
        <f t="shared" si="10"/>
        <v>1.1584452196863993E-4</v>
      </c>
      <c r="AD18" s="13">
        <f>'Range 2'!L18*1000</f>
        <v>-5.8354835000000005</v>
      </c>
      <c r="AE18" s="13">
        <f>'Range 2'!M18</f>
        <v>19084</v>
      </c>
      <c r="AF18" s="77">
        <f t="shared" si="11"/>
        <v>-5.8364476704359234</v>
      </c>
      <c r="AG18" s="85">
        <f t="shared" si="12"/>
        <v>9.6417043592289531E-4</v>
      </c>
      <c r="AH18" s="139">
        <f t="shared" si="13"/>
        <v>9.6417043592289536E-5</v>
      </c>
      <c r="AI18" s="139">
        <f t="shared" si="14"/>
        <v>1.4622936778163619E-5</v>
      </c>
      <c r="AJ18" s="14">
        <f>'Range 3'!L18*1000</f>
        <v>-0.58360000000000001</v>
      </c>
      <c r="AK18" s="14">
        <f>'Range 3'!M18</f>
        <v>19083</v>
      </c>
      <c r="AL18" s="94">
        <f t="shared" si="15"/>
        <v>-0.58372542970454089</v>
      </c>
      <c r="AM18" s="101">
        <f t="shared" si="16"/>
        <v>1.2542970454088032E-4</v>
      </c>
      <c r="AN18" s="136">
        <f t="shared" si="17"/>
        <v>1.2542970454088032E-4</v>
      </c>
      <c r="AO18" s="136">
        <f t="shared" si="18"/>
        <v>5.6197959809600739E-5</v>
      </c>
      <c r="AP18" s="13">
        <f>'Range 4'!L18*1000</f>
        <v>-5.8349999999999999E-2</v>
      </c>
      <c r="AQ18" s="13">
        <f>'Range 4'!M18</f>
        <v>19083</v>
      </c>
      <c r="AR18" s="77">
        <f t="shared" si="19"/>
        <v>-5.8373342903118061E-2</v>
      </c>
      <c r="AS18" s="85">
        <f t="shared" si="20"/>
        <v>2.3342903118062086E-5</v>
      </c>
      <c r="AT18" s="113">
        <f t="shared" si="34"/>
        <v>2.3342903118062086E-4</v>
      </c>
      <c r="AU18" s="113">
        <f t="shared" si="21"/>
        <v>1.4753207351399233E-4</v>
      </c>
      <c r="AV18" s="14">
        <f>'Range 5'!L18*1000</f>
        <v>-5.8390000000000004E-3</v>
      </c>
      <c r="AW18" s="14">
        <f>'Range 5'!M18</f>
        <v>19085</v>
      </c>
      <c r="AX18" s="94">
        <f t="shared" si="22"/>
        <v>-5.8427232946608194E-3</v>
      </c>
      <c r="AY18" s="101">
        <f t="shared" si="23"/>
        <v>3.7232946608189293E-6</v>
      </c>
      <c r="AZ18" s="109">
        <f t="shared" si="35"/>
        <v>3.7232946608189293E-6</v>
      </c>
      <c r="BA18" s="109">
        <f t="shared" si="24"/>
        <v>2.0266242736254395E-4</v>
      </c>
      <c r="BB18" s="13">
        <f>'Range 6'!L18*1000</f>
        <v>-5.8370000000000004E-4</v>
      </c>
      <c r="BC18" s="13">
        <f>'Range 6'!M18</f>
        <v>19083</v>
      </c>
      <c r="BD18" s="77">
        <f t="shared" si="25"/>
        <v>-5.8315982208646247E-4</v>
      </c>
      <c r="BE18" s="85">
        <f t="shared" si="26"/>
        <v>5.4017791353757217E-7</v>
      </c>
      <c r="BF18" s="113">
        <f t="shared" si="36"/>
        <v>5.4017791353757217E-7</v>
      </c>
      <c r="BG18" s="113">
        <f t="shared" si="27"/>
        <v>6.0320713173305125E-4</v>
      </c>
      <c r="BH18" s="14">
        <f>'Range 7'!L18*1000</f>
        <v>-5.6990000000000002E-5</v>
      </c>
      <c r="BI18" s="14">
        <f>'Range 7'!M18</f>
        <v>19082</v>
      </c>
      <c r="BJ18" s="94">
        <f t="shared" si="28"/>
        <v>-5.7862718503702081E-5</v>
      </c>
      <c r="BK18" s="101">
        <f t="shared" si="29"/>
        <v>8.7271850370207937E-7</v>
      </c>
      <c r="BL18" s="109">
        <f t="shared" si="37"/>
        <v>8.7271850370207937E-7</v>
      </c>
      <c r="BM18" s="109">
        <f t="shared" si="30"/>
        <v>8.9643518168419263E-3</v>
      </c>
    </row>
    <row r="19" spans="1:65" x14ac:dyDescent="0.25">
      <c r="A19" s="11">
        <v>18</v>
      </c>
      <c r="B19" s="11">
        <v>3500</v>
      </c>
      <c r="C19" s="11">
        <v>18900</v>
      </c>
      <c r="D19" s="11">
        <f>IF(Connect!G$1=Internal!A$2,Data!B19,Data!C19)</f>
        <v>18900</v>
      </c>
      <c r="E19" s="58">
        <v>18900</v>
      </c>
      <c r="F19" s="12">
        <f>Voltage!L19</f>
        <v>-6.8833469000000003</v>
      </c>
      <c r="G19" s="124">
        <f t="shared" si="41"/>
        <v>-0.10339176259321903</v>
      </c>
      <c r="H19" s="12">
        <f>Voltage!M19</f>
        <v>18777</v>
      </c>
      <c r="J19" s="12">
        <f>Voltage!N19</f>
        <v>22527</v>
      </c>
      <c r="K19" s="82">
        <f t="shared" si="39"/>
        <v>-6.8829791181999997</v>
      </c>
      <c r="L19" s="79">
        <f t="shared" si="31"/>
        <v>3.6778180000052174E-4</v>
      </c>
      <c r="M19" s="127">
        <f t="shared" si="1"/>
        <v>5.343066466699822E-5</v>
      </c>
      <c r="N19" s="12">
        <f>Voltage!O19</f>
        <v>8986</v>
      </c>
      <c r="O19" s="82">
        <f t="shared" si="40"/>
        <v>-6.8831255443999995</v>
      </c>
      <c r="P19" s="106">
        <f t="shared" si="32"/>
        <v>2.2135560000080545E-4</v>
      </c>
      <c r="Q19" s="127">
        <f t="shared" si="33"/>
        <v>3.2158135165438988E-5</v>
      </c>
      <c r="R19" s="13">
        <f>'Range 0'!L19*1000</f>
        <v>-668.3330400000001</v>
      </c>
      <c r="S19" s="13">
        <f>'Range 0'!M19</f>
        <v>22257</v>
      </c>
      <c r="T19" s="85">
        <f t="shared" si="3"/>
        <v>-668.43943310569114</v>
      </c>
      <c r="U19" s="85">
        <f t="shared" si="4"/>
        <v>0.10639310569104055</v>
      </c>
      <c r="V19" s="132">
        <f t="shared" si="5"/>
        <v>1.0639310569104055E-4</v>
      </c>
      <c r="W19" s="132">
        <f t="shared" si="6"/>
        <v>7.5421339499143867E-5</v>
      </c>
      <c r="X19" s="14">
        <f>'Range 1'!L19*1000</f>
        <v>-42.184694999999998</v>
      </c>
      <c r="Y19" s="14">
        <f>'Range 1'!M19</f>
        <v>22250</v>
      </c>
      <c r="Z19" s="94">
        <f t="shared" si="7"/>
        <v>-42.179698283585267</v>
      </c>
      <c r="AA19" s="101">
        <f t="shared" si="8"/>
        <v>4.9967164147304288E-3</v>
      </c>
      <c r="AB19" s="136">
        <f t="shared" si="9"/>
        <v>4.9967164147304288E-5</v>
      </c>
      <c r="AC19" s="136">
        <f t="shared" si="10"/>
        <v>1.4392097682041082E-4</v>
      </c>
      <c r="AD19" s="13">
        <f>'Range 2'!L19*1000</f>
        <v>-6.8031901999999995</v>
      </c>
      <c r="AE19" s="13">
        <f>'Range 2'!M19</f>
        <v>22250</v>
      </c>
      <c r="AF19" s="77">
        <f t="shared" si="11"/>
        <v>-6.8045552012129162</v>
      </c>
      <c r="AG19" s="85">
        <f t="shared" si="12"/>
        <v>1.3650012129167166E-3</v>
      </c>
      <c r="AH19" s="139">
        <f t="shared" si="13"/>
        <v>1.3650012129167165E-4</v>
      </c>
      <c r="AI19" s="139">
        <f t="shared" si="14"/>
        <v>6.0432534037158089E-5</v>
      </c>
      <c r="AJ19" s="14">
        <f>'Range 3'!L19*1000</f>
        <v>-0.6804</v>
      </c>
      <c r="AK19" s="14">
        <f>'Range 3'!M19</f>
        <v>22249</v>
      </c>
      <c r="AL19" s="94">
        <f t="shared" si="15"/>
        <v>-0.68054196528476274</v>
      </c>
      <c r="AM19" s="101">
        <f t="shared" si="16"/>
        <v>1.4196528476273507E-4</v>
      </c>
      <c r="AN19" s="136">
        <f t="shared" si="17"/>
        <v>1.4196528476273507E-4</v>
      </c>
      <c r="AO19" s="136">
        <f t="shared" si="18"/>
        <v>8.164057909598732E-6</v>
      </c>
      <c r="AP19" s="13">
        <f>'Range 4'!L19*1000</f>
        <v>-6.8029999999999993E-2</v>
      </c>
      <c r="AQ19" s="13">
        <f>'Range 4'!M19</f>
        <v>22249</v>
      </c>
      <c r="AR19" s="77">
        <f t="shared" si="19"/>
        <v>-6.8055357468203834E-2</v>
      </c>
      <c r="AS19" s="85">
        <f t="shared" si="20"/>
        <v>2.5357468203840439E-5</v>
      </c>
      <c r="AT19" s="113">
        <f t="shared" si="34"/>
        <v>2.5357468203840439E-4</v>
      </c>
      <c r="AU19" s="113">
        <f t="shared" si="21"/>
        <v>8.4001865939126175E-5</v>
      </c>
      <c r="AV19" s="14">
        <f>'Range 5'!L19*1000</f>
        <v>-6.8059999999999996E-3</v>
      </c>
      <c r="AW19" s="14">
        <f>'Range 5'!M19</f>
        <v>22250</v>
      </c>
      <c r="AX19" s="94">
        <f t="shared" si="22"/>
        <v>-6.8115611653433621E-3</v>
      </c>
      <c r="AY19" s="101">
        <f t="shared" si="23"/>
        <v>5.5611653433625466E-6</v>
      </c>
      <c r="AZ19" s="109">
        <f t="shared" si="35"/>
        <v>5.5611653433625466E-6</v>
      </c>
      <c r="BA19" s="109">
        <f t="shared" si="24"/>
        <v>3.2863531322126216E-4</v>
      </c>
      <c r="BB19" s="13">
        <f>'Range 6'!L19*1000</f>
        <v>-6.8050000000000001E-4</v>
      </c>
      <c r="BC19" s="13">
        <f>'Range 6'!M19</f>
        <v>22249</v>
      </c>
      <c r="BD19" s="77">
        <f t="shared" si="25"/>
        <v>-6.7990566506738221E-4</v>
      </c>
      <c r="BE19" s="85">
        <f t="shared" si="26"/>
        <v>5.9433493261780174E-7</v>
      </c>
      <c r="BF19" s="113">
        <f t="shared" si="36"/>
        <v>5.9433493261780174E-7</v>
      </c>
      <c r="BG19" s="113">
        <f t="shared" si="27"/>
        <v>7.3815154932605886E-4</v>
      </c>
      <c r="BH19" s="14">
        <f>'Range 7'!L19*1000</f>
        <v>-6.7889999999999989E-5</v>
      </c>
      <c r="BI19" s="14">
        <f>'Range 7'!M19</f>
        <v>22248</v>
      </c>
      <c r="BJ19" s="94">
        <f t="shared" si="28"/>
        <v>-6.749687988991873E-5</v>
      </c>
      <c r="BK19" s="101">
        <f t="shared" si="29"/>
        <v>3.931201100812584E-7</v>
      </c>
      <c r="BL19" s="109">
        <f t="shared" si="37"/>
        <v>3.931201100812584E-7</v>
      </c>
      <c r="BM19" s="109">
        <f t="shared" si="30"/>
        <v>3.7252633553966222E-3</v>
      </c>
    </row>
    <row r="20" spans="1:65" x14ac:dyDescent="0.25">
      <c r="A20" s="11">
        <v>19</v>
      </c>
      <c r="B20" s="11">
        <v>4000</v>
      </c>
      <c r="C20" s="11">
        <v>21600</v>
      </c>
      <c r="D20" s="11">
        <f>IF(Connect!G$1=Internal!A$2,Data!B20,Data!C20)</f>
        <v>21600</v>
      </c>
      <c r="E20" s="58">
        <v>21600</v>
      </c>
      <c r="F20" s="12">
        <f>Voltage!L20</f>
        <v>-7.8602223000000002</v>
      </c>
      <c r="G20" s="124">
        <f t="shared" si="41"/>
        <v>-0.59648140248746984</v>
      </c>
      <c r="H20" s="12">
        <f>Voltage!M20</f>
        <v>21442</v>
      </c>
      <c r="J20" s="12">
        <f>Voltage!N20</f>
        <v>25727</v>
      </c>
      <c r="K20" s="82">
        <f t="shared" si="39"/>
        <v>-7.8599282381999993</v>
      </c>
      <c r="L20" s="79">
        <f t="shared" si="31"/>
        <v>2.9406180000091098E-4</v>
      </c>
      <c r="M20" s="127">
        <f t="shared" si="1"/>
        <v>3.741138466286265E-5</v>
      </c>
      <c r="N20" s="12">
        <f>Voltage!O20</f>
        <v>10261</v>
      </c>
      <c r="O20" s="82">
        <f t="shared" si="40"/>
        <v>-7.8596096669</v>
      </c>
      <c r="P20" s="106">
        <f t="shared" si="32"/>
        <v>6.1263310000025939E-4</v>
      </c>
      <c r="Q20" s="127">
        <f t="shared" si="33"/>
        <v>7.7940938133551178E-5</v>
      </c>
      <c r="R20" s="13">
        <f>'Range 0'!L20*1000</f>
        <v>-763.28138000000001</v>
      </c>
      <c r="S20" s="13">
        <f>'Range 0'!M20</f>
        <v>25421</v>
      </c>
      <c r="T20" s="85">
        <f t="shared" si="3"/>
        <v>-763.45521514403617</v>
      </c>
      <c r="U20" s="85">
        <f t="shared" si="4"/>
        <v>0.17383514403616118</v>
      </c>
      <c r="V20" s="132">
        <f t="shared" si="5"/>
        <v>1.7383514403616118E-4</v>
      </c>
      <c r="W20" s="132">
        <f t="shared" si="6"/>
        <v>3.8599490412707384E-6</v>
      </c>
      <c r="X20" s="14">
        <f>'Range 1'!L20*1000</f>
        <v>-48.176139999999997</v>
      </c>
      <c r="Y20" s="14">
        <f>'Range 1'!M20</f>
        <v>25413</v>
      </c>
      <c r="Z20" s="94">
        <f t="shared" si="7"/>
        <v>-48.174540801244198</v>
      </c>
      <c r="AA20" s="101">
        <f t="shared" si="8"/>
        <v>1.5991987557981702E-3</v>
      </c>
      <c r="AB20" s="136">
        <f t="shared" si="9"/>
        <v>1.59919875579817E-5</v>
      </c>
      <c r="AC20" s="136">
        <f t="shared" si="10"/>
        <v>1.032174316721779E-4</v>
      </c>
      <c r="AD20" s="13">
        <f>'Range 2'!L20*1000</f>
        <v>-7.7700449999999996</v>
      </c>
      <c r="AE20" s="13">
        <f>'Range 2'!M20</f>
        <v>25412</v>
      </c>
      <c r="AF20" s="77">
        <f t="shared" si="11"/>
        <v>-7.7714396018183658</v>
      </c>
      <c r="AG20" s="85">
        <f t="shared" si="12"/>
        <v>1.3946018183661479E-3</v>
      </c>
      <c r="AH20" s="139">
        <f t="shared" si="13"/>
        <v>1.394601818366148E-4</v>
      </c>
      <c r="AI20" s="139">
        <f t="shared" si="14"/>
        <v>2.1052131296350753E-5</v>
      </c>
      <c r="AJ20" s="14">
        <f>'Range 3'!L20*1000</f>
        <v>-0.77710000000000001</v>
      </c>
      <c r="AK20" s="14">
        <f>'Range 3'!M20</f>
        <v>25411</v>
      </c>
      <c r="AL20" s="94">
        <f t="shared" si="15"/>
        <v>-0.77723618054207866</v>
      </c>
      <c r="AM20" s="101">
        <f t="shared" si="16"/>
        <v>1.3618054207864549E-4</v>
      </c>
      <c r="AN20" s="136">
        <f t="shared" si="17"/>
        <v>1.3618054207864549E-4</v>
      </c>
      <c r="AO20" s="136">
        <f t="shared" si="18"/>
        <v>2.7473924371301806E-5</v>
      </c>
      <c r="AP20" s="13">
        <f>'Range 4'!L20*1000</f>
        <v>-7.7700000000000005E-2</v>
      </c>
      <c r="AQ20" s="13">
        <f>'Range 4'!M20</f>
        <v>25411</v>
      </c>
      <c r="AR20" s="77">
        <f t="shared" si="19"/>
        <v>-7.7725139544894045E-2</v>
      </c>
      <c r="AS20" s="85">
        <f t="shared" si="20"/>
        <v>2.5139544894040022E-5</v>
      </c>
      <c r="AT20" s="113">
        <f t="shared" si="34"/>
        <v>2.5139544894040022E-4</v>
      </c>
      <c r="AU20" s="113">
        <f t="shared" si="21"/>
        <v>1.2047165836401308E-4</v>
      </c>
      <c r="AV20" s="14">
        <f>'Range 5'!L20*1000</f>
        <v>-7.7740000000000005E-3</v>
      </c>
      <c r="AW20" s="14">
        <f>'Range 5'!M20</f>
        <v>25413</v>
      </c>
      <c r="AX20" s="94">
        <f t="shared" si="22"/>
        <v>-7.7797868162024081E-3</v>
      </c>
      <c r="AY20" s="101">
        <f t="shared" si="23"/>
        <v>5.7868162024075562E-6</v>
      </c>
      <c r="AZ20" s="109">
        <f t="shared" si="35"/>
        <v>5.7868162024075562E-6</v>
      </c>
      <c r="BA20" s="109">
        <f t="shared" si="24"/>
        <v>3.5460819907988037E-4</v>
      </c>
      <c r="BB20" s="13">
        <f>'Range 6'!L20*1000</f>
        <v>-7.7729999999999997E-4</v>
      </c>
      <c r="BC20" s="13">
        <f>'Range 6'!M20</f>
        <v>25411</v>
      </c>
      <c r="BD20" s="77">
        <f t="shared" si="25"/>
        <v>-7.765292770401137E-4</v>
      </c>
      <c r="BE20" s="85">
        <f t="shared" si="26"/>
        <v>7.7072295988627349E-7</v>
      </c>
      <c r="BF20" s="113">
        <f t="shared" si="36"/>
        <v>7.7072295988627349E-7</v>
      </c>
      <c r="BG20" s="113">
        <f t="shared" si="27"/>
        <v>8.7309596691906646E-4</v>
      </c>
      <c r="BH20" s="14">
        <f>'Range 7'!L20*1000</f>
        <v>-7.771E-5</v>
      </c>
      <c r="BI20" s="14">
        <f>'Range 7'!M20</f>
        <v>25410</v>
      </c>
      <c r="BJ20" s="94">
        <f t="shared" si="28"/>
        <v>-7.7118869246588679E-5</v>
      </c>
      <c r="BK20" s="101">
        <f t="shared" si="29"/>
        <v>5.9113075341132111E-7</v>
      </c>
      <c r="BL20" s="109">
        <f t="shared" si="37"/>
        <v>5.9113075341132111E-7</v>
      </c>
      <c r="BM20" s="109">
        <f t="shared" si="30"/>
        <v>5.6148785276354087E-3</v>
      </c>
    </row>
    <row r="21" spans="1:65" x14ac:dyDescent="0.25">
      <c r="A21" s="11">
        <v>20</v>
      </c>
      <c r="B21" s="11">
        <v>4500</v>
      </c>
      <c r="C21" s="11">
        <v>24300</v>
      </c>
      <c r="D21" s="11">
        <f>IF(Connect!G$1=Internal!A$2,Data!B21,Data!C21)</f>
        <v>24300</v>
      </c>
      <c r="E21" s="58">
        <v>24300</v>
      </c>
      <c r="F21" s="12">
        <f>Voltage!L21</f>
        <v>-8.8377996999999997</v>
      </c>
      <c r="G21" s="124">
        <f t="shared" si="41"/>
        <v>-0.38757104238129614</v>
      </c>
      <c r="H21" s="12">
        <f>Voltage!M21</f>
        <v>24109</v>
      </c>
      <c r="J21" s="12">
        <f>Voltage!N21</f>
        <v>28928</v>
      </c>
      <c r="K21" s="82">
        <f t="shared" si="39"/>
        <v>-8.8371826547999994</v>
      </c>
      <c r="L21" s="79">
        <f t="shared" si="31"/>
        <v>6.1704520000027685E-4</v>
      </c>
      <c r="M21" s="127">
        <f t="shared" si="1"/>
        <v>6.9818871319325882E-5</v>
      </c>
      <c r="N21" s="12">
        <f>Voltage!O21</f>
        <v>11538</v>
      </c>
      <c r="O21" s="82">
        <f t="shared" si="40"/>
        <v>-8.8376255292000003</v>
      </c>
      <c r="P21" s="106">
        <f t="shared" si="32"/>
        <v>1.7417079999937357E-4</v>
      </c>
      <c r="Q21" s="127">
        <f t="shared" si="33"/>
        <v>1.9707484431829065E-5</v>
      </c>
      <c r="R21" s="13">
        <f>'Range 0'!L21*1000</f>
        <v>-858.29082000000005</v>
      </c>
      <c r="S21" s="13">
        <f>'Range 0'!M21</f>
        <v>28585</v>
      </c>
      <c r="T21" s="85">
        <f t="shared" si="3"/>
        <v>-858.47099718238132</v>
      </c>
      <c r="U21" s="85">
        <f t="shared" si="4"/>
        <v>0.18017718238127145</v>
      </c>
      <c r="V21" s="132">
        <f t="shared" si="5"/>
        <v>1.8017718238127144E-4</v>
      </c>
      <c r="W21" s="132">
        <f t="shared" si="6"/>
        <v>6.6014414165920247E-6</v>
      </c>
      <c r="X21" s="14">
        <f>'Range 1'!L21*1000</f>
        <v>-54.170146000000003</v>
      </c>
      <c r="Y21" s="14">
        <f>'Range 1'!M21</f>
        <v>28577</v>
      </c>
      <c r="Z21" s="94">
        <f t="shared" si="7"/>
        <v>-54.171278621627643</v>
      </c>
      <c r="AA21" s="101">
        <f t="shared" si="8"/>
        <v>1.1326216276401624E-3</v>
      </c>
      <c r="AB21" s="136">
        <f t="shared" si="9"/>
        <v>1.1326216276401623E-5</v>
      </c>
      <c r="AC21" s="136">
        <f t="shared" si="10"/>
        <v>8.812388652401637E-5</v>
      </c>
      <c r="AD21" s="13">
        <f>'Range 2'!L21*1000</f>
        <v>-8.7375413000000002</v>
      </c>
      <c r="AE21" s="13">
        <f>'Range 2'!M21</f>
        <v>28577</v>
      </c>
      <c r="AF21" s="77">
        <f t="shared" si="11"/>
        <v>-8.7392413500524722</v>
      </c>
      <c r="AG21" s="85">
        <f t="shared" si="12"/>
        <v>1.7000500524719797E-3</v>
      </c>
      <c r="AH21" s="139">
        <f t="shared" si="13"/>
        <v>1.7000500524719798E-4</v>
      </c>
      <c r="AI21" s="139">
        <f t="shared" si="14"/>
        <v>4.5821728555495156E-5</v>
      </c>
      <c r="AJ21" s="14">
        <f>'Range 3'!L21*1000</f>
        <v>-0.87380000000000002</v>
      </c>
      <c r="AK21" s="14">
        <f>'Range 3'!M21</f>
        <v>28575</v>
      </c>
      <c r="AL21" s="94">
        <f t="shared" si="15"/>
        <v>-0.87399155596084754</v>
      </c>
      <c r="AM21" s="101">
        <f t="shared" si="16"/>
        <v>1.9155596084752258E-4</v>
      </c>
      <c r="AN21" s="136">
        <f t="shared" si="17"/>
        <v>1.9155596084752258E-4</v>
      </c>
      <c r="AO21" s="136">
        <f t="shared" si="18"/>
        <v>6.3111906652202343E-5</v>
      </c>
      <c r="AP21" s="13">
        <f>'Range 4'!L21*1000</f>
        <v>-8.7370000000000003E-2</v>
      </c>
      <c r="AQ21" s="13">
        <f>'Range 4'!M21</f>
        <v>28575</v>
      </c>
      <c r="AR21" s="77">
        <f t="shared" si="19"/>
        <v>-8.740103786578203E-2</v>
      </c>
      <c r="AS21" s="85">
        <f t="shared" si="20"/>
        <v>3.1037865782027052E-5</v>
      </c>
      <c r="AT21" s="113">
        <f t="shared" si="34"/>
        <v>3.1037865782027052E-4</v>
      </c>
      <c r="AU21" s="113">
        <f t="shared" si="21"/>
        <v>1.5694145078903876E-4</v>
      </c>
      <c r="AV21" s="14">
        <f>'Range 5'!L21*1000</f>
        <v>-8.7419999999999998E-3</v>
      </c>
      <c r="AW21" s="14">
        <f>'Range 5'!M21</f>
        <v>28577</v>
      </c>
      <c r="AX21" s="94">
        <f t="shared" si="22"/>
        <v>-8.7483185769732033E-3</v>
      </c>
      <c r="AY21" s="101">
        <f t="shared" si="23"/>
        <v>6.3185769732035379E-6</v>
      </c>
      <c r="AZ21" s="109">
        <f t="shared" si="35"/>
        <v>6.3185769732035379E-6</v>
      </c>
      <c r="BA21" s="109">
        <f t="shared" si="24"/>
        <v>3.8058108493867204E-4</v>
      </c>
      <c r="BB21" s="13">
        <f>'Range 6'!L21*1000</f>
        <v>-8.7410000000000005E-4</v>
      </c>
      <c r="BC21" s="13">
        <f>'Range 6'!M21</f>
        <v>28576</v>
      </c>
      <c r="BD21" s="77">
        <f t="shared" si="25"/>
        <v>-8.7324456226898649E-4</v>
      </c>
      <c r="BE21" s="85">
        <f t="shared" si="26"/>
        <v>8.5543773101356361E-7</v>
      </c>
      <c r="BF21" s="113">
        <f t="shared" si="36"/>
        <v>8.5543773101356361E-7</v>
      </c>
      <c r="BG21" s="113">
        <f t="shared" si="27"/>
        <v>1.0080403845121825E-3</v>
      </c>
      <c r="BH21" s="14">
        <f>'Range 7'!L21*1000</f>
        <v>-8.6139999999999999E-5</v>
      </c>
      <c r="BI21" s="14">
        <f>'Range 7'!M21</f>
        <v>28575</v>
      </c>
      <c r="BJ21" s="94">
        <f t="shared" si="28"/>
        <v>-8.6749987625418654E-5</v>
      </c>
      <c r="BK21" s="101">
        <f t="shared" si="29"/>
        <v>6.0998762541865576E-7</v>
      </c>
      <c r="BL21" s="109">
        <f t="shared" si="37"/>
        <v>6.0998762541865576E-7</v>
      </c>
      <c r="BM21" s="109">
        <f t="shared" si="30"/>
        <v>6.3955063001259246E-3</v>
      </c>
    </row>
    <row r="22" spans="1:65" s="26" customFormat="1" x14ac:dyDescent="0.25">
      <c r="A22" s="22">
        <v>21</v>
      </c>
      <c r="B22" s="22">
        <v>5000</v>
      </c>
      <c r="C22" s="22">
        <v>27000</v>
      </c>
      <c r="D22" s="22">
        <f>IF(Connect!G$1=Internal!A$2,Data!B22,Data!C22)</f>
        <v>27000</v>
      </c>
      <c r="E22" s="60">
        <v>27000</v>
      </c>
      <c r="F22" s="23">
        <f>Voltage!L22</f>
        <v>-9.8152307000000008</v>
      </c>
      <c r="G22" s="126">
        <f t="shared" si="41"/>
        <v>-0.32506068227533547</v>
      </c>
      <c r="H22" s="23">
        <f>Voltage!M22</f>
        <v>26776</v>
      </c>
      <c r="I22" s="23"/>
      <c r="J22" s="23">
        <f>Voltage!N22</f>
        <v>32129</v>
      </c>
      <c r="K22" s="84">
        <f t="shared" si="39"/>
        <v>-9.8144370713999987</v>
      </c>
      <c r="L22" s="81">
        <f t="shared" si="31"/>
        <v>7.9362860000209423E-4</v>
      </c>
      <c r="M22" s="129">
        <f t="shared" si="1"/>
        <v>8.0856846289114145E-5</v>
      </c>
      <c r="N22" s="23">
        <f>Voltage!O22</f>
        <v>12814</v>
      </c>
      <c r="O22" s="84">
        <f t="shared" si="40"/>
        <v>-9.8148755215999994</v>
      </c>
      <c r="P22" s="108">
        <f t="shared" si="32"/>
        <v>3.5517840000132139E-4</v>
      </c>
      <c r="Q22" s="129">
        <f t="shared" si="33"/>
        <v>3.6186454588512255E-5</v>
      </c>
      <c r="R22" s="24">
        <f>'Range 0'!L22*1000</f>
        <v>-953.26</v>
      </c>
      <c r="S22" s="24">
        <f>'Range 0'!M22</f>
        <v>31751</v>
      </c>
      <c r="T22" s="87">
        <f t="shared" si="3"/>
        <v>-953.54683976563058</v>
      </c>
      <c r="U22" s="87">
        <f t="shared" si="4"/>
        <v>0.28683976563058877</v>
      </c>
      <c r="V22" s="133">
        <f t="shared" si="5"/>
        <v>2.8683976563058876E-4</v>
      </c>
      <c r="W22" s="133">
        <f t="shared" si="6"/>
        <v>5.7322831874557775E-5</v>
      </c>
      <c r="X22" s="25">
        <f>'Range 1'!L22*1000</f>
        <v>-60.160975999999998</v>
      </c>
      <c r="Y22" s="25">
        <f>'Range 1'!M22</f>
        <v>31741</v>
      </c>
      <c r="Z22" s="96">
        <f t="shared" si="7"/>
        <v>-60.168016442011094</v>
      </c>
      <c r="AA22" s="103">
        <f t="shared" si="8"/>
        <v>7.0404420110961041E-3</v>
      </c>
      <c r="AB22" s="138">
        <f t="shared" si="9"/>
        <v>7.0404420110961046E-5</v>
      </c>
      <c r="AC22" s="138">
        <f t="shared" si="10"/>
        <v>4.1270341375749808E-5</v>
      </c>
      <c r="AD22" s="24">
        <f>'Range 2'!L22*1000</f>
        <v>-9.7048290000000001</v>
      </c>
      <c r="AE22" s="24">
        <f>'Range 2'!M22</f>
        <v>31740</v>
      </c>
      <c r="AF22" s="91">
        <f t="shared" si="11"/>
        <v>-9.7064315332008082</v>
      </c>
      <c r="AG22" s="87">
        <f t="shared" si="12"/>
        <v>1.6025332008080539E-3</v>
      </c>
      <c r="AH22" s="141">
        <f t="shared" si="13"/>
        <v>1.6025332008080541E-4</v>
      </c>
      <c r="AI22" s="141">
        <f t="shared" si="14"/>
        <v>4.9731325814761362E-5</v>
      </c>
      <c r="AJ22" s="25">
        <f>'Range 3'!L22*1000</f>
        <v>-0.97059999999999991</v>
      </c>
      <c r="AK22" s="25">
        <f>'Range 3'!M22</f>
        <v>31739</v>
      </c>
      <c r="AL22" s="96">
        <f t="shared" si="15"/>
        <v>-0.97074693137961654</v>
      </c>
      <c r="AM22" s="103">
        <f t="shared" si="16"/>
        <v>1.4693137961663272E-4</v>
      </c>
      <c r="AN22" s="138">
        <f t="shared" si="17"/>
        <v>1.4693137961663272E-4</v>
      </c>
      <c r="AO22" s="138">
        <f t="shared" si="18"/>
        <v>1.2501110667750837E-6</v>
      </c>
      <c r="AP22" s="24">
        <f>'Range 4'!L22*1000</f>
        <v>-9.7040000000000001E-2</v>
      </c>
      <c r="AQ22" s="24">
        <f>'Range 4'!M22</f>
        <v>31738</v>
      </c>
      <c r="AR22" s="91">
        <f t="shared" si="19"/>
        <v>-9.7073878064571129E-2</v>
      </c>
      <c r="AS22" s="87">
        <f t="shared" si="20"/>
        <v>3.3878064571127298E-5</v>
      </c>
      <c r="AT22" s="115">
        <f t="shared" si="34"/>
        <v>3.3878064571127298E-4</v>
      </c>
      <c r="AU22" s="115">
        <f t="shared" si="21"/>
        <v>1.9341124321406444E-4</v>
      </c>
      <c r="AV22" s="25">
        <f>'Range 5'!L22*1000</f>
        <v>-9.7089999999999989E-3</v>
      </c>
      <c r="AW22" s="25">
        <f>'Range 5'!M22</f>
        <v>31740</v>
      </c>
      <c r="AX22" s="96">
        <f t="shared" si="22"/>
        <v>-9.7165442278322502E-3</v>
      </c>
      <c r="AY22" s="103">
        <f t="shared" si="23"/>
        <v>7.5442278322512824E-6</v>
      </c>
      <c r="AZ22" s="111">
        <f t="shared" si="35"/>
        <v>7.5442278322512824E-6</v>
      </c>
      <c r="BA22" s="111">
        <f t="shared" si="24"/>
        <v>5.0655397079730352E-4</v>
      </c>
      <c r="BB22" s="24">
        <f>'Range 6'!L22*1000</f>
        <v>-9.7100000000000007E-4</v>
      </c>
      <c r="BC22" s="24">
        <f>'Range 6'!M22</f>
        <v>31739</v>
      </c>
      <c r="BD22" s="91">
        <f t="shared" si="25"/>
        <v>-9.6989873199376493E-4</v>
      </c>
      <c r="BE22" s="87">
        <f t="shared" si="26"/>
        <v>1.1012680062351399E-6</v>
      </c>
      <c r="BF22" s="115">
        <f t="shared" si="36"/>
        <v>1.1012680062351399E-6</v>
      </c>
      <c r="BG22" s="115">
        <f t="shared" si="27"/>
        <v>1.2429848021052467E-3</v>
      </c>
      <c r="BH22" s="25">
        <f>'Range 7'!L22*1000</f>
        <v>-9.7E-5</v>
      </c>
      <c r="BI22" s="25">
        <f>'Range 7'!M22</f>
        <v>31738</v>
      </c>
      <c r="BJ22" s="96">
        <f t="shared" si="28"/>
        <v>-9.6375019989475283E-5</v>
      </c>
      <c r="BK22" s="103">
        <f t="shared" si="29"/>
        <v>6.2498001052471665E-7</v>
      </c>
      <c r="BL22" s="111">
        <f t="shared" si="37"/>
        <v>6.2498001052471665E-7</v>
      </c>
      <c r="BM22" s="111">
        <f t="shared" si="30"/>
        <v>5.8941088721126272E-3</v>
      </c>
    </row>
    <row r="23" spans="1:65" s="30" customFormat="1" x14ac:dyDescent="0.25">
      <c r="A23" s="11"/>
      <c r="B23" s="11"/>
      <c r="C23" s="54"/>
      <c r="D23" s="54"/>
      <c r="E23" s="54"/>
      <c r="F23" s="27" t="str">
        <f>Voltage!B1</f>
        <v>hp34401a</v>
      </c>
      <c r="G23" s="27"/>
      <c r="H23" s="27"/>
      <c r="I23" s="27"/>
      <c r="J23" s="27"/>
      <c r="K23" s="27"/>
      <c r="L23" s="67"/>
      <c r="M23" s="67"/>
      <c r="N23" s="27"/>
      <c r="O23" s="67"/>
      <c r="P23" s="27"/>
      <c r="Q23" s="27"/>
      <c r="R23" s="28" t="str">
        <f>'Range 0'!B1</f>
        <v>hp34401a</v>
      </c>
      <c r="S23" s="28"/>
      <c r="T23" s="74"/>
      <c r="U23" s="74"/>
      <c r="V23" s="74"/>
      <c r="W23" s="74"/>
      <c r="X23" s="29" t="str">
        <f>'Range 1'!B1</f>
        <v>hp34401a</v>
      </c>
      <c r="Y23" s="29"/>
      <c r="Z23" s="97"/>
      <c r="AA23" s="97"/>
      <c r="AB23" s="97"/>
      <c r="AC23" s="97"/>
      <c r="AD23" s="28" t="str">
        <f>'Range 2'!$B$1</f>
        <v>hp34401a</v>
      </c>
      <c r="AE23" s="28"/>
      <c r="AF23" s="74"/>
      <c r="AG23" s="74"/>
      <c r="AH23" s="74"/>
      <c r="AI23" s="74"/>
      <c r="AJ23" s="29" t="str">
        <f>'Range 3'!$B$1</f>
        <v>keithley485</v>
      </c>
      <c r="AK23" s="29"/>
      <c r="AL23" s="97"/>
      <c r="AM23" s="97"/>
      <c r="AN23" s="97"/>
      <c r="AO23" s="97"/>
      <c r="AP23" s="28" t="str">
        <f>'Range 4'!$B$1</f>
        <v>keithley485</v>
      </c>
      <c r="AQ23" s="28"/>
      <c r="AR23" s="74"/>
      <c r="AS23" s="28"/>
      <c r="AT23" s="28"/>
      <c r="AU23" s="28"/>
      <c r="AV23" s="29" t="str">
        <f>'Range 5'!$B$1</f>
        <v>keithley485</v>
      </c>
      <c r="AW23" s="29"/>
      <c r="AX23" s="97"/>
      <c r="AY23" s="97"/>
      <c r="AZ23" s="97"/>
      <c r="BA23" s="97"/>
      <c r="BB23" s="28" t="str">
        <f>'Range 6'!$B$1</f>
        <v>keithley485</v>
      </c>
      <c r="BC23" s="28"/>
      <c r="BD23" s="74"/>
      <c r="BE23" s="74"/>
      <c r="BF23" s="74"/>
      <c r="BG23" s="74"/>
      <c r="BH23" s="29" t="str">
        <f>'Range 7'!$B$1</f>
        <v>keithley485</v>
      </c>
      <c r="BI23" s="29"/>
      <c r="BJ23" s="97"/>
      <c r="BK23" s="97"/>
      <c r="BL23" s="97"/>
      <c r="BM23" s="97"/>
    </row>
    <row r="24" spans="1:65" s="30" customFormat="1" x14ac:dyDescent="0.25">
      <c r="A24" s="11"/>
      <c r="B24" s="11"/>
      <c r="C24" s="54"/>
      <c r="D24" s="54"/>
      <c r="E24" s="54"/>
      <c r="F24" s="27"/>
      <c r="G24" s="27"/>
      <c r="H24" s="27"/>
      <c r="I24" s="27"/>
      <c r="J24" s="27"/>
      <c r="K24" s="27"/>
      <c r="L24" s="67"/>
      <c r="M24" s="67"/>
      <c r="N24" s="27"/>
      <c r="O24" s="67"/>
      <c r="P24" s="27"/>
      <c r="Q24" s="27"/>
      <c r="R24" s="28"/>
      <c r="S24" s="28"/>
      <c r="T24" s="74"/>
      <c r="U24" s="74"/>
      <c r="V24" s="74"/>
      <c r="W24" s="74"/>
      <c r="X24" s="29"/>
      <c r="Y24" s="29"/>
      <c r="Z24" s="97"/>
      <c r="AA24" s="97"/>
      <c r="AB24" s="97"/>
      <c r="AC24" s="97"/>
      <c r="AD24" s="28"/>
      <c r="AE24" s="28"/>
      <c r="AF24" s="74"/>
      <c r="AG24" s="74"/>
      <c r="AH24" s="74"/>
      <c r="AI24" s="74"/>
      <c r="AJ24" s="29"/>
      <c r="AK24" s="29"/>
      <c r="AL24" s="97"/>
      <c r="AM24" s="97"/>
      <c r="AN24" s="97"/>
      <c r="AO24" s="97"/>
      <c r="AP24" s="28"/>
      <c r="AQ24" s="28"/>
      <c r="AR24" s="74"/>
      <c r="AS24" s="28"/>
      <c r="AT24" s="28"/>
      <c r="AU24" s="28"/>
      <c r="AV24" s="29"/>
      <c r="AW24" s="29"/>
      <c r="AX24" s="97"/>
      <c r="AY24" s="97"/>
      <c r="AZ24" s="97"/>
      <c r="BA24" s="97"/>
      <c r="BB24" s="28"/>
      <c r="BC24" s="28"/>
      <c r="BD24" s="74"/>
      <c r="BE24" s="74"/>
      <c r="BF24" s="74"/>
      <c r="BG24" s="74"/>
      <c r="BH24" s="29"/>
      <c r="BI24" s="29"/>
      <c r="BJ24" s="97"/>
      <c r="BK24" s="97"/>
      <c r="BL24" s="97"/>
      <c r="BM24" s="97"/>
    </row>
    <row r="25" spans="1:65" s="35" customFormat="1" x14ac:dyDescent="0.25">
      <c r="A25" s="31"/>
      <c r="B25" s="31"/>
      <c r="C25" s="55"/>
      <c r="D25" s="55"/>
      <c r="E25" s="55"/>
      <c r="F25" s="32" t="s">
        <v>26</v>
      </c>
      <c r="G25" s="118" t="s">
        <v>26</v>
      </c>
      <c r="H25" s="32" t="s">
        <v>35</v>
      </c>
      <c r="I25" s="68" t="s">
        <v>35</v>
      </c>
      <c r="J25" s="32" t="s">
        <v>38</v>
      </c>
      <c r="K25" s="68" t="s">
        <v>38</v>
      </c>
      <c r="L25" s="32"/>
      <c r="M25" s="32"/>
      <c r="N25" s="32" t="s">
        <v>41</v>
      </c>
      <c r="O25" s="68" t="s">
        <v>41</v>
      </c>
      <c r="P25" s="32"/>
      <c r="Q25" s="32"/>
      <c r="R25" s="33" t="s">
        <v>29</v>
      </c>
      <c r="S25" s="121" t="s">
        <v>29</v>
      </c>
      <c r="T25" s="33" t="s">
        <v>44</v>
      </c>
      <c r="U25" s="75" t="s">
        <v>44</v>
      </c>
      <c r="V25" s="75"/>
      <c r="W25" s="75"/>
      <c r="X25" s="34" t="s">
        <v>29</v>
      </c>
      <c r="Y25" s="98" t="s">
        <v>29</v>
      </c>
      <c r="Z25" s="34" t="s">
        <v>44</v>
      </c>
      <c r="AA25" s="98" t="s">
        <v>44</v>
      </c>
      <c r="AB25" s="98"/>
      <c r="AC25" s="98"/>
      <c r="AD25" s="33" t="s">
        <v>29</v>
      </c>
      <c r="AE25" s="75" t="s">
        <v>29</v>
      </c>
      <c r="AF25" s="33" t="s">
        <v>44</v>
      </c>
      <c r="AG25" s="75" t="s">
        <v>44</v>
      </c>
      <c r="AH25" s="75"/>
      <c r="AI25" s="75"/>
      <c r="AJ25" s="34" t="s">
        <v>29</v>
      </c>
      <c r="AK25" s="98" t="s">
        <v>29</v>
      </c>
      <c r="AL25" s="34" t="s">
        <v>44</v>
      </c>
      <c r="AM25" s="98" t="s">
        <v>44</v>
      </c>
      <c r="AN25" s="98"/>
      <c r="AO25" s="98"/>
      <c r="AP25" s="33" t="s">
        <v>29</v>
      </c>
      <c r="AQ25" s="147" t="s">
        <v>29</v>
      </c>
      <c r="AR25" s="33" t="s">
        <v>44</v>
      </c>
      <c r="AS25" s="75" t="s">
        <v>44</v>
      </c>
      <c r="AT25" s="33"/>
      <c r="AU25" s="33"/>
      <c r="AV25" s="34" t="s">
        <v>29</v>
      </c>
      <c r="AW25" s="147" t="s">
        <v>29</v>
      </c>
      <c r="AX25" s="34" t="s">
        <v>44</v>
      </c>
      <c r="AY25" s="98" t="s">
        <v>44</v>
      </c>
      <c r="AZ25" s="98"/>
      <c r="BA25" s="98"/>
      <c r="BB25" s="33" t="s">
        <v>29</v>
      </c>
      <c r="BC25" s="147" t="s">
        <v>29</v>
      </c>
      <c r="BD25" s="33" t="s">
        <v>44</v>
      </c>
      <c r="BE25" s="75" t="s">
        <v>44</v>
      </c>
      <c r="BF25" s="75"/>
      <c r="BG25" s="75"/>
      <c r="BH25" s="34" t="s">
        <v>29</v>
      </c>
      <c r="BI25" s="147" t="s">
        <v>29</v>
      </c>
      <c r="BJ25" s="34" t="s">
        <v>44</v>
      </c>
      <c r="BK25" s="98" t="s">
        <v>44</v>
      </c>
      <c r="BL25" s="98"/>
      <c r="BM25" s="98"/>
    </row>
    <row r="26" spans="1:65" s="30" customFormat="1" x14ac:dyDescent="0.25">
      <c r="A26" s="11"/>
      <c r="B26" s="11"/>
      <c r="C26" s="54"/>
      <c r="D26" s="54"/>
      <c r="E26" s="54"/>
      <c r="F26" s="27">
        <f>SLOPE($E2:$E12,F2:F12)</f>
        <v>-2762.6968752353414</v>
      </c>
      <c r="G26" s="119">
        <f>Calibrate!C10</f>
        <v>-2762.6970000000001</v>
      </c>
      <c r="H26" s="27">
        <f>SLOPE($F2:$F12,H2:H12)/Vgain</f>
        <v>-3.6655136294095876E-4</v>
      </c>
      <c r="I26" s="67">
        <f>Calibrate!C13</f>
        <v>-3.6655139999999998E-4</v>
      </c>
      <c r="J26" s="27">
        <f>SLOPE($F2:$F12,J2:J12)/Vgain</f>
        <v>-3.0536732239694656E-4</v>
      </c>
      <c r="K26" s="67">
        <f>Calibrate!C16</f>
        <v>-3.0536730000000001E-4</v>
      </c>
      <c r="L26" s="27"/>
      <c r="M26" s="27"/>
      <c r="N26" s="27">
        <f>SLOPE($F2:$F12,N2:N12)/Vgain</f>
        <v>-7.6592463168086774E-4</v>
      </c>
      <c r="O26" s="67">
        <f>Calibrate!C19</f>
        <v>-7.6592459999999995E-4</v>
      </c>
      <c r="P26" s="27"/>
      <c r="Q26" s="27"/>
      <c r="R26" s="28">
        <f>SLOPE($D2:$D12,R2:R12)</f>
        <v>-28.415104560192507</v>
      </c>
      <c r="S26" s="122">
        <f>Calibrate!C53</f>
        <v>-28.415099999999999</v>
      </c>
      <c r="T26" s="144">
        <f>SLOPE(R2:R12,S2:S12)*Igain</f>
        <v>-0.29760001211530213</v>
      </c>
      <c r="U26" s="74">
        <f>Calibrate!C29</f>
        <v>-0.29759999999999998</v>
      </c>
      <c r="V26" s="74"/>
      <c r="W26" s="74"/>
      <c r="X26" s="29">
        <f>SLOPE($D2:$D12,X2:X12)</f>
        <v>-450.33662789321386</v>
      </c>
      <c r="Y26" s="97">
        <f>Calibrate!C54</f>
        <v>-450.33659999999998</v>
      </c>
      <c r="Z26" s="145">
        <f>SLOPE(X2:X12,Y2:Y12)*Igain</f>
        <v>-1.8782451181035862E-2</v>
      </c>
      <c r="AA26" s="97">
        <f>Calibrate!C30</f>
        <v>-1.8782449999999999E-2</v>
      </c>
      <c r="AB26" s="97"/>
      <c r="AC26" s="97"/>
      <c r="AD26" s="28">
        <f>SLOPE($D2:$D12,AD2:AD12)</f>
        <v>-2791.4229597738708</v>
      </c>
      <c r="AE26" s="74">
        <f>Calibrate!C55</f>
        <v>-2791.4229999999998</v>
      </c>
      <c r="AF26" s="144">
        <f>SLOPE(AD2:AD12,AE2:AE12)*Igain</f>
        <v>-3.0303051492499206E-3</v>
      </c>
      <c r="AG26" s="74">
        <f>Calibrate!C31</f>
        <v>-3.0303050000000001E-3</v>
      </c>
      <c r="AH26" s="74"/>
      <c r="AI26" s="74"/>
      <c r="AJ26" s="29">
        <f>SLOPE($D2:$D12,AJ2:AJ12)</f>
        <v>-27911.120076569499</v>
      </c>
      <c r="AK26" s="97">
        <f>Calibrate!C56</f>
        <v>-27911.119999999999</v>
      </c>
      <c r="AL26" s="145">
        <f>SLOPE(AJ2:AJ12,AK2:AK12)*Igain</f>
        <v>-3.030485936183404E-4</v>
      </c>
      <c r="AM26" s="97">
        <f>Calibrate!C32</f>
        <v>-3.0304859999999998E-4</v>
      </c>
      <c r="AN26" s="97"/>
      <c r="AO26" s="97"/>
      <c r="AP26" s="28">
        <f>SLOPE($D2:$D12,AP2:AP12)</f>
        <v>-279108.83623091481</v>
      </c>
      <c r="AQ26" s="148">
        <f>Calibrate!C57</f>
        <v>-279108.8</v>
      </c>
      <c r="AR26" s="144">
        <f>SLOPE(AP2:AP12,AQ2:AQ12)*Igain</f>
        <v>-3.030598676196205E-5</v>
      </c>
      <c r="AS26" s="74">
        <f>Calibrate!C33</f>
        <v>-3.030599E-5</v>
      </c>
      <c r="AT26" s="28"/>
      <c r="AU26" s="28"/>
      <c r="AV26" s="29">
        <f>SLOPE($D2:$D12,AV2:AV12)</f>
        <v>-2788507.9526627134</v>
      </c>
      <c r="AW26" s="148">
        <f>Calibrate!C58</f>
        <v>-2788508</v>
      </c>
      <c r="AX26" s="145">
        <f>SLOPE(AV2:AV12,AW2:AW12)*Igain</f>
        <v>-3.0335492254230637E-6</v>
      </c>
      <c r="AY26" s="97">
        <f>Calibrate!C34</f>
        <v>-3.0335490000000001E-6</v>
      </c>
      <c r="AZ26" s="97"/>
      <c r="BA26" s="97"/>
      <c r="BB26" s="28">
        <f>SLOPE($D2:$D12,BB2:BB12)</f>
        <v>-27931501.204462372</v>
      </c>
      <c r="BC26" s="148">
        <f>Calibrate!C59</f>
        <v>-27931500</v>
      </c>
      <c r="BD26" s="28">
        <f>SLOPE(BB2:BB12,BC2:BC12)*Igain</f>
        <v>-3.0282732278613847E-7</v>
      </c>
      <c r="BE26" s="74">
        <f>Calibrate!C35</f>
        <v>-3.0282730000000002E-7</v>
      </c>
      <c r="BF26" s="74"/>
      <c r="BG26" s="74"/>
      <c r="BH26" s="29">
        <f>SLOPE($D2:$D12,BH2:BH12)</f>
        <v>-280343623.73731208</v>
      </c>
      <c r="BI26" s="148">
        <f>Calibrate!C60</f>
        <v>-280343600</v>
      </c>
      <c r="BJ26" s="29">
        <f>SLOPE(BH2:BH12,BI2:BI12)*Igain</f>
        <v>-3.0156203201960525E-8</v>
      </c>
      <c r="BK26" s="97">
        <f>Calibrate!C36</f>
        <v>-3.01562E-8</v>
      </c>
      <c r="BL26" s="97"/>
      <c r="BM26" s="97"/>
    </row>
    <row r="27" spans="1:65" s="30" customFormat="1" x14ac:dyDescent="0.25">
      <c r="A27" s="11"/>
      <c r="B27" s="11"/>
      <c r="C27" s="54"/>
      <c r="D27" s="54"/>
      <c r="E27" s="54"/>
      <c r="F27" s="27"/>
      <c r="G27" s="119"/>
      <c r="H27" s="27"/>
      <c r="I27" s="67"/>
      <c r="J27" s="27"/>
      <c r="K27" s="67"/>
      <c r="L27" s="27"/>
      <c r="M27" s="27"/>
      <c r="N27" s="27"/>
      <c r="O27" s="67"/>
      <c r="P27" s="27"/>
      <c r="Q27" s="27"/>
      <c r="R27" s="28"/>
      <c r="S27" s="122"/>
      <c r="T27" s="28"/>
      <c r="U27" s="74"/>
      <c r="V27" s="74"/>
      <c r="W27" s="74"/>
      <c r="X27" s="29"/>
      <c r="Y27" s="97"/>
      <c r="Z27" s="29"/>
      <c r="AA27" s="97"/>
      <c r="AB27" s="97"/>
      <c r="AC27" s="97"/>
      <c r="AD27" s="28"/>
      <c r="AE27" s="74"/>
      <c r="AF27" s="28"/>
      <c r="AG27" s="74"/>
      <c r="AH27" s="74"/>
      <c r="AI27" s="74"/>
      <c r="AJ27" s="29"/>
      <c r="AK27" s="97"/>
      <c r="AL27" s="29"/>
      <c r="AM27" s="97"/>
      <c r="AN27" s="97"/>
      <c r="AO27" s="97"/>
      <c r="AP27" s="28"/>
      <c r="AQ27" s="148"/>
      <c r="AR27" s="28"/>
      <c r="AS27" s="74"/>
      <c r="AT27" s="28"/>
      <c r="AU27" s="28"/>
      <c r="AV27" s="29"/>
      <c r="AW27" s="148"/>
      <c r="AX27" s="29"/>
      <c r="AY27" s="97"/>
      <c r="AZ27" s="97"/>
      <c r="BA27" s="97"/>
      <c r="BB27" s="28"/>
      <c r="BC27" s="148"/>
      <c r="BD27" s="28"/>
      <c r="BE27" s="74"/>
      <c r="BF27" s="74"/>
      <c r="BG27" s="74"/>
      <c r="BH27" s="29"/>
      <c r="BI27" s="148"/>
      <c r="BJ27" s="29"/>
      <c r="BK27" s="97"/>
      <c r="BL27" s="97"/>
      <c r="BM27" s="97"/>
    </row>
    <row r="28" spans="1:65" s="35" customFormat="1" x14ac:dyDescent="0.25">
      <c r="A28" s="31"/>
      <c r="B28" s="31"/>
      <c r="C28" s="55"/>
      <c r="D28" s="55"/>
      <c r="E28" s="55"/>
      <c r="F28" s="32" t="s">
        <v>25</v>
      </c>
      <c r="G28" s="118" t="s">
        <v>25</v>
      </c>
      <c r="H28" s="32" t="s">
        <v>34</v>
      </c>
      <c r="I28" s="68" t="s">
        <v>34</v>
      </c>
      <c r="J28" s="32" t="s">
        <v>37</v>
      </c>
      <c r="K28" s="68" t="s">
        <v>37</v>
      </c>
      <c r="L28" s="32"/>
      <c r="M28" s="32"/>
      <c r="N28" s="32" t="s">
        <v>40</v>
      </c>
      <c r="O28" s="68" t="s">
        <v>40</v>
      </c>
      <c r="P28" s="32"/>
      <c r="Q28" s="32"/>
      <c r="R28" s="33" t="s">
        <v>28</v>
      </c>
      <c r="S28" s="121" t="s">
        <v>28</v>
      </c>
      <c r="T28" s="33" t="s">
        <v>43</v>
      </c>
      <c r="U28" s="75" t="s">
        <v>43</v>
      </c>
      <c r="V28" s="75"/>
      <c r="W28" s="75"/>
      <c r="X28" s="34" t="s">
        <v>28</v>
      </c>
      <c r="Y28" s="98" t="s">
        <v>28</v>
      </c>
      <c r="Z28" s="34" t="s">
        <v>43</v>
      </c>
      <c r="AA28" s="98" t="s">
        <v>43</v>
      </c>
      <c r="AB28" s="98"/>
      <c r="AC28" s="98"/>
      <c r="AD28" s="33" t="s">
        <v>28</v>
      </c>
      <c r="AE28" s="75" t="s">
        <v>28</v>
      </c>
      <c r="AF28" s="33" t="s">
        <v>43</v>
      </c>
      <c r="AG28" s="75" t="s">
        <v>43</v>
      </c>
      <c r="AH28" s="75"/>
      <c r="AI28" s="75"/>
      <c r="AJ28" s="34" t="s">
        <v>28</v>
      </c>
      <c r="AK28" s="98" t="s">
        <v>28</v>
      </c>
      <c r="AL28" s="34" t="s">
        <v>43</v>
      </c>
      <c r="AM28" s="98" t="s">
        <v>43</v>
      </c>
      <c r="AN28" s="98"/>
      <c r="AO28" s="98"/>
      <c r="AP28" s="33" t="s">
        <v>28</v>
      </c>
      <c r="AQ28" s="147" t="s">
        <v>28</v>
      </c>
      <c r="AR28" s="33" t="s">
        <v>43</v>
      </c>
      <c r="AS28" s="75" t="s">
        <v>43</v>
      </c>
      <c r="AT28" s="33"/>
      <c r="AU28" s="33"/>
      <c r="AV28" s="34" t="s">
        <v>28</v>
      </c>
      <c r="AW28" s="147" t="s">
        <v>28</v>
      </c>
      <c r="AX28" s="34" t="s">
        <v>43</v>
      </c>
      <c r="AY28" s="98" t="s">
        <v>43</v>
      </c>
      <c r="AZ28" s="98"/>
      <c r="BA28" s="98"/>
      <c r="BB28" s="33" t="s">
        <v>28</v>
      </c>
      <c r="BC28" s="147" t="s">
        <v>28</v>
      </c>
      <c r="BD28" s="33" t="s">
        <v>43</v>
      </c>
      <c r="BE28" s="75" t="s">
        <v>43</v>
      </c>
      <c r="BF28" s="75"/>
      <c r="BG28" s="75"/>
      <c r="BH28" s="34" t="s">
        <v>28</v>
      </c>
      <c r="BI28" s="147" t="s">
        <v>28</v>
      </c>
      <c r="BJ28" s="34" t="s">
        <v>43</v>
      </c>
      <c r="BK28" s="98" t="s">
        <v>43</v>
      </c>
      <c r="BL28" s="98"/>
      <c r="BM28" s="98"/>
    </row>
    <row r="29" spans="1:65" s="30" customFormat="1" x14ac:dyDescent="0.25">
      <c r="A29" s="11"/>
      <c r="B29" s="11"/>
      <c r="C29" s="54"/>
      <c r="D29" s="54"/>
      <c r="E29" s="54"/>
      <c r="F29" s="27">
        <f>SLOPE($E12:$E22,F12:F22)</f>
        <v>-2762.5203619602312</v>
      </c>
      <c r="G29" s="119">
        <f>Calibrate!C9</f>
        <v>-2762.52</v>
      </c>
      <c r="H29" s="27">
        <f>SLOPE($F12:$F22,H12:H22)/Vgain</f>
        <v>-3.6655853609991214E-4</v>
      </c>
      <c r="I29" s="67">
        <f>Calibrate!C12</f>
        <v>-3.6655850000000002E-4</v>
      </c>
      <c r="J29" s="27">
        <f>SLOPE($F12:$F22,J12:J22)/Vgain</f>
        <v>-3.0529664539437459E-4</v>
      </c>
      <c r="K29" s="67">
        <f>Calibrate!C15</f>
        <v>-3.0529659999999997E-4</v>
      </c>
      <c r="L29" s="27"/>
      <c r="M29" s="27"/>
      <c r="N29" s="27">
        <f>SLOPE($F12:$F22,N12:N22)/Vgain</f>
        <v>-7.6586989438679485E-4</v>
      </c>
      <c r="O29" s="67">
        <f>Calibrate!C18</f>
        <v>-7.6586989999999995E-4</v>
      </c>
      <c r="P29" s="27"/>
      <c r="Q29" s="27"/>
      <c r="R29" s="28">
        <f>SLOPE($D12:$D22,R12:R22)</f>
        <v>-28.414184845457498</v>
      </c>
      <c r="S29" s="122">
        <f>Calibrate!C45</f>
        <v>-28.414180000000002</v>
      </c>
      <c r="T29" s="28">
        <f>SLOPE(R12:R22,S12:S22)*Igain</f>
        <v>-0.2975036581947253</v>
      </c>
      <c r="U29" s="74">
        <f>Calibrate!C21</f>
        <v>-0.29750369999999998</v>
      </c>
      <c r="V29" s="74"/>
      <c r="W29" s="74"/>
      <c r="X29" s="29">
        <f>SLOPE($D12:$D22,X12:X22)</f>
        <v>-450.24480258820404</v>
      </c>
      <c r="Y29" s="97">
        <f>Calibrate!C46</f>
        <v>-450.2448</v>
      </c>
      <c r="Z29" s="29">
        <f>SLOPE(X12:X22,Y12:Y22)*Igain</f>
        <v>-1.8780992078422508E-2</v>
      </c>
      <c r="AA29" s="97">
        <f>Calibrate!C22</f>
        <v>-1.8780990000000001E-2</v>
      </c>
      <c r="AB29" s="97"/>
      <c r="AC29" s="97"/>
      <c r="AD29" s="28">
        <f>SLOPE($D12:$D22,AD12:AD22)</f>
        <v>-2791.1613454648541</v>
      </c>
      <c r="AE29" s="74">
        <f>Calibrate!C47</f>
        <v>-2791.1610000000001</v>
      </c>
      <c r="AF29" s="28">
        <f>SLOPE(AD12:AD22,AE12:AE22)*Igain</f>
        <v>-3.0295617789648562E-3</v>
      </c>
      <c r="AG29" s="74">
        <f>Calibrate!C23</f>
        <v>-3.029562E-3</v>
      </c>
      <c r="AH29" s="74"/>
      <c r="AI29" s="74"/>
      <c r="AJ29" s="29">
        <f>SLOPE($D12:$D22,AJ12:AJ22)</f>
        <v>-27911.565884932344</v>
      </c>
      <c r="AK29" s="97">
        <f>Calibrate!C48</f>
        <v>-27911.57</v>
      </c>
      <c r="AL29" s="29">
        <f>SLOPE(AJ12:AJ22,AK12:AK22)*Igain</f>
        <v>-3.029793234579683E-4</v>
      </c>
      <c r="AM29" s="97">
        <f>Calibrate!C24</f>
        <v>-3.0297929999999998E-4</v>
      </c>
      <c r="AN29" s="97"/>
      <c r="AO29" s="97"/>
      <c r="AP29" s="28">
        <f>SLOPE($D12:$D22,AP12:AP22)</f>
        <v>-279170.48533974675</v>
      </c>
      <c r="AQ29" s="148">
        <f>Calibrate!C49</f>
        <v>-279170.5</v>
      </c>
      <c r="AR29" s="28">
        <f>SLOPE(AP12:AP22,AQ12:AQ22)*Igain</f>
        <v>-3.029189439743513E-5</v>
      </c>
      <c r="AS29" s="74">
        <f>Calibrate!C25</f>
        <v>-3.029189E-5</v>
      </c>
      <c r="AT29" s="28"/>
      <c r="AU29" s="28"/>
      <c r="AV29" s="29">
        <f>SLOPE($D12:$D22,AV12:AV22)</f>
        <v>-2790755.3946121796</v>
      </c>
      <c r="AW29" s="148">
        <f>Calibrate!C50</f>
        <v>-2790756</v>
      </c>
      <c r="AX29" s="29">
        <f>SLOPE(AV12:AV22,AW12:AW22)*Igain</f>
        <v>-3.029895202644959E-6</v>
      </c>
      <c r="AY29" s="97">
        <f>Calibrate!C26</f>
        <v>-3.0298950000000001E-6</v>
      </c>
      <c r="AZ29" s="97"/>
      <c r="BA29" s="97"/>
      <c r="BB29" s="28">
        <f>SLOPE($D12:$D22,BB12:BB22)</f>
        <v>-27839366.06277775</v>
      </c>
      <c r="BC29" s="148">
        <f>Calibrate!C51</f>
        <v>-27839370</v>
      </c>
      <c r="BD29" s="28">
        <f>SLOPE(BB12:BB22,BC12:BC22)*Igain</f>
        <v>-3.0375210816500967E-7</v>
      </c>
      <c r="BE29" s="74">
        <f>Calibrate!C27</f>
        <v>-3.037521E-7</v>
      </c>
      <c r="BF29" s="74"/>
      <c r="BG29" s="74"/>
      <c r="BH29" s="29">
        <f>SLOPE($D12:$D22,BH12:BH22)</f>
        <v>-276924168.42509687</v>
      </c>
      <c r="BI29" s="148">
        <f>Calibrate!C52</f>
        <v>-276924200</v>
      </c>
      <c r="BJ29" s="29">
        <f>SLOPE(BH12:BH22,BI12:BI22)*Igain</f>
        <v>-3.0520572005372811E-8</v>
      </c>
      <c r="BK29" s="97">
        <f>Calibrate!C28</f>
        <v>-3.0520570000000001E-8</v>
      </c>
      <c r="BL29" s="97"/>
      <c r="BM29" s="97"/>
    </row>
    <row r="30" spans="1:65" s="30" customFormat="1" x14ac:dyDescent="0.25">
      <c r="A30" s="11"/>
      <c r="B30" s="11"/>
      <c r="C30" s="54"/>
      <c r="D30" s="54"/>
      <c r="E30" s="54"/>
      <c r="F30" s="27"/>
      <c r="G30" s="119"/>
      <c r="H30" s="27"/>
      <c r="I30" s="67"/>
      <c r="J30" s="27"/>
      <c r="K30" s="67"/>
      <c r="L30" s="27"/>
      <c r="M30" s="27"/>
      <c r="N30" s="27"/>
      <c r="O30" s="67"/>
      <c r="P30" s="27"/>
      <c r="Q30" s="27"/>
      <c r="R30" s="28"/>
      <c r="S30" s="122"/>
      <c r="T30" s="28"/>
      <c r="U30" s="74"/>
      <c r="V30" s="74"/>
      <c r="W30" s="74"/>
      <c r="X30" s="29"/>
      <c r="Y30" s="97"/>
      <c r="Z30" s="29"/>
      <c r="AA30" s="97"/>
      <c r="AB30" s="97"/>
      <c r="AC30" s="97"/>
      <c r="AD30" s="28"/>
      <c r="AE30" s="74"/>
      <c r="AF30" s="28"/>
      <c r="AG30" s="74"/>
      <c r="AH30" s="74"/>
      <c r="AI30" s="74"/>
      <c r="AJ30" s="29"/>
      <c r="AK30" s="97"/>
      <c r="AL30" s="29"/>
      <c r="AM30" s="97"/>
      <c r="AN30" s="97"/>
      <c r="AO30" s="97"/>
      <c r="AP30" s="28"/>
      <c r="AQ30" s="148"/>
      <c r="AR30" s="28"/>
      <c r="AS30" s="74"/>
      <c r="AT30" s="28"/>
      <c r="AU30" s="28"/>
      <c r="AV30" s="29"/>
      <c r="AW30" s="148"/>
      <c r="AX30" s="29"/>
      <c r="AY30" s="97"/>
      <c r="AZ30" s="97"/>
      <c r="BA30" s="97"/>
      <c r="BB30" s="28"/>
      <c r="BC30" s="148"/>
      <c r="BD30" s="28"/>
      <c r="BE30" s="74"/>
      <c r="BF30" s="74"/>
      <c r="BG30" s="74"/>
      <c r="BH30" s="29"/>
      <c r="BI30" s="148"/>
      <c r="BJ30" s="29"/>
      <c r="BK30" s="97"/>
      <c r="BL30" s="97"/>
      <c r="BM30" s="97"/>
    </row>
    <row r="31" spans="1:65" s="35" customFormat="1" x14ac:dyDescent="0.25">
      <c r="A31" s="31"/>
      <c r="B31" s="31"/>
      <c r="C31" s="55"/>
      <c r="D31" s="55"/>
      <c r="E31" s="55"/>
      <c r="F31" s="32" t="s">
        <v>27</v>
      </c>
      <c r="G31" s="118" t="s">
        <v>27</v>
      </c>
      <c r="H31" s="32" t="s">
        <v>36</v>
      </c>
      <c r="I31" s="68" t="s">
        <v>36</v>
      </c>
      <c r="J31" s="32" t="s">
        <v>39</v>
      </c>
      <c r="K31" s="68" t="s">
        <v>39</v>
      </c>
      <c r="L31" s="32"/>
      <c r="M31" s="32"/>
      <c r="N31" s="32" t="s">
        <v>42</v>
      </c>
      <c r="O31" s="68" t="s">
        <v>42</v>
      </c>
      <c r="P31" s="32"/>
      <c r="Q31" s="32"/>
      <c r="R31" s="33" t="s">
        <v>30</v>
      </c>
      <c r="S31" s="121" t="s">
        <v>30</v>
      </c>
      <c r="T31" s="33" t="s">
        <v>45</v>
      </c>
      <c r="U31" s="75" t="s">
        <v>45</v>
      </c>
      <c r="V31" s="75"/>
      <c r="W31" s="75"/>
      <c r="X31" s="34" t="s">
        <v>30</v>
      </c>
      <c r="Y31" s="98" t="s">
        <v>30</v>
      </c>
      <c r="Z31" s="34" t="s">
        <v>45</v>
      </c>
      <c r="AA31" s="98" t="s">
        <v>45</v>
      </c>
      <c r="AB31" s="98"/>
      <c r="AC31" s="98"/>
      <c r="AD31" s="33" t="s">
        <v>30</v>
      </c>
      <c r="AE31" s="75" t="s">
        <v>30</v>
      </c>
      <c r="AF31" s="33" t="s">
        <v>45</v>
      </c>
      <c r="AG31" s="75" t="s">
        <v>45</v>
      </c>
      <c r="AH31" s="75"/>
      <c r="AI31" s="75"/>
      <c r="AJ31" s="34" t="s">
        <v>30</v>
      </c>
      <c r="AK31" s="98" t="s">
        <v>30</v>
      </c>
      <c r="AL31" s="34" t="s">
        <v>45</v>
      </c>
      <c r="AM31" s="98" t="s">
        <v>45</v>
      </c>
      <c r="AN31" s="98"/>
      <c r="AO31" s="98"/>
      <c r="AP31" s="33" t="s">
        <v>30</v>
      </c>
      <c r="AQ31" s="147" t="s">
        <v>30</v>
      </c>
      <c r="AR31" s="33" t="s">
        <v>45</v>
      </c>
      <c r="AS31" s="75" t="s">
        <v>45</v>
      </c>
      <c r="AT31" s="33"/>
      <c r="AU31" s="33"/>
      <c r="AV31" s="34" t="s">
        <v>30</v>
      </c>
      <c r="AW31" s="147" t="s">
        <v>30</v>
      </c>
      <c r="AX31" s="34" t="s">
        <v>45</v>
      </c>
      <c r="AY31" s="98" t="s">
        <v>45</v>
      </c>
      <c r="AZ31" s="98"/>
      <c r="BA31" s="98"/>
      <c r="BB31" s="33" t="s">
        <v>30</v>
      </c>
      <c r="BC31" s="147" t="s">
        <v>30</v>
      </c>
      <c r="BD31" s="33" t="s">
        <v>45</v>
      </c>
      <c r="BE31" s="75" t="s">
        <v>45</v>
      </c>
      <c r="BF31" s="75"/>
      <c r="BG31" s="75"/>
      <c r="BH31" s="34" t="s">
        <v>30</v>
      </c>
      <c r="BI31" s="147" t="s">
        <v>30</v>
      </c>
      <c r="BJ31" s="34" t="s">
        <v>45</v>
      </c>
      <c r="BK31" s="98" t="s">
        <v>45</v>
      </c>
      <c r="BL31" s="98"/>
      <c r="BM31" s="98"/>
    </row>
    <row r="32" spans="1:65" s="30" customFormat="1" x14ac:dyDescent="0.25">
      <c r="A32" s="11"/>
      <c r="B32" s="11"/>
      <c r="C32" s="54"/>
      <c r="D32" s="54"/>
      <c r="E32" s="54"/>
      <c r="F32" s="27">
        <f>INTERCEPT($E2:$E22,F2:F22)</f>
        <v>-115.66914514332684</v>
      </c>
      <c r="G32" s="119">
        <f>Calibrate!C11</f>
        <v>-115.6691</v>
      </c>
      <c r="H32" s="27">
        <f>INTERCEPT($F2:$F22,H2:H22)/Vgain</f>
        <v>-3.4160489460084709E-4</v>
      </c>
      <c r="I32" s="67">
        <f>Calibrate!C14</f>
        <v>-3.416049E-4</v>
      </c>
      <c r="J32" s="27">
        <f>INTERCEPT($F2:$F22,J2:J22)/Vgain</f>
        <v>-5.5626099371923546E-3</v>
      </c>
      <c r="K32" s="67">
        <f>Calibrate!C17</f>
        <v>-5.56261E-3</v>
      </c>
      <c r="L32" s="27"/>
      <c r="M32" s="27"/>
      <c r="N32" s="27">
        <f>INTERCEPT($F2:$F22,N2:N22)/Vgain</f>
        <v>-1.0186234600345276E-3</v>
      </c>
      <c r="O32" s="67">
        <f>Calibrate!C20</f>
        <v>-1.018623E-3</v>
      </c>
      <c r="P32" s="27"/>
      <c r="Q32" s="27"/>
      <c r="R32" s="28">
        <f>INTERCEPT($D2:$D22,R2:R22)</f>
        <v>-88.607057474711027</v>
      </c>
      <c r="S32" s="122">
        <f>Calibrate!C61</f>
        <v>-88.607060000000004</v>
      </c>
      <c r="T32" s="144">
        <f>INTERCEPT(R2:R22,S2:S22)</f>
        <v>-5.5659139295016757E-2</v>
      </c>
      <c r="U32" s="74">
        <f>Calibrate!C37</f>
        <v>-5.5659140000000003E-2</v>
      </c>
      <c r="V32" s="74"/>
      <c r="W32" s="74"/>
      <c r="X32" s="29">
        <f>INTERCEPT($D2:$D22,X2:X22)</f>
        <v>-90.830824041771493</v>
      </c>
      <c r="Y32" s="97">
        <f>Calibrate!C62</f>
        <v>-90.830830000000006</v>
      </c>
      <c r="Z32" s="29">
        <f>INTERCEPT(X2:X22,Y2:Y22)</f>
        <v>-9.2126629410638761E-3</v>
      </c>
      <c r="AA32" s="97">
        <f>Calibrate!C38</f>
        <v>-9.2126629999999994E-3</v>
      </c>
      <c r="AB32" s="97"/>
      <c r="AC32" s="97"/>
      <c r="AD32" s="28">
        <f>INTERCEPT($D2:$D22,AD2:AD22)</f>
        <v>-88.89466890276077</v>
      </c>
      <c r="AE32" s="74">
        <f>Calibrate!C63</f>
        <v>-88.894670000000005</v>
      </c>
      <c r="AF32" s="28">
        <f>INTERCEPT(AD2:AD22,AE2:AE22)</f>
        <v>-8.9362199190583594E-4</v>
      </c>
      <c r="AG32" s="74">
        <f>Calibrate!C39</f>
        <v>-8.9362199999999995E-4</v>
      </c>
      <c r="AH32" s="74"/>
      <c r="AI32" s="74"/>
      <c r="AJ32" s="29">
        <f>INTERCEPT($D2:$D22,AJ2:AJ22)</f>
        <v>-90.498174106056638</v>
      </c>
      <c r="AK32" s="97">
        <f>Calibrate!C64</f>
        <v>-90.498180000000005</v>
      </c>
      <c r="AL32" s="29">
        <f>INTERCEPT(AJ2:AJ22,AK2:AK22)</f>
        <v>-1.6574923696264588E-4</v>
      </c>
      <c r="AM32" s="97">
        <f>Calibrate!C40</f>
        <v>-1.6574919999999999E-4</v>
      </c>
      <c r="AN32" s="97"/>
      <c r="AO32" s="97"/>
      <c r="AP32" s="28">
        <f>INTERCEPT($D2:$D22,AP2:AP22)</f>
        <v>-90.11622826999826</v>
      </c>
      <c r="AQ32" s="148">
        <f>Calibrate!C65</f>
        <v>-90.116230000000002</v>
      </c>
      <c r="AR32" s="144">
        <f>INTERCEPT(AP2:AP22,AQ2:AQ22)</f>
        <v>-1.5198889302835269E-5</v>
      </c>
      <c r="AS32" s="74">
        <f>Calibrate!C41</f>
        <v>-1.519889E-5</v>
      </c>
      <c r="AT32" s="28"/>
      <c r="AU32" s="28"/>
      <c r="AV32" s="29">
        <f>INTERCEPT($D2:$D22,AV2:AV22)</f>
        <v>-87.749466323780439</v>
      </c>
      <c r="AW32" s="148">
        <f>Calibrate!C66</f>
        <v>-87.749470000000002</v>
      </c>
      <c r="AX32" s="29">
        <f>INTERCEPT(AV2:AV22,AW2:AW22)</f>
        <v>-6.156289494999709E-7</v>
      </c>
      <c r="AY32" s="97">
        <f>Calibrate!C42</f>
        <v>-6.1562889999999999E-7</v>
      </c>
      <c r="AZ32" s="97"/>
      <c r="BA32" s="97"/>
      <c r="BB32" s="28">
        <f>INTERCEPT($D2:$D22,BB2:BB22)</f>
        <v>-86.768076002414219</v>
      </c>
      <c r="BC32" s="148">
        <f>Calibrate!C67</f>
        <v>-86.768069999999994</v>
      </c>
      <c r="BD32" s="28">
        <f>INTERCEPT(BB2:BB22,BC2:BC22)</f>
        <v>-2.6239772851887844E-8</v>
      </c>
      <c r="BE32" s="74">
        <f>Calibrate!C43</f>
        <v>-2.6239770000000002E-8</v>
      </c>
      <c r="BF32" s="74"/>
      <c r="BG32" s="74"/>
      <c r="BH32" s="29">
        <f>INTERCEPT($D2:$D22,BH2:BH22)</f>
        <v>-28.091632501040849</v>
      </c>
      <c r="BI32" s="148">
        <f>Calibrate!C68</f>
        <v>-28.091629999999999</v>
      </c>
      <c r="BJ32" s="29">
        <f>INTERCEPT(BH2:BH22,BI2:BI22)</f>
        <v>2.0394844885198198E-7</v>
      </c>
      <c r="BK32" s="97">
        <f>Calibrate!C44</f>
        <v>2.0394839999999999E-7</v>
      </c>
      <c r="BL32" s="97"/>
      <c r="BM32" s="97"/>
    </row>
    <row r="33" spans="1:65" s="30" customFormat="1" x14ac:dyDescent="0.25">
      <c r="A33" s="11"/>
      <c r="B33" s="11"/>
      <c r="C33" s="54"/>
      <c r="D33" s="54"/>
      <c r="E33" s="54"/>
      <c r="F33" s="27"/>
      <c r="G33" s="119"/>
      <c r="H33" s="27"/>
      <c r="I33" s="27"/>
      <c r="J33" s="27"/>
      <c r="K33" s="27"/>
      <c r="L33" s="67"/>
      <c r="M33" s="67"/>
      <c r="N33" s="27"/>
      <c r="O33" s="67"/>
      <c r="P33" s="27"/>
      <c r="Q33" s="27"/>
      <c r="R33" s="28"/>
      <c r="S33" s="28"/>
      <c r="T33" s="74"/>
      <c r="U33" s="74"/>
      <c r="V33" s="74"/>
      <c r="W33" s="74"/>
      <c r="X33" s="29"/>
      <c r="Y33" s="29"/>
      <c r="Z33" s="97"/>
      <c r="AA33" s="97"/>
      <c r="AB33" s="97"/>
      <c r="AC33" s="97"/>
      <c r="AD33" s="28"/>
      <c r="AE33" s="28"/>
      <c r="AF33" s="74"/>
      <c r="AG33" s="74"/>
      <c r="AH33" s="74"/>
      <c r="AI33" s="74"/>
      <c r="AJ33" s="29"/>
      <c r="AK33" s="29"/>
      <c r="AL33" s="97"/>
      <c r="AM33" s="97"/>
      <c r="AN33" s="97"/>
      <c r="AO33" s="97"/>
      <c r="AP33" s="28"/>
      <c r="AQ33" s="28"/>
      <c r="AR33" s="74"/>
      <c r="AS33" s="28"/>
      <c r="AT33" s="28"/>
      <c r="AU33" s="28"/>
      <c r="AV33" s="29"/>
      <c r="AW33" s="29"/>
      <c r="AX33" s="97"/>
      <c r="AY33" s="97"/>
      <c r="AZ33" s="97"/>
      <c r="BA33" s="97"/>
      <c r="BB33" s="28"/>
      <c r="BC33" s="28"/>
      <c r="BD33" s="74"/>
      <c r="BE33" s="74"/>
      <c r="BF33" s="74"/>
      <c r="BG33" s="74"/>
      <c r="BH33" s="29"/>
      <c r="BI33" s="29"/>
      <c r="BJ33" s="97"/>
      <c r="BK33" s="97"/>
      <c r="BL33" s="97"/>
      <c r="BM33" s="97"/>
    </row>
    <row r="34" spans="1:65" s="42" customFormat="1" x14ac:dyDescent="0.25">
      <c r="A34" s="36"/>
      <c r="B34" s="36"/>
      <c r="C34" s="56"/>
      <c r="D34" s="56"/>
      <c r="E34" s="56"/>
      <c r="F34" s="105" t="s">
        <v>24</v>
      </c>
      <c r="G34" s="120" t="s">
        <v>24</v>
      </c>
      <c r="H34" s="37"/>
      <c r="I34" s="37"/>
      <c r="J34" s="37"/>
      <c r="K34" s="88"/>
      <c r="L34" s="69"/>
      <c r="M34" s="69"/>
      <c r="N34" s="37"/>
      <c r="O34" s="69"/>
      <c r="P34" s="37"/>
      <c r="Q34" s="37"/>
      <c r="R34" s="38"/>
      <c r="S34" s="38"/>
      <c r="T34" s="76"/>
      <c r="U34" s="76"/>
      <c r="V34" s="76"/>
      <c r="W34" s="76"/>
      <c r="X34" s="39"/>
      <c r="Y34" s="39"/>
      <c r="Z34" s="99"/>
      <c r="AA34" s="99"/>
      <c r="AB34" s="99"/>
      <c r="AC34" s="99"/>
      <c r="AD34" s="38"/>
      <c r="AE34" s="38"/>
      <c r="AF34" s="76"/>
      <c r="AG34" s="76"/>
      <c r="AH34" s="76"/>
      <c r="AI34" s="76"/>
      <c r="AJ34" s="39"/>
      <c r="AK34" s="39"/>
      <c r="AL34" s="99"/>
      <c r="AM34" s="99"/>
      <c r="AN34" s="99"/>
      <c r="AO34" s="99"/>
      <c r="AP34" s="38"/>
      <c r="AQ34" s="40"/>
      <c r="AR34" s="117"/>
      <c r="AS34" s="40"/>
      <c r="AT34" s="40"/>
      <c r="AU34" s="40"/>
      <c r="AV34" s="41"/>
      <c r="AW34" s="41"/>
      <c r="AX34" s="116"/>
      <c r="AY34" s="116"/>
      <c r="AZ34" s="116"/>
      <c r="BA34" s="116"/>
      <c r="BB34" s="40"/>
      <c r="BC34" s="40"/>
      <c r="BD34" s="117"/>
      <c r="BE34" s="117"/>
      <c r="BF34" s="117"/>
      <c r="BG34" s="117"/>
      <c r="BH34" s="41"/>
      <c r="BI34" s="41"/>
      <c r="BJ34" s="116"/>
      <c r="BK34" s="116"/>
      <c r="BL34" s="116"/>
      <c r="BM34" s="116"/>
    </row>
    <row r="35" spans="1:65" s="30" customFormat="1" x14ac:dyDescent="0.25">
      <c r="A35" s="11"/>
      <c r="B35" s="11"/>
      <c r="C35" s="54"/>
      <c r="D35" s="54"/>
      <c r="E35" s="54"/>
      <c r="F35" s="27">
        <v>3482.6170000000002</v>
      </c>
      <c r="G35" s="119">
        <f>Calibrate!C8</f>
        <v>3482.6170000000002</v>
      </c>
      <c r="H35" s="27"/>
      <c r="I35" s="27"/>
      <c r="J35" s="27"/>
      <c r="K35" s="27"/>
      <c r="L35" s="67"/>
      <c r="M35" s="67"/>
      <c r="N35" s="27"/>
      <c r="O35" s="67"/>
      <c r="P35" s="27"/>
      <c r="Q35" s="27"/>
      <c r="R35" s="28"/>
      <c r="S35" s="28"/>
      <c r="T35" s="74"/>
      <c r="U35" s="74"/>
      <c r="V35" s="74"/>
      <c r="W35" s="74"/>
      <c r="X35" s="29"/>
      <c r="Y35" s="29"/>
      <c r="Z35" s="97"/>
      <c r="AA35" s="97"/>
      <c r="AB35" s="97"/>
      <c r="AC35" s="97"/>
      <c r="AD35" s="28"/>
      <c r="AE35" s="28"/>
      <c r="AF35" s="74"/>
      <c r="AG35" s="74"/>
      <c r="AH35" s="74"/>
      <c r="AI35" s="74"/>
      <c r="AJ35" s="29"/>
      <c r="AK35" s="29"/>
      <c r="AL35" s="97"/>
      <c r="AM35" s="97"/>
      <c r="AN35" s="97"/>
      <c r="AO35" s="97"/>
      <c r="AP35" s="28"/>
      <c r="AQ35" s="28"/>
      <c r="AR35" s="74"/>
      <c r="AS35" s="28"/>
      <c r="AT35" s="28"/>
      <c r="AU35" s="28"/>
      <c r="AV35" s="29"/>
      <c r="AW35" s="29"/>
      <c r="AX35" s="97"/>
      <c r="AY35" s="97"/>
      <c r="AZ35" s="97"/>
      <c r="BA35" s="97"/>
      <c r="BB35" s="28"/>
      <c r="BC35" s="28"/>
      <c r="BD35" s="74"/>
      <c r="BE35" s="74"/>
      <c r="BF35" s="74"/>
      <c r="BG35" s="74"/>
      <c r="BH35" s="29"/>
      <c r="BI35" s="29"/>
      <c r="BJ35" s="97"/>
      <c r="BK35" s="97"/>
      <c r="BL35" s="97"/>
      <c r="BM35" s="97"/>
    </row>
    <row r="37" spans="1:65" x14ac:dyDescent="0.25">
      <c r="S37" s="43"/>
      <c r="T37" s="78"/>
      <c r="U37" s="78"/>
      <c r="V37" s="78"/>
      <c r="W37" s="78"/>
      <c r="X37" s="44"/>
      <c r="Y37" s="44"/>
      <c r="Z37" s="100"/>
      <c r="AA37" s="100"/>
      <c r="AB37" s="100"/>
      <c r="AC37" s="100"/>
      <c r="AD37" s="43"/>
      <c r="AE37" s="43"/>
      <c r="AF37" s="78"/>
      <c r="AG37" s="78"/>
      <c r="AH37" s="78"/>
      <c r="AI37" s="78"/>
      <c r="AJ37" s="44"/>
      <c r="AK37" s="44"/>
      <c r="AL37" s="100"/>
      <c r="AM37" s="100"/>
      <c r="AN37" s="100"/>
      <c r="AO37" s="100"/>
      <c r="AP37" s="43"/>
    </row>
    <row r="40" spans="1:65" x14ac:dyDescent="0.25">
      <c r="S40" s="43"/>
      <c r="T40" s="78"/>
      <c r="U40" s="78"/>
      <c r="V40" s="78"/>
      <c r="W40" s="78"/>
      <c r="X40" s="44"/>
      <c r="Y40" s="44"/>
      <c r="Z40" s="100"/>
      <c r="AA40" s="100"/>
      <c r="AB40" s="100"/>
      <c r="AC40" s="100"/>
      <c r="AD40" s="43"/>
      <c r="AE40" s="43"/>
      <c r="AF40" s="78"/>
      <c r="AG40" s="78"/>
      <c r="AH40" s="78"/>
      <c r="AI40" s="78"/>
      <c r="AJ40" s="44"/>
      <c r="AK40" s="44"/>
      <c r="AL40" s="100"/>
      <c r="AM40" s="100"/>
      <c r="AN40" s="100"/>
      <c r="AO40" s="100"/>
      <c r="AP40" s="43"/>
    </row>
    <row r="42" spans="1:65" x14ac:dyDescent="0.25">
      <c r="D42" s="143" t="s">
        <v>209</v>
      </c>
    </row>
    <row r="43" spans="1:65" x14ac:dyDescent="0.25">
      <c r="D43" s="54">
        <v>-29475</v>
      </c>
    </row>
    <row r="44" spans="1:65" x14ac:dyDescent="0.25">
      <c r="D44" s="54">
        <v>-26200</v>
      </c>
    </row>
    <row r="45" spans="1:65" x14ac:dyDescent="0.25">
      <c r="D45" s="54">
        <v>-22925</v>
      </c>
    </row>
    <row r="46" spans="1:65" x14ac:dyDescent="0.25">
      <c r="D46" s="54">
        <v>-19650</v>
      </c>
    </row>
    <row r="47" spans="1:65" x14ac:dyDescent="0.25">
      <c r="D47" s="54">
        <v>-16375</v>
      </c>
    </row>
    <row r="48" spans="1:65" x14ac:dyDescent="0.25">
      <c r="D48" s="54">
        <v>-13100</v>
      </c>
    </row>
    <row r="49" spans="4:4" x14ac:dyDescent="0.25">
      <c r="D49" s="54">
        <v>-9825</v>
      </c>
    </row>
    <row r="50" spans="4:4" x14ac:dyDescent="0.25">
      <c r="D50" s="54">
        <v>-6550</v>
      </c>
    </row>
    <row r="51" spans="4:4" x14ac:dyDescent="0.25">
      <c r="D51" s="54">
        <v>-3275</v>
      </c>
    </row>
    <row r="52" spans="4:4" x14ac:dyDescent="0.25">
      <c r="D52" s="54">
        <v>-1500</v>
      </c>
    </row>
    <row r="53" spans="4:4" x14ac:dyDescent="0.25">
      <c r="D53" s="54">
        <v>0</v>
      </c>
    </row>
    <row r="54" spans="4:4" x14ac:dyDescent="0.25">
      <c r="D54" s="54">
        <v>1500</v>
      </c>
    </row>
    <row r="55" spans="4:4" x14ac:dyDescent="0.25">
      <c r="D55" s="54">
        <v>3275</v>
      </c>
    </row>
    <row r="56" spans="4:4" x14ac:dyDescent="0.25">
      <c r="D56" s="54">
        <v>6550</v>
      </c>
    </row>
    <row r="57" spans="4:4" x14ac:dyDescent="0.25">
      <c r="D57" s="54">
        <v>9825</v>
      </c>
    </row>
    <row r="58" spans="4:4" x14ac:dyDescent="0.25">
      <c r="D58" s="54">
        <v>13100</v>
      </c>
    </row>
    <row r="59" spans="4:4" x14ac:dyDescent="0.25">
      <c r="D59" s="54">
        <v>16375</v>
      </c>
    </row>
    <row r="60" spans="4:4" x14ac:dyDescent="0.25">
      <c r="D60" s="54">
        <v>19650</v>
      </c>
    </row>
    <row r="61" spans="4:4" x14ac:dyDescent="0.25">
      <c r="D61" s="54">
        <v>22925</v>
      </c>
    </row>
    <row r="62" spans="4:4" x14ac:dyDescent="0.25">
      <c r="D62" s="54">
        <v>26200</v>
      </c>
    </row>
    <row r="63" spans="4:4" x14ac:dyDescent="0.25">
      <c r="D63" s="54">
        <v>29475</v>
      </c>
    </row>
  </sheetData>
  <conditionalFormatting sqref="AB2:AB22">
    <cfRule type="cellIs" dxfId="18" priority="36" operator="greaterThan">
      <formula>0.001</formula>
    </cfRule>
  </conditionalFormatting>
  <conditionalFormatting sqref="AH2:AH22">
    <cfRule type="cellIs" dxfId="17" priority="32" operator="greaterThan">
      <formula>0.001</formula>
    </cfRule>
  </conditionalFormatting>
  <conditionalFormatting sqref="AN2:AN22">
    <cfRule type="cellIs" dxfId="16" priority="28" operator="greaterThan">
      <formula>0.001</formula>
    </cfRule>
  </conditionalFormatting>
  <conditionalFormatting sqref="V2:W22">
    <cfRule type="cellIs" dxfId="15" priority="27" operator="greaterThan">
      <formula>0.002</formula>
    </cfRule>
  </conditionalFormatting>
  <conditionalFormatting sqref="Q2:Q22">
    <cfRule type="cellIs" dxfId="14" priority="25" operator="greaterThan">
      <formula>0.001</formula>
    </cfRule>
  </conditionalFormatting>
  <conditionalFormatting sqref="L2:L22">
    <cfRule type="cellIs" dxfId="13" priority="23" operator="greaterThan">
      <formula>0.001</formula>
    </cfRule>
  </conditionalFormatting>
  <conditionalFormatting sqref="M2:M22">
    <cfRule type="cellIs" dxfId="12" priority="22" operator="greaterThan">
      <formula>0.001</formula>
    </cfRule>
  </conditionalFormatting>
  <conditionalFormatting sqref="P2:P22">
    <cfRule type="cellIs" dxfId="11" priority="21" operator="greaterThan">
      <formula>0.001</formula>
    </cfRule>
  </conditionalFormatting>
  <conditionalFormatting sqref="AT2:AU22">
    <cfRule type="cellIs" dxfId="10" priority="18" operator="greaterThan">
      <formula>0.001</formula>
    </cfRule>
  </conditionalFormatting>
  <conditionalFormatting sqref="AZ2:BA22">
    <cfRule type="cellIs" dxfId="9" priority="15" operator="greaterThan">
      <formula>0.001</formula>
    </cfRule>
  </conditionalFormatting>
  <conditionalFormatting sqref="BF2:BG22">
    <cfRule type="cellIs" dxfId="8" priority="12" operator="greaterThan">
      <formula>0.001</formula>
    </cfRule>
  </conditionalFormatting>
  <conditionalFormatting sqref="BL2:BM22">
    <cfRule type="cellIs" dxfId="7" priority="9" operator="greaterThan">
      <formula>0.001</formula>
    </cfRule>
    <cfRule type="cellIs" dxfId="6" priority="10" operator="greaterThan">
      <formula>0.001</formula>
    </cfRule>
    <cfRule type="cellIs" dxfId="5" priority="11" operator="greaterThan">
      <formula>0.0002</formula>
    </cfRule>
  </conditionalFormatting>
  <conditionalFormatting sqref="G2:G22">
    <cfRule type="cellIs" dxfId="4" priority="7" operator="lessThan">
      <formula>-1</formula>
    </cfRule>
    <cfRule type="cellIs" dxfId="3" priority="8" operator="greaterThan">
      <formula>1</formula>
    </cfRule>
  </conditionalFormatting>
  <conditionalFormatting sqref="AC2:AC22">
    <cfRule type="cellIs" dxfId="2" priority="3" operator="greaterThan">
      <formula>0.002</formula>
    </cfRule>
  </conditionalFormatting>
  <conditionalFormatting sqref="AI2:AI22">
    <cfRule type="cellIs" dxfId="1" priority="2" operator="greaterThan">
      <formula>0.002</formula>
    </cfRule>
  </conditionalFormatting>
  <conditionalFormatting sqref="AO2:AO22">
    <cfRule type="cellIs" dxfId="0" priority="1" operator="greaterThan">
      <formula>0.002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15"/>
  <sheetViews>
    <sheetView workbookViewId="0">
      <selection activeCell="P23" sqref="P23"/>
    </sheetView>
  </sheetViews>
  <sheetFormatPr defaultColWidth="8.7109375" defaultRowHeight="15" x14ac:dyDescent="0.25"/>
  <cols>
    <col min="1" max="4" width="8.7109375" style="2" customWidth="1"/>
    <col min="5" max="11" width="8.7109375" style="2"/>
    <col min="12" max="12" width="17.5703125" style="2" bestFit="1" customWidth="1"/>
    <col min="13" max="15" width="6.7109375" style="2" bestFit="1" customWidth="1"/>
    <col min="16" max="18" width="8.7109375" style="2"/>
    <col min="19" max="20" width="12" style="2" bestFit="1" customWidth="1"/>
    <col min="21" max="16384" width="8.7109375" style="2"/>
  </cols>
  <sheetData>
    <row r="1" spans="1:21" x14ac:dyDescent="0.25">
      <c r="A1" s="3" t="s">
        <v>47</v>
      </c>
      <c r="B1" s="2" t="s">
        <v>3</v>
      </c>
      <c r="C1" s="2" t="str">
        <f>VLOOKUP(B1,Connect!A2:D3, 4)</f>
        <v>COM4</v>
      </c>
      <c r="D1" s="3" t="s">
        <v>65</v>
      </c>
      <c r="E1" s="2" t="s">
        <v>8</v>
      </c>
      <c r="F1" s="4"/>
      <c r="G1" s="4"/>
      <c r="H1" s="4"/>
      <c r="I1" s="4"/>
      <c r="L1" s="3" t="s">
        <v>61</v>
      </c>
      <c r="M1" s="3" t="s">
        <v>48</v>
      </c>
      <c r="N1" s="3" t="s">
        <v>49</v>
      </c>
      <c r="O1" s="3" t="s">
        <v>50</v>
      </c>
      <c r="S1" s="2" t="s">
        <v>37</v>
      </c>
      <c r="T1" s="2" t="s">
        <v>38</v>
      </c>
      <c r="U1" s="2" t="s">
        <v>39</v>
      </c>
    </row>
    <row r="2" spans="1:21" x14ac:dyDescent="0.25">
      <c r="A2" s="3" t="s">
        <v>138</v>
      </c>
      <c r="B2" t="str">
        <f>_xlfn.CONCAT(Connect!G1, " ", Connect!J1, " ", Connect!D1, " ", B1, " ", C1, " ", E1)</f>
        <v>v2 0 COM8 hp34401a COM4 voltage</v>
      </c>
      <c r="F2" s="4"/>
      <c r="G2" s="4"/>
      <c r="H2" s="4"/>
      <c r="I2" s="4"/>
      <c r="L2" s="45">
        <v>9.7309792000000002</v>
      </c>
      <c r="M2" s="2">
        <v>-26548</v>
      </c>
      <c r="N2" s="2">
        <v>-31886</v>
      </c>
      <c r="O2" s="2">
        <v>-12706</v>
      </c>
      <c r="S2" s="2">
        <f>SLOPE(L2:L12,N2:N12)</f>
        <v>-3.0536732239694656E-4</v>
      </c>
      <c r="T2" s="2">
        <f>SLOPE(L12:L22,N12:N22)</f>
        <v>-3.0529664539437459E-4</v>
      </c>
      <c r="U2" s="2">
        <f>INTERCEPT(L2:L22,N2:N22)</f>
        <v>-5.5626099371923546E-3</v>
      </c>
    </row>
    <row r="3" spans="1:21" x14ac:dyDescent="0.25">
      <c r="F3" s="4"/>
      <c r="G3" s="4"/>
      <c r="H3" s="4"/>
      <c r="I3" s="4"/>
      <c r="L3" s="45">
        <v>8.7536837999999992</v>
      </c>
      <c r="M3" s="2">
        <v>-23882</v>
      </c>
      <c r="N3" s="2">
        <v>-28686</v>
      </c>
      <c r="O3" s="2">
        <v>-11430</v>
      </c>
    </row>
    <row r="4" spans="1:21" x14ac:dyDescent="0.25">
      <c r="L4" s="45">
        <v>7.7762269000000002</v>
      </c>
      <c r="M4" s="2">
        <v>-21215</v>
      </c>
      <c r="N4" s="2">
        <v>-25486</v>
      </c>
      <c r="O4" s="2">
        <v>-10154</v>
      </c>
    </row>
    <row r="5" spans="1:21" x14ac:dyDescent="0.25">
      <c r="L5" s="45">
        <v>6.7994041000000003</v>
      </c>
      <c r="M5" s="2">
        <v>-18550</v>
      </c>
      <c r="N5" s="2">
        <v>-22287</v>
      </c>
      <c r="O5" s="2">
        <v>-8879</v>
      </c>
    </row>
    <row r="6" spans="1:21" x14ac:dyDescent="0.25">
      <c r="L6" s="45">
        <v>5.8220755000000004</v>
      </c>
      <c r="M6" s="2">
        <v>-15884</v>
      </c>
      <c r="N6" s="2">
        <v>-19086</v>
      </c>
      <c r="O6" s="2">
        <v>-7603</v>
      </c>
    </row>
    <row r="7" spans="1:21" x14ac:dyDescent="0.25">
      <c r="L7" s="45">
        <v>4.8448194999999998</v>
      </c>
      <c r="M7" s="2">
        <v>-13218</v>
      </c>
      <c r="N7" s="2">
        <v>-15887</v>
      </c>
      <c r="O7" s="2">
        <v>-6327</v>
      </c>
    </row>
    <row r="8" spans="1:21" x14ac:dyDescent="0.25">
      <c r="L8" s="45">
        <v>3.8669661</v>
      </c>
      <c r="M8" s="2">
        <v>-10550</v>
      </c>
      <c r="N8" s="2">
        <v>-12684</v>
      </c>
      <c r="O8" s="2">
        <v>-5050</v>
      </c>
    </row>
    <row r="9" spans="1:21" x14ac:dyDescent="0.25">
      <c r="L9" s="45">
        <v>2.8894570000000002</v>
      </c>
      <c r="M9" s="2">
        <v>-7883</v>
      </c>
      <c r="N9" s="2">
        <v>-9483</v>
      </c>
      <c r="O9" s="2">
        <v>-3774</v>
      </c>
    </row>
    <row r="10" spans="1:21" x14ac:dyDescent="0.25">
      <c r="L10" s="45">
        <v>1.9126320999999999</v>
      </c>
      <c r="M10" s="2">
        <v>-5218</v>
      </c>
      <c r="N10" s="2">
        <v>-6284</v>
      </c>
      <c r="O10" s="2">
        <v>-2498</v>
      </c>
    </row>
    <row r="11" spans="1:21" x14ac:dyDescent="0.25">
      <c r="L11" s="45">
        <v>0.93523199000000001</v>
      </c>
      <c r="M11" s="2">
        <v>-2552</v>
      </c>
      <c r="N11" s="2">
        <v>-3082</v>
      </c>
      <c r="O11" s="2">
        <v>-1222</v>
      </c>
    </row>
    <row r="12" spans="1:21" x14ac:dyDescent="0.25">
      <c r="L12" s="45">
        <v>-4.1831782999999997E-2</v>
      </c>
      <c r="M12" s="2">
        <v>113</v>
      </c>
      <c r="N12" s="2">
        <v>117</v>
      </c>
      <c r="O12" s="2">
        <v>53</v>
      </c>
    </row>
    <row r="13" spans="1:21" x14ac:dyDescent="0.25">
      <c r="L13" s="45">
        <v>-1.0189288999999999</v>
      </c>
      <c r="M13" s="2">
        <v>2779</v>
      </c>
      <c r="N13" s="2">
        <v>3317</v>
      </c>
      <c r="O13" s="2">
        <v>1329</v>
      </c>
    </row>
    <row r="14" spans="1:21" x14ac:dyDescent="0.25">
      <c r="L14" s="45">
        <v>-1.9959994000000001</v>
      </c>
      <c r="M14" s="2">
        <v>5444</v>
      </c>
      <c r="N14" s="2">
        <v>6518</v>
      </c>
      <c r="O14" s="2">
        <v>2604</v>
      </c>
    </row>
    <row r="15" spans="1:21" x14ac:dyDescent="0.25">
      <c r="L15" s="45">
        <v>-2.9731893</v>
      </c>
      <c r="M15" s="2">
        <v>8110</v>
      </c>
      <c r="N15" s="2">
        <v>9719</v>
      </c>
      <c r="O15" s="2">
        <v>3880</v>
      </c>
    </row>
    <row r="16" spans="1:21" x14ac:dyDescent="0.25">
      <c r="L16" s="45">
        <v>-3.9505184</v>
      </c>
      <c r="M16" s="2">
        <v>10776</v>
      </c>
      <c r="N16" s="2">
        <v>12920</v>
      </c>
      <c r="O16" s="2">
        <v>5156</v>
      </c>
    </row>
    <row r="17" spans="12:15" x14ac:dyDescent="0.25">
      <c r="L17" s="45">
        <v>-4.9280539000000001</v>
      </c>
      <c r="M17" s="2">
        <v>13443</v>
      </c>
      <c r="N17" s="2">
        <v>16122</v>
      </c>
      <c r="O17" s="2">
        <v>6433</v>
      </c>
    </row>
    <row r="18" spans="12:15" x14ac:dyDescent="0.25">
      <c r="L18" s="45">
        <v>-5.9055758000000003</v>
      </c>
      <c r="M18" s="2">
        <v>16110</v>
      </c>
      <c r="N18" s="2">
        <v>19324</v>
      </c>
      <c r="O18" s="2">
        <v>7709</v>
      </c>
    </row>
    <row r="19" spans="12:15" x14ac:dyDescent="0.25">
      <c r="L19" s="45">
        <v>-6.8833469000000003</v>
      </c>
      <c r="M19" s="2">
        <v>18777</v>
      </c>
      <c r="N19" s="2">
        <v>22527</v>
      </c>
      <c r="O19" s="2">
        <v>8986</v>
      </c>
    </row>
    <row r="20" spans="12:15" x14ac:dyDescent="0.25">
      <c r="L20" s="45">
        <v>-7.8602223000000002</v>
      </c>
      <c r="M20" s="2">
        <v>21442</v>
      </c>
      <c r="N20" s="2">
        <v>25727</v>
      </c>
      <c r="O20" s="2">
        <v>10261</v>
      </c>
    </row>
    <row r="21" spans="12:15" x14ac:dyDescent="0.25">
      <c r="L21" s="45">
        <v>-8.8377996999999997</v>
      </c>
      <c r="M21" s="2">
        <v>24109</v>
      </c>
      <c r="N21" s="2">
        <v>28928</v>
      </c>
      <c r="O21" s="2">
        <v>11538</v>
      </c>
    </row>
    <row r="22" spans="12:15" x14ac:dyDescent="0.25">
      <c r="L22" s="45">
        <v>-9.8152307000000008</v>
      </c>
      <c r="M22" s="2">
        <v>26776</v>
      </c>
      <c r="N22" s="2">
        <v>32129</v>
      </c>
      <c r="O22" s="2">
        <v>12814</v>
      </c>
    </row>
    <row r="23" spans="12:15" x14ac:dyDescent="0.25">
      <c r="L23" s="45"/>
    </row>
    <row r="29" spans="12:15" x14ac:dyDescent="0.25">
      <c r="L29" s="142"/>
    </row>
    <row r="30" spans="12:15" x14ac:dyDescent="0.25">
      <c r="N30" s="45"/>
    </row>
    <row r="31" spans="12:15" x14ac:dyDescent="0.25">
      <c r="N31" s="142"/>
    </row>
    <row r="93" spans="1:6" x14ac:dyDescent="0.25">
      <c r="A93" s="2" t="s">
        <v>141</v>
      </c>
    </row>
    <row r="94" spans="1:6" s="3" customFormat="1" x14ac:dyDescent="0.25"/>
    <row r="95" spans="1:6" x14ac:dyDescent="0.25">
      <c r="F95" s="45"/>
    </row>
    <row r="96" spans="1:6" x14ac:dyDescent="0.25">
      <c r="F96" s="45"/>
    </row>
    <row r="97" spans="6:6" x14ac:dyDescent="0.25">
      <c r="F97" s="45"/>
    </row>
    <row r="98" spans="6:6" x14ac:dyDescent="0.25">
      <c r="F98" s="45"/>
    </row>
    <row r="99" spans="6:6" x14ac:dyDescent="0.25">
      <c r="F99" s="45"/>
    </row>
    <row r="100" spans="6:6" x14ac:dyDescent="0.25">
      <c r="F100" s="45"/>
    </row>
    <row r="101" spans="6:6" x14ac:dyDescent="0.25">
      <c r="F101" s="45"/>
    </row>
    <row r="102" spans="6:6" x14ac:dyDescent="0.25">
      <c r="F102" s="45"/>
    </row>
    <row r="103" spans="6:6" x14ac:dyDescent="0.25">
      <c r="F103" s="45"/>
    </row>
    <row r="104" spans="6:6" x14ac:dyDescent="0.25">
      <c r="F104" s="45"/>
    </row>
    <row r="105" spans="6:6" x14ac:dyDescent="0.25">
      <c r="F105" s="45"/>
    </row>
    <row r="106" spans="6:6" x14ac:dyDescent="0.25">
      <c r="F106" s="45"/>
    </row>
    <row r="107" spans="6:6" x14ac:dyDescent="0.25">
      <c r="F107" s="45"/>
    </row>
    <row r="108" spans="6:6" x14ac:dyDescent="0.25">
      <c r="F108" s="45"/>
    </row>
    <row r="109" spans="6:6" x14ac:dyDescent="0.25">
      <c r="F109" s="45"/>
    </row>
    <row r="110" spans="6:6" x14ac:dyDescent="0.25">
      <c r="F110" s="45"/>
    </row>
    <row r="111" spans="6:6" x14ac:dyDescent="0.25">
      <c r="F111" s="45"/>
    </row>
    <row r="112" spans="6:6" x14ac:dyDescent="0.25">
      <c r="F112" s="45"/>
    </row>
    <row r="113" spans="6:6" x14ac:dyDescent="0.25">
      <c r="F113" s="45"/>
    </row>
    <row r="114" spans="6:6" x14ac:dyDescent="0.25">
      <c r="F114" s="45"/>
    </row>
    <row r="115" spans="6:6" x14ac:dyDescent="0.25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514350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142875</xdr:colOff>
                    <xdr:row>0</xdr:row>
                    <xdr:rowOff>66675</xdr:rowOff>
                  </from>
                  <to>
                    <xdr:col>8</xdr:col>
                    <xdr:colOff>514350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2"/>
  <sheetViews>
    <sheetView workbookViewId="0">
      <selection activeCell="I1" sqref="I1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0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hp34401a COM4 0</v>
      </c>
      <c r="F2" s="4"/>
      <c r="G2" s="4"/>
      <c r="H2" s="4"/>
      <c r="I2" s="4"/>
      <c r="J2" s="4"/>
      <c r="L2" s="45">
        <v>0.94699253999999999</v>
      </c>
      <c r="M2" s="2">
        <v>-31540</v>
      </c>
    </row>
    <row r="3" spans="1:13" x14ac:dyDescent="0.25">
      <c r="F3" s="4"/>
      <c r="G3" s="4"/>
      <c r="H3" s="4"/>
      <c r="I3" s="4"/>
      <c r="J3" s="4"/>
      <c r="L3" s="45">
        <v>0.85202104000000001</v>
      </c>
      <c r="M3" s="2">
        <v>-28377</v>
      </c>
    </row>
    <row r="4" spans="1:13" x14ac:dyDescent="0.25">
      <c r="L4" s="45">
        <v>0.75702080999999999</v>
      </c>
      <c r="M4" s="2">
        <v>-25213</v>
      </c>
    </row>
    <row r="5" spans="1:13" x14ac:dyDescent="0.25">
      <c r="L5" s="45">
        <v>0.66207583000000003</v>
      </c>
      <c r="M5" s="2">
        <v>-22050</v>
      </c>
    </row>
    <row r="6" spans="1:13" x14ac:dyDescent="0.25">
      <c r="L6" s="45">
        <v>0.56707110999999999</v>
      </c>
      <c r="M6" s="2">
        <v>-18886</v>
      </c>
    </row>
    <row r="7" spans="1:13" x14ac:dyDescent="0.25">
      <c r="L7" s="45">
        <v>0.47206937999999998</v>
      </c>
      <c r="M7" s="2">
        <v>-15723</v>
      </c>
    </row>
    <row r="8" spans="1:13" x14ac:dyDescent="0.25">
      <c r="L8" s="45">
        <v>0.37700075999999999</v>
      </c>
      <c r="M8" s="2">
        <v>-12557</v>
      </c>
    </row>
    <row r="9" spans="1:13" x14ac:dyDescent="0.25">
      <c r="L9" s="45">
        <v>0.28195143</v>
      </c>
      <c r="M9" s="2">
        <v>-9391</v>
      </c>
    </row>
    <row r="10" spans="1:13" x14ac:dyDescent="0.25">
      <c r="L10" s="45">
        <v>0.18696462</v>
      </c>
      <c r="M10" s="2">
        <v>-6229</v>
      </c>
    </row>
    <row r="11" spans="1:13" x14ac:dyDescent="0.25">
      <c r="L11" s="45">
        <v>9.1715511999999999E-2</v>
      </c>
      <c r="M11" s="2">
        <v>-3063</v>
      </c>
    </row>
    <row r="12" spans="1:13" x14ac:dyDescent="0.25">
      <c r="L12" s="45">
        <v>-3.1028544000000001E-3</v>
      </c>
      <c r="M12" s="2">
        <v>100</v>
      </c>
    </row>
    <row r="13" spans="1:13" x14ac:dyDescent="0.25">
      <c r="L13" s="45">
        <v>-9.7992237999999995E-2</v>
      </c>
      <c r="M13" s="2">
        <v>3263</v>
      </c>
    </row>
    <row r="14" spans="1:13" x14ac:dyDescent="0.25">
      <c r="L14" s="45">
        <v>-0.19324621</v>
      </c>
      <c r="M14" s="2">
        <v>6429</v>
      </c>
    </row>
    <row r="15" spans="1:13" x14ac:dyDescent="0.25">
      <c r="L15" s="45">
        <v>-0.28815653000000002</v>
      </c>
      <c r="M15" s="2">
        <v>9593</v>
      </c>
    </row>
    <row r="16" spans="1:13" x14ac:dyDescent="0.25">
      <c r="L16" s="45">
        <v>-0.38319104999999998</v>
      </c>
      <c r="M16" s="2">
        <v>12758</v>
      </c>
    </row>
    <row r="17" spans="12:13" x14ac:dyDescent="0.25">
      <c r="L17" s="45">
        <v>-0.47823567</v>
      </c>
      <c r="M17" s="2">
        <v>15924</v>
      </c>
    </row>
    <row r="18" spans="12:13" x14ac:dyDescent="0.25">
      <c r="L18" s="45">
        <v>-0.57327784000000004</v>
      </c>
      <c r="M18" s="2">
        <v>19090</v>
      </c>
    </row>
    <row r="19" spans="12:13" x14ac:dyDescent="0.25">
      <c r="L19" s="45">
        <v>-0.66833304000000004</v>
      </c>
      <c r="M19" s="2">
        <v>22257</v>
      </c>
    </row>
    <row r="20" spans="12:13" x14ac:dyDescent="0.25">
      <c r="L20" s="45">
        <v>-0.76328138000000001</v>
      </c>
      <c r="M20" s="2">
        <v>25421</v>
      </c>
    </row>
    <row r="21" spans="12:13" x14ac:dyDescent="0.25">
      <c r="L21" s="45">
        <v>-0.85829082000000001</v>
      </c>
      <c r="M21" s="2">
        <v>28585</v>
      </c>
    </row>
    <row r="22" spans="12:13" x14ac:dyDescent="0.25">
      <c r="L22" s="45">
        <v>-0.95326</v>
      </c>
      <c r="M22" s="2">
        <v>31751</v>
      </c>
    </row>
    <row r="52" s="3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209550</xdr:colOff>
                    <xdr:row>0</xdr:row>
                    <xdr:rowOff>95250</xdr:rowOff>
                  </from>
                  <to>
                    <xdr:col>7</xdr:col>
                    <xdr:colOff>228600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390525</xdr:colOff>
                    <xdr:row>0</xdr:row>
                    <xdr:rowOff>95250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workbookViewId="0">
      <selection activeCell="H39" sqref="H39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1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hp34401a COM4 1</v>
      </c>
      <c r="F2" s="4"/>
      <c r="G2" s="4"/>
      <c r="H2" s="4"/>
      <c r="I2" s="4"/>
      <c r="J2" s="4"/>
      <c r="L2" s="45">
        <v>5.9757234999999999E-2</v>
      </c>
      <c r="M2" s="2">
        <v>-31532</v>
      </c>
    </row>
    <row r="3" spans="1:13" x14ac:dyDescent="0.25">
      <c r="F3" s="4"/>
      <c r="G3" s="4"/>
      <c r="H3" s="4"/>
      <c r="I3" s="4"/>
      <c r="J3" s="4"/>
      <c r="L3" s="45">
        <v>5.3761266000000002E-2</v>
      </c>
      <c r="M3" s="2">
        <v>-28370</v>
      </c>
    </row>
    <row r="4" spans="1:13" x14ac:dyDescent="0.25">
      <c r="L4" s="45">
        <v>4.7766083000000001E-2</v>
      </c>
      <c r="M4" s="2">
        <v>-25207</v>
      </c>
    </row>
    <row r="5" spans="1:13" x14ac:dyDescent="0.25">
      <c r="L5" s="45">
        <v>4.1775135999999997E-2</v>
      </c>
      <c r="M5" s="2">
        <v>-22045</v>
      </c>
    </row>
    <row r="6" spans="1:13" x14ac:dyDescent="0.25">
      <c r="L6" s="45">
        <v>3.5780922E-2</v>
      </c>
      <c r="M6" s="2">
        <v>-18883</v>
      </c>
    </row>
    <row r="7" spans="1:13" x14ac:dyDescent="0.25">
      <c r="L7" s="45">
        <v>2.9786325999999998E-2</v>
      </c>
      <c r="M7" s="2">
        <v>-15719</v>
      </c>
    </row>
    <row r="8" spans="1:13" x14ac:dyDescent="0.25">
      <c r="L8" s="45">
        <v>2.3787620999999998E-2</v>
      </c>
      <c r="M8" s="2">
        <v>-12554</v>
      </c>
    </row>
    <row r="9" spans="1:13" x14ac:dyDescent="0.25">
      <c r="L9" s="45">
        <v>1.7790084000000001E-2</v>
      </c>
      <c r="M9" s="2">
        <v>-9389</v>
      </c>
    </row>
    <row r="10" spans="1:13" x14ac:dyDescent="0.25">
      <c r="L10" s="45">
        <v>1.1796001E-2</v>
      </c>
      <c r="M10" s="2">
        <v>-6227</v>
      </c>
    </row>
    <row r="11" spans="1:13" x14ac:dyDescent="0.25">
      <c r="L11" s="45">
        <v>5.797923E-3</v>
      </c>
      <c r="M11" s="2">
        <v>-3063</v>
      </c>
    </row>
    <row r="12" spans="1:13" x14ac:dyDescent="0.25">
      <c r="L12" s="45">
        <v>-1.9868770000000001E-4</v>
      </c>
      <c r="M12" s="2">
        <v>100</v>
      </c>
    </row>
    <row r="13" spans="1:13" x14ac:dyDescent="0.25">
      <c r="L13" s="45">
        <v>-6.195987E-3</v>
      </c>
      <c r="M13" s="2">
        <v>3263</v>
      </c>
    </row>
    <row r="14" spans="1:13" x14ac:dyDescent="0.25">
      <c r="L14" s="45">
        <v>-1.2193223E-2</v>
      </c>
      <c r="M14" s="2">
        <v>6427</v>
      </c>
    </row>
    <row r="15" spans="1:13" x14ac:dyDescent="0.25">
      <c r="L15" s="45">
        <v>-1.8191002000000001E-2</v>
      </c>
      <c r="M15" s="2">
        <v>9591</v>
      </c>
    </row>
    <row r="16" spans="1:13" x14ac:dyDescent="0.25">
      <c r="L16" s="45">
        <v>-2.4189459999999999E-2</v>
      </c>
      <c r="M16" s="2">
        <v>12755</v>
      </c>
    </row>
    <row r="17" spans="12:13" x14ac:dyDescent="0.25">
      <c r="L17" s="45">
        <v>-3.0188223E-2</v>
      </c>
      <c r="M17" s="2">
        <v>15920</v>
      </c>
    </row>
    <row r="18" spans="12:13" x14ac:dyDescent="0.25">
      <c r="L18" s="45">
        <v>-3.6186372000000001E-2</v>
      </c>
      <c r="M18" s="2">
        <v>19085</v>
      </c>
    </row>
    <row r="19" spans="12:13" x14ac:dyDescent="0.25">
      <c r="L19" s="45">
        <v>-4.2184695000000001E-2</v>
      </c>
      <c r="M19" s="2">
        <v>22250</v>
      </c>
    </row>
    <row r="20" spans="12:13" x14ac:dyDescent="0.25">
      <c r="L20" s="45">
        <v>-4.8176139999999999E-2</v>
      </c>
      <c r="M20" s="2">
        <v>25413</v>
      </c>
    </row>
    <row r="21" spans="12:13" x14ac:dyDescent="0.25">
      <c r="L21" s="45">
        <v>-5.4170146000000002E-2</v>
      </c>
      <c r="M21" s="2">
        <v>28577</v>
      </c>
    </row>
    <row r="22" spans="12:13" x14ac:dyDescent="0.25">
      <c r="L22" s="45">
        <v>-6.0160975999999998E-2</v>
      </c>
      <c r="M22" s="2">
        <v>31741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247650</xdr:colOff>
                    <xdr:row>0</xdr:row>
                    <xdr:rowOff>95250</xdr:rowOff>
                  </from>
                  <to>
                    <xdr:col>7</xdr:col>
                    <xdr:colOff>247650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409575</xdr:colOff>
                    <xdr:row>0</xdr:row>
                    <xdr:rowOff>95250</xdr:rowOff>
                  </from>
                  <to>
                    <xdr:col>9</xdr:col>
                    <xdr:colOff>400050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22"/>
  <sheetViews>
    <sheetView workbookViewId="0">
      <selection activeCell="B1" sqref="B1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4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2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4" x14ac:dyDescent="0.25">
      <c r="A2" s="3" t="s">
        <v>138</v>
      </c>
      <c r="B2" t="str">
        <f>_xlfn.CONCAT(Connect!G1, " ", Connect!J1, " ", Connect!D1, " ", B1, " ", C1, " ", E1)</f>
        <v>v2 0 COM8 hp34401a COM4 2</v>
      </c>
      <c r="F2" s="4"/>
      <c r="G2" s="4"/>
      <c r="H2" s="4"/>
      <c r="I2" s="4"/>
      <c r="J2" s="4"/>
      <c r="L2" s="45">
        <v>9.6404598000000008E-3</v>
      </c>
      <c r="M2" s="2">
        <v>-31532</v>
      </c>
      <c r="N2" s="48"/>
    </row>
    <row r="3" spans="1:14" x14ac:dyDescent="0.25">
      <c r="F3" s="4"/>
      <c r="G3" s="4"/>
      <c r="H3" s="4"/>
      <c r="I3" s="4"/>
      <c r="J3" s="4"/>
      <c r="L3" s="45">
        <v>8.6732965999999998E-3</v>
      </c>
      <c r="M3" s="2">
        <v>-28369</v>
      </c>
      <c r="N3" s="48"/>
    </row>
    <row r="4" spans="1:14" x14ac:dyDescent="0.25">
      <c r="L4" s="45">
        <v>7.7060395000000002E-3</v>
      </c>
      <c r="M4" s="2">
        <v>-25206</v>
      </c>
      <c r="N4" s="48"/>
    </row>
    <row r="5" spans="1:14" x14ac:dyDescent="0.25">
      <c r="L5" s="45">
        <v>6.7392342999999999E-3</v>
      </c>
      <c r="M5" s="2">
        <v>-22045</v>
      </c>
      <c r="N5" s="48"/>
    </row>
    <row r="6" spans="1:14" x14ac:dyDescent="0.25">
      <c r="L6" s="45">
        <v>5.7720410000000003E-3</v>
      </c>
      <c r="M6" s="2">
        <v>-18882</v>
      </c>
      <c r="N6" s="48"/>
    </row>
    <row r="7" spans="1:14" x14ac:dyDescent="0.25">
      <c r="L7" s="45">
        <v>4.8048016999999998E-3</v>
      </c>
      <c r="M7" s="2">
        <v>-15719</v>
      </c>
      <c r="N7" s="48"/>
    </row>
    <row r="8" spans="1:14" x14ac:dyDescent="0.25">
      <c r="L8" s="45">
        <v>3.8370046E-3</v>
      </c>
      <c r="M8" s="2">
        <v>-12554</v>
      </c>
      <c r="N8" s="48"/>
    </row>
    <row r="9" spans="1:14" x14ac:dyDescent="0.25">
      <c r="L9" s="45">
        <v>2.8695278E-3</v>
      </c>
      <c r="M9" s="2">
        <v>-9390</v>
      </c>
      <c r="N9" s="48"/>
    </row>
    <row r="10" spans="1:14" x14ac:dyDescent="0.25">
      <c r="L10" s="45">
        <v>1.9027416999999999E-3</v>
      </c>
      <c r="M10" s="2">
        <v>-6228</v>
      </c>
      <c r="N10" s="48"/>
    </row>
    <row r="11" spans="1:14" x14ac:dyDescent="0.25">
      <c r="L11" s="45">
        <v>9.3533660000000003E-4</v>
      </c>
      <c r="M11" s="2">
        <v>-3063</v>
      </c>
      <c r="N11" s="48"/>
    </row>
    <row r="12" spans="1:14" x14ac:dyDescent="0.25">
      <c r="L12" s="45">
        <v>-3.1773100000000002E-5</v>
      </c>
      <c r="M12" s="2">
        <v>99</v>
      </c>
      <c r="N12" s="48"/>
    </row>
    <row r="13" spans="1:14" x14ac:dyDescent="0.25">
      <c r="L13" s="45">
        <v>-9.9886490000000001E-4</v>
      </c>
      <c r="M13" s="2">
        <v>3263</v>
      </c>
      <c r="N13" s="48"/>
    </row>
    <row r="14" spans="1:14" x14ac:dyDescent="0.25">
      <c r="L14" s="45">
        <v>-1.9659688000000001E-3</v>
      </c>
      <c r="M14" s="2">
        <v>6426</v>
      </c>
      <c r="N14" s="48"/>
    </row>
    <row r="15" spans="1:14" x14ac:dyDescent="0.25">
      <c r="L15" s="45">
        <v>-2.9331482000000001E-3</v>
      </c>
      <c r="M15" s="2">
        <v>9590</v>
      </c>
      <c r="N15" s="48"/>
    </row>
    <row r="16" spans="1:14" x14ac:dyDescent="0.25">
      <c r="L16" s="45">
        <v>-3.9004612000000001E-3</v>
      </c>
      <c r="M16" s="2">
        <v>12754</v>
      </c>
      <c r="N16" s="48"/>
    </row>
    <row r="17" spans="12:14" x14ac:dyDescent="0.25">
      <c r="L17" s="45">
        <v>-4.8679487000000002E-3</v>
      </c>
      <c r="M17" s="2">
        <v>15919</v>
      </c>
      <c r="N17" s="48"/>
    </row>
    <row r="18" spans="12:14" x14ac:dyDescent="0.25">
      <c r="L18" s="45">
        <v>-5.8354835000000004E-3</v>
      </c>
      <c r="M18" s="2">
        <v>19084</v>
      </c>
      <c r="N18" s="48"/>
    </row>
    <row r="19" spans="12:14" x14ac:dyDescent="0.25">
      <c r="L19" s="45">
        <v>-6.8031901999999998E-3</v>
      </c>
      <c r="M19" s="2">
        <v>22250</v>
      </c>
      <c r="N19" s="48"/>
    </row>
    <row r="20" spans="12:14" x14ac:dyDescent="0.25">
      <c r="L20" s="45">
        <v>-7.7700449999999997E-3</v>
      </c>
      <c r="M20" s="2">
        <v>25412</v>
      </c>
      <c r="N20" s="48"/>
    </row>
    <row r="21" spans="12:14" x14ac:dyDescent="0.25">
      <c r="L21" s="45">
        <v>-8.7375413000000002E-3</v>
      </c>
      <c r="M21" s="2">
        <v>28577</v>
      </c>
      <c r="N21" s="48"/>
    </row>
    <row r="22" spans="12:14" x14ac:dyDescent="0.25">
      <c r="L22" s="45">
        <v>-9.7048289999999999E-3</v>
      </c>
      <c r="M22" s="2">
        <v>31740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257175</xdr:colOff>
                    <xdr:row>0</xdr:row>
                    <xdr:rowOff>104775</xdr:rowOff>
                  </from>
                  <to>
                    <xdr:col>7</xdr:col>
                    <xdr:colOff>247650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400050</xdr:colOff>
                    <xdr:row>0</xdr:row>
                    <xdr:rowOff>95250</xdr:rowOff>
                  </from>
                  <to>
                    <xdr:col>9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2"/>
  <sheetViews>
    <sheetView workbookViewId="0">
      <selection activeCell="B1" sqref="B1"/>
    </sheetView>
  </sheetViews>
  <sheetFormatPr defaultColWidth="8.7109375" defaultRowHeight="15" x14ac:dyDescent="0.25"/>
  <cols>
    <col min="1" max="2" width="8.7109375" style="46" customWidth="1"/>
    <col min="3" max="10" width="8.7109375" style="46"/>
    <col min="11" max="11" width="8.7109375" style="46" customWidth="1"/>
    <col min="12" max="12" width="17.42578125" style="46" bestFit="1" customWidth="1"/>
    <col min="13" max="13" width="7.42578125" style="46" bestFit="1" customWidth="1"/>
    <col min="14" max="16384" width="8.7109375" style="46"/>
  </cols>
  <sheetData>
    <row r="1" spans="1:14" x14ac:dyDescent="0.25">
      <c r="A1" s="47" t="s">
        <v>47</v>
      </c>
      <c r="B1" s="5" t="s">
        <v>2</v>
      </c>
      <c r="C1" s="2" t="str">
        <f>VLOOKUP(B1,Connect!A2:D3, 4)</f>
        <v>COM7</v>
      </c>
      <c r="D1" s="3" t="s">
        <v>65</v>
      </c>
      <c r="E1" s="46">
        <v>3</v>
      </c>
      <c r="F1" s="104"/>
      <c r="G1" s="104"/>
      <c r="H1" s="104"/>
      <c r="I1" s="104"/>
      <c r="J1" s="104"/>
      <c r="L1" s="3" t="s">
        <v>62</v>
      </c>
      <c r="M1" s="3" t="s">
        <v>7</v>
      </c>
    </row>
    <row r="2" spans="1:14" x14ac:dyDescent="0.25">
      <c r="A2" s="3" t="s">
        <v>138</v>
      </c>
      <c r="B2" t="str">
        <f>_xlfn.CONCAT(Connect!G1, " ", Connect!J1, " ", Connect!D1, " ", B1, " ", C1, " ", E1)</f>
        <v>v2 0 COM8 keithley485 COM7 3</v>
      </c>
      <c r="F2" s="104"/>
      <c r="G2" s="104"/>
      <c r="H2" s="104"/>
      <c r="I2" s="104"/>
      <c r="J2" s="104"/>
      <c r="L2" s="48">
        <v>9.6409999999999996E-4</v>
      </c>
      <c r="M2" s="46">
        <v>-31533</v>
      </c>
      <c r="N2" s="48"/>
    </row>
    <row r="3" spans="1:14" x14ac:dyDescent="0.25">
      <c r="F3" s="104"/>
      <c r="G3" s="104"/>
      <c r="H3" s="104"/>
      <c r="I3" s="104"/>
      <c r="J3" s="104"/>
      <c r="L3" s="48">
        <v>8.6729999999999999E-4</v>
      </c>
      <c r="M3" s="46">
        <v>-28371</v>
      </c>
      <c r="N3" s="48"/>
    </row>
    <row r="4" spans="1:14" x14ac:dyDescent="0.25">
      <c r="L4" s="48">
        <v>7.7059999999999997E-4</v>
      </c>
      <c r="M4" s="46">
        <v>-25207</v>
      </c>
      <c r="N4" s="48"/>
    </row>
    <row r="5" spans="1:14" x14ac:dyDescent="0.25">
      <c r="L5" s="48">
        <v>6.7389999999999995E-4</v>
      </c>
      <c r="M5" s="46">
        <v>-22046</v>
      </c>
      <c r="N5" s="48"/>
    </row>
    <row r="6" spans="1:14" x14ac:dyDescent="0.25">
      <c r="L6" s="48">
        <v>5.7720000000000004E-4</v>
      </c>
      <c r="M6" s="46">
        <v>-18883</v>
      </c>
      <c r="N6" s="48"/>
    </row>
    <row r="7" spans="1:14" x14ac:dyDescent="0.25">
      <c r="L7" s="48">
        <v>4.8040000000000002E-4</v>
      </c>
      <c r="M7" s="46">
        <v>-15720</v>
      </c>
      <c r="N7" s="48"/>
    </row>
    <row r="8" spans="1:14" x14ac:dyDescent="0.25">
      <c r="L8" s="48">
        <v>3.836E-4</v>
      </c>
      <c r="M8" s="46">
        <v>-12555</v>
      </c>
      <c r="N8" s="48"/>
    </row>
    <row r="9" spans="1:14" x14ac:dyDescent="0.25">
      <c r="L9" s="48">
        <v>2.8689999999999998E-4</v>
      </c>
      <c r="M9" s="46">
        <v>-9390</v>
      </c>
      <c r="N9" s="48"/>
    </row>
    <row r="10" spans="1:14" x14ac:dyDescent="0.25">
      <c r="L10" s="48">
        <v>1.9019999999999999E-4</v>
      </c>
      <c r="M10" s="46">
        <v>-6228</v>
      </c>
      <c r="N10" s="48"/>
    </row>
    <row r="11" spans="1:14" x14ac:dyDescent="0.25">
      <c r="L11" s="48">
        <v>9.344E-5</v>
      </c>
      <c r="M11" s="46">
        <v>-3063</v>
      </c>
      <c r="N11" s="48"/>
    </row>
    <row r="12" spans="1:14" x14ac:dyDescent="0.25">
      <c r="L12" s="48">
        <v>-3.236E-6</v>
      </c>
      <c r="M12" s="46">
        <v>99</v>
      </c>
      <c r="N12" s="48"/>
    </row>
    <row r="13" spans="1:14" x14ac:dyDescent="0.25">
      <c r="L13" s="48">
        <v>-1E-4</v>
      </c>
      <c r="M13" s="46">
        <v>3264</v>
      </c>
      <c r="N13" s="48"/>
    </row>
    <row r="14" spans="1:14" x14ac:dyDescent="0.25">
      <c r="L14" s="48">
        <v>-1.9668999999999999E-4</v>
      </c>
      <c r="M14" s="46">
        <v>6427</v>
      </c>
      <c r="N14" s="48"/>
    </row>
    <row r="15" spans="1:14" x14ac:dyDescent="0.25">
      <c r="L15" s="48">
        <v>-2.9339999999999998E-4</v>
      </c>
      <c r="M15" s="46">
        <v>9590</v>
      </c>
      <c r="N15" s="48"/>
    </row>
    <row r="16" spans="1:14" x14ac:dyDescent="0.25">
      <c r="L16" s="48">
        <v>-3.901E-4</v>
      </c>
      <c r="M16" s="46">
        <v>12754</v>
      </c>
      <c r="N16" s="48"/>
    </row>
    <row r="17" spans="11:14" x14ac:dyDescent="0.25">
      <c r="L17" s="48">
        <v>-4.8680000000000001E-4</v>
      </c>
      <c r="M17" s="46">
        <v>15918</v>
      </c>
      <c r="N17" s="48"/>
    </row>
    <row r="18" spans="11:14" x14ac:dyDescent="0.25">
      <c r="L18" s="48">
        <v>-5.8359999999999998E-4</v>
      </c>
      <c r="M18" s="46">
        <v>19083</v>
      </c>
      <c r="N18" s="48"/>
    </row>
    <row r="19" spans="11:14" x14ac:dyDescent="0.25">
      <c r="L19" s="48">
        <v>-6.8039999999999995E-4</v>
      </c>
      <c r="M19" s="46">
        <v>22249</v>
      </c>
      <c r="N19" s="48"/>
    </row>
    <row r="20" spans="11:14" x14ac:dyDescent="0.25">
      <c r="L20" s="48">
        <v>-7.7709999999999997E-4</v>
      </c>
      <c r="M20" s="46">
        <v>25411</v>
      </c>
      <c r="N20" s="48"/>
    </row>
    <row r="21" spans="11:14" x14ac:dyDescent="0.25">
      <c r="L21" s="48">
        <v>-8.7379999999999999E-4</v>
      </c>
      <c r="M21" s="46">
        <v>28575</v>
      </c>
      <c r="N21" s="48"/>
    </row>
    <row r="22" spans="11:14" x14ac:dyDescent="0.25">
      <c r="L22" s="48">
        <v>-9.7059999999999996E-4</v>
      </c>
      <c r="M22" s="46">
        <v>31739</v>
      </c>
      <c r="N22" s="48"/>
    </row>
    <row r="26" spans="11:14" x14ac:dyDescent="0.25">
      <c r="K26" s="48"/>
    </row>
    <row r="27" spans="11:14" x14ac:dyDescent="0.25">
      <c r="K27" s="48"/>
    </row>
    <row r="28" spans="11:14" x14ac:dyDescent="0.25">
      <c r="K28" s="48"/>
    </row>
    <row r="29" spans="11:14" x14ac:dyDescent="0.25">
      <c r="K29" s="48"/>
    </row>
    <row r="30" spans="11:14" x14ac:dyDescent="0.25">
      <c r="K30" s="48"/>
    </row>
    <row r="31" spans="11:14" x14ac:dyDescent="0.25">
      <c r="K31" s="48"/>
    </row>
    <row r="32" spans="11:14" x14ac:dyDescent="0.25">
      <c r="K32" s="48"/>
    </row>
    <row r="33" spans="11:11" x14ac:dyDescent="0.25">
      <c r="K33" s="48"/>
    </row>
    <row r="34" spans="11:11" x14ac:dyDescent="0.25">
      <c r="K34" s="48"/>
    </row>
    <row r="35" spans="11:11" x14ac:dyDescent="0.25">
      <c r="K35" s="48"/>
    </row>
    <row r="36" spans="11:11" x14ac:dyDescent="0.25">
      <c r="K36" s="48"/>
    </row>
    <row r="37" spans="11:11" x14ac:dyDescent="0.25">
      <c r="K37" s="48"/>
    </row>
    <row r="38" spans="11:11" x14ac:dyDescent="0.25">
      <c r="K38" s="48"/>
    </row>
    <row r="39" spans="11:11" x14ac:dyDescent="0.25">
      <c r="K39" s="48"/>
    </row>
    <row r="40" spans="11:11" x14ac:dyDescent="0.25">
      <c r="K40" s="48"/>
    </row>
    <row r="41" spans="11:11" x14ac:dyDescent="0.25">
      <c r="K41" s="48"/>
    </row>
    <row r="42" spans="11:11" x14ac:dyDescent="0.25">
      <c r="K42" s="48"/>
    </row>
    <row r="43" spans="11:11" x14ac:dyDescent="0.25">
      <c r="K43" s="48"/>
    </row>
    <row r="44" spans="11:11" x14ac:dyDescent="0.25">
      <c r="K44" s="48"/>
    </row>
    <row r="45" spans="11:11" x14ac:dyDescent="0.25">
      <c r="K45" s="48"/>
    </row>
    <row r="46" spans="11:11" x14ac:dyDescent="0.25">
      <c r="K46" s="48"/>
    </row>
    <row r="52" s="3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400050</xdr:colOff>
                    <xdr:row>0</xdr:row>
                    <xdr:rowOff>57150</xdr:rowOff>
                  </from>
                  <to>
                    <xdr:col>9</xdr:col>
                    <xdr:colOff>371475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22"/>
  <sheetViews>
    <sheetView workbookViewId="0">
      <selection activeCell="B1" sqref="B1"/>
    </sheetView>
  </sheetViews>
  <sheetFormatPr defaultColWidth="8.7109375" defaultRowHeight="15" x14ac:dyDescent="0.25"/>
  <cols>
    <col min="1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4</v>
      </c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keithley485 COM7 4</v>
      </c>
      <c r="L2" s="45">
        <v>9.6409999999999993E-5</v>
      </c>
      <c r="M2" s="2">
        <v>-31533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8.6730000000000005E-5</v>
      </c>
      <c r="M3" s="2">
        <v>-28370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7.7059999999999997E-5</v>
      </c>
      <c r="M4" s="2">
        <v>-25207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6.7379999999999995E-5</v>
      </c>
      <c r="M5" s="2">
        <v>-22045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5.7710000000000001E-5</v>
      </c>
      <c r="M6" s="2">
        <v>-18882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4.8040000000000001E-5</v>
      </c>
      <c r="M7" s="2">
        <v>-15719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3.8359999999999999E-5</v>
      </c>
      <c r="M8" s="2">
        <v>-12554</v>
      </c>
    </row>
    <row r="9" spans="1:13" x14ac:dyDescent="0.25">
      <c r="L9" s="45">
        <v>2.868E-5</v>
      </c>
      <c r="M9" s="2">
        <v>-9390</v>
      </c>
    </row>
    <row r="10" spans="1:13" x14ac:dyDescent="0.25">
      <c r="L10" s="45">
        <v>1.9009999999999999E-5</v>
      </c>
      <c r="M10" s="2">
        <v>-6228</v>
      </c>
    </row>
    <row r="11" spans="1:13" x14ac:dyDescent="0.25">
      <c r="L11" s="45">
        <v>9.3449999999999995E-6</v>
      </c>
      <c r="M11" s="2">
        <v>-3064</v>
      </c>
    </row>
    <row r="12" spans="1:13" x14ac:dyDescent="0.25">
      <c r="L12" s="45">
        <v>-3.2220000000000001E-7</v>
      </c>
      <c r="M12" s="2">
        <v>99</v>
      </c>
    </row>
    <row r="13" spans="1:13" x14ac:dyDescent="0.25">
      <c r="L13" s="45">
        <v>-1.0006999999999999E-5</v>
      </c>
      <c r="M13" s="2">
        <v>3264</v>
      </c>
    </row>
    <row r="14" spans="1:13" x14ac:dyDescent="0.25">
      <c r="L14" s="45">
        <v>-1.9675000000000001E-5</v>
      </c>
      <c r="M14" s="2">
        <v>6426</v>
      </c>
    </row>
    <row r="15" spans="1:13" x14ac:dyDescent="0.25">
      <c r="L15" s="45">
        <v>-2.9329999999999999E-5</v>
      </c>
      <c r="M15" s="2">
        <v>9589</v>
      </c>
    </row>
    <row r="16" spans="1:13" x14ac:dyDescent="0.25">
      <c r="L16" s="45">
        <v>-3.8999999999999999E-5</v>
      </c>
      <c r="M16" s="2">
        <v>12753</v>
      </c>
    </row>
    <row r="17" spans="12:13" x14ac:dyDescent="0.25">
      <c r="L17" s="45">
        <v>-4.8680000000000001E-5</v>
      </c>
      <c r="M17" s="2">
        <v>15918</v>
      </c>
    </row>
    <row r="18" spans="12:13" x14ac:dyDescent="0.25">
      <c r="L18" s="45">
        <v>-5.8350000000000002E-5</v>
      </c>
      <c r="M18" s="2">
        <v>19083</v>
      </c>
    </row>
    <row r="19" spans="12:13" x14ac:dyDescent="0.25">
      <c r="L19" s="45">
        <v>-6.8029999999999997E-5</v>
      </c>
      <c r="M19" s="2">
        <v>22249</v>
      </c>
    </row>
    <row r="20" spans="12:13" x14ac:dyDescent="0.25">
      <c r="L20" s="45">
        <v>-7.7700000000000005E-5</v>
      </c>
      <c r="M20" s="2">
        <v>25411</v>
      </c>
    </row>
    <row r="21" spans="12:13" x14ac:dyDescent="0.25">
      <c r="L21" s="45">
        <v>-8.7369999999999999E-5</v>
      </c>
      <c r="M21" s="2">
        <v>28575</v>
      </c>
    </row>
    <row r="22" spans="12:13" x14ac:dyDescent="0.25">
      <c r="L22" s="45">
        <v>-9.7040000000000006E-5</v>
      </c>
      <c r="M22" s="2">
        <v>31738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2"/>
  <sheetViews>
    <sheetView workbookViewId="0">
      <selection activeCell="B1" sqref="B1"/>
    </sheetView>
  </sheetViews>
  <sheetFormatPr defaultColWidth="8.7109375" defaultRowHeight="15" x14ac:dyDescent="0.25"/>
  <cols>
    <col min="1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5</v>
      </c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keithley485 COM7 5</v>
      </c>
      <c r="L2" s="45">
        <v>9.6539999999999994E-6</v>
      </c>
      <c r="M2" s="2">
        <v>-31532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8.6819999999999992E-6</v>
      </c>
      <c r="M3" s="2">
        <v>-28370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7.712E-6</v>
      </c>
      <c r="M4" s="2">
        <v>-25207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6.7410000000000003E-6</v>
      </c>
      <c r="M5" s="2">
        <v>-22046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5.7790000000000001E-6</v>
      </c>
      <c r="M6" s="2">
        <v>-18883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4.8080000000000004E-6</v>
      </c>
      <c r="M7" s="2">
        <v>-15720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3.8360000000000002E-6</v>
      </c>
      <c r="M8" s="2">
        <v>-12555</v>
      </c>
    </row>
    <row r="9" spans="1:13" x14ac:dyDescent="0.25">
      <c r="L9" s="45">
        <v>2.8710000000000001E-6</v>
      </c>
      <c r="M9" s="2">
        <v>-9391</v>
      </c>
    </row>
    <row r="10" spans="1:13" x14ac:dyDescent="0.25">
      <c r="L10" s="45">
        <v>1.9039999999999999E-6</v>
      </c>
      <c r="M10" s="2">
        <v>-6229</v>
      </c>
    </row>
    <row r="11" spans="1:13" x14ac:dyDescent="0.25">
      <c r="L11" s="45">
        <v>9.3640000000000005E-7</v>
      </c>
      <c r="M11" s="2">
        <v>-3065</v>
      </c>
    </row>
    <row r="12" spans="1:13" x14ac:dyDescent="0.25">
      <c r="L12" s="45">
        <v>-2.9819999999999998E-8</v>
      </c>
      <c r="M12" s="2">
        <v>98</v>
      </c>
    </row>
    <row r="13" spans="1:13" x14ac:dyDescent="0.25">
      <c r="L13" s="45">
        <v>-1.0096E-6</v>
      </c>
      <c r="M13" s="2">
        <v>3262</v>
      </c>
    </row>
    <row r="14" spans="1:13" x14ac:dyDescent="0.25">
      <c r="L14" s="45">
        <v>-1.9686000000000001E-6</v>
      </c>
      <c r="M14" s="2">
        <v>6426</v>
      </c>
    </row>
    <row r="15" spans="1:13" x14ac:dyDescent="0.25">
      <c r="L15" s="45">
        <v>-2.9340000000000002E-6</v>
      </c>
      <c r="M15" s="2">
        <v>9590</v>
      </c>
    </row>
    <row r="16" spans="1:13" x14ac:dyDescent="0.25">
      <c r="L16" s="45">
        <v>-3.9020000000000001E-6</v>
      </c>
      <c r="M16" s="2">
        <v>12755</v>
      </c>
    </row>
    <row r="17" spans="12:13" x14ac:dyDescent="0.25">
      <c r="L17" s="45">
        <v>-4.87E-6</v>
      </c>
      <c r="M17" s="2">
        <v>15919</v>
      </c>
    </row>
    <row r="18" spans="12:13" x14ac:dyDescent="0.25">
      <c r="L18" s="45">
        <v>-5.8390000000000003E-6</v>
      </c>
      <c r="M18" s="2">
        <v>19085</v>
      </c>
    </row>
    <row r="19" spans="12:13" x14ac:dyDescent="0.25">
      <c r="L19" s="45">
        <v>-6.8059999999999997E-6</v>
      </c>
      <c r="M19" s="2">
        <v>22250</v>
      </c>
    </row>
    <row r="20" spans="12:13" x14ac:dyDescent="0.25">
      <c r="L20" s="45">
        <v>-7.7740000000000004E-6</v>
      </c>
      <c r="M20" s="2">
        <v>25413</v>
      </c>
    </row>
    <row r="21" spans="12:13" x14ac:dyDescent="0.25">
      <c r="L21" s="45">
        <v>-8.7420000000000003E-6</v>
      </c>
      <c r="M21" s="2">
        <v>28577</v>
      </c>
    </row>
    <row r="22" spans="12:13" x14ac:dyDescent="0.25">
      <c r="L22" s="45">
        <v>-9.7089999999999997E-6</v>
      </c>
      <c r="M22" s="2">
        <v>31740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22"/>
  <sheetViews>
    <sheetView workbookViewId="0">
      <selection activeCell="B1" sqref="B1"/>
    </sheetView>
  </sheetViews>
  <sheetFormatPr defaultColWidth="8.7109375" defaultRowHeight="15" x14ac:dyDescent="0.25"/>
  <cols>
    <col min="1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6</v>
      </c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keithley485 COM7 6</v>
      </c>
      <c r="L2" s="45">
        <v>9.6609999999999995E-7</v>
      </c>
      <c r="M2" s="2">
        <v>-31531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8.6840000000000002E-7</v>
      </c>
      <c r="M3" s="2">
        <v>-28369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7.7140000000000004E-7</v>
      </c>
      <c r="M4" s="2">
        <v>-25206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6.7439999999999995E-7</v>
      </c>
      <c r="M5" s="2">
        <v>-22045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5.7429999999999995E-7</v>
      </c>
      <c r="M6" s="2">
        <v>-18882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4.75E-7</v>
      </c>
      <c r="M7" s="2">
        <v>-15720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3.8309999999999998E-7</v>
      </c>
      <c r="M8" s="2">
        <v>-12555</v>
      </c>
    </row>
    <row r="9" spans="1:13" x14ac:dyDescent="0.25">
      <c r="L9" s="45">
        <v>2.8729999999999999E-7</v>
      </c>
      <c r="M9" s="2">
        <v>-9390</v>
      </c>
    </row>
    <row r="10" spans="1:13" x14ac:dyDescent="0.25">
      <c r="L10" s="45">
        <v>1.9079999999999999E-7</v>
      </c>
      <c r="M10" s="2">
        <v>-6228</v>
      </c>
    </row>
    <row r="11" spans="1:13" x14ac:dyDescent="0.25">
      <c r="L11" s="45">
        <v>9.4679999999999998E-8</v>
      </c>
      <c r="M11" s="2">
        <v>-3063</v>
      </c>
    </row>
    <row r="12" spans="1:13" x14ac:dyDescent="0.25">
      <c r="L12" s="45"/>
      <c r="M12" s="2">
        <v>100</v>
      </c>
    </row>
    <row r="13" spans="1:13" x14ac:dyDescent="0.25">
      <c r="L13" s="45">
        <v>-9.9530000000000005E-8</v>
      </c>
      <c r="M13" s="2">
        <v>3262</v>
      </c>
    </row>
    <row r="14" spans="1:13" x14ac:dyDescent="0.25">
      <c r="L14" s="45">
        <v>-1.9623E-7</v>
      </c>
      <c r="M14" s="2">
        <v>6426</v>
      </c>
    </row>
    <row r="15" spans="1:13" x14ac:dyDescent="0.25">
      <c r="L15" s="45">
        <v>-2.9159999999999999E-7</v>
      </c>
      <c r="M15" s="2">
        <v>9589</v>
      </c>
    </row>
    <row r="16" spans="1:13" x14ac:dyDescent="0.25">
      <c r="L16" s="45">
        <v>-3.897E-7</v>
      </c>
      <c r="M16" s="2">
        <v>12753</v>
      </c>
    </row>
    <row r="17" spans="12:13" x14ac:dyDescent="0.25">
      <c r="L17" s="45">
        <v>-4.8709999999999996E-7</v>
      </c>
      <c r="M17" s="2">
        <v>15918</v>
      </c>
    </row>
    <row r="18" spans="12:13" x14ac:dyDescent="0.25">
      <c r="L18" s="45">
        <v>-5.8370000000000002E-7</v>
      </c>
      <c r="M18" s="2">
        <v>19083</v>
      </c>
    </row>
    <row r="19" spans="12:13" x14ac:dyDescent="0.25">
      <c r="L19" s="45">
        <v>-6.8049999999999999E-7</v>
      </c>
      <c r="M19" s="2">
        <v>22249</v>
      </c>
    </row>
    <row r="20" spans="12:13" x14ac:dyDescent="0.25">
      <c r="L20" s="45">
        <v>-7.7729999999999995E-7</v>
      </c>
      <c r="M20" s="2">
        <v>25411</v>
      </c>
    </row>
    <row r="21" spans="12:13" x14ac:dyDescent="0.25">
      <c r="L21" s="45">
        <v>-8.7410000000000003E-7</v>
      </c>
      <c r="M21" s="2">
        <v>28576</v>
      </c>
    </row>
    <row r="22" spans="12:13" x14ac:dyDescent="0.25">
      <c r="L22" s="45">
        <v>-9.7100000000000011E-7</v>
      </c>
      <c r="M22" s="2">
        <v>31739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22"/>
  <sheetViews>
    <sheetView workbookViewId="0">
      <selection activeCell="B1" sqref="B1"/>
    </sheetView>
  </sheetViews>
  <sheetFormatPr defaultColWidth="8.7109375" defaultRowHeight="15" x14ac:dyDescent="0.25"/>
  <cols>
    <col min="1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7</v>
      </c>
      <c r="L1" s="3" t="s">
        <v>62</v>
      </c>
      <c r="M1" s="3" t="s">
        <v>7</v>
      </c>
    </row>
    <row r="2" spans="1:13" x14ac:dyDescent="0.25">
      <c r="A2" s="3" t="s">
        <v>138</v>
      </c>
      <c r="B2" t="str">
        <f>_xlfn.CONCAT(Connect!G1, " ", Connect!J1, " ", Connect!D1, " ", B1, " ", C1, " ", E1)</f>
        <v>v2 0 COM8 keithley485 COM7 7</v>
      </c>
      <c r="L2" s="45">
        <v>9.6019999999999996E-8</v>
      </c>
      <c r="M2" s="2">
        <v>-31532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8.643E-8</v>
      </c>
      <c r="M3" s="2">
        <v>-28370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7.6619999999999994E-8</v>
      </c>
      <c r="M4" s="2">
        <v>-25206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6.6419999999999995E-8</v>
      </c>
      <c r="M5" s="2">
        <v>-22045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5.8770000000000003E-8</v>
      </c>
      <c r="M6" s="2">
        <v>-18883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4.6369999999999998E-8</v>
      </c>
      <c r="M7" s="2">
        <v>-15720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3.868E-8</v>
      </c>
      <c r="M8" s="2">
        <v>-12555</v>
      </c>
    </row>
    <row r="9" spans="1:13" x14ac:dyDescent="0.25">
      <c r="L9" s="45">
        <v>2.9329999999999999E-8</v>
      </c>
      <c r="M9" s="2">
        <v>-9391</v>
      </c>
    </row>
    <row r="10" spans="1:13" x14ac:dyDescent="0.25">
      <c r="L10" s="45">
        <v>1.8069999999999999E-8</v>
      </c>
      <c r="M10" s="2">
        <v>-6228</v>
      </c>
    </row>
    <row r="11" spans="1:13" x14ac:dyDescent="0.25">
      <c r="L11" s="45">
        <v>9.3040000000000001E-9</v>
      </c>
      <c r="M11" s="2">
        <v>-3064</v>
      </c>
    </row>
    <row r="12" spans="1:13" x14ac:dyDescent="0.25">
      <c r="L12" s="45">
        <v>-5.4499999999999999E-11</v>
      </c>
      <c r="M12" s="2">
        <v>98</v>
      </c>
    </row>
    <row r="13" spans="1:13" x14ac:dyDescent="0.25">
      <c r="L13" s="45">
        <v>-8.4140000000000001E-9</v>
      </c>
      <c r="M13" s="2">
        <v>3261</v>
      </c>
    </row>
    <row r="14" spans="1:13" x14ac:dyDescent="0.25">
      <c r="L14" s="45">
        <v>-1.8716E-8</v>
      </c>
      <c r="M14" s="2">
        <v>6425</v>
      </c>
    </row>
    <row r="15" spans="1:13" x14ac:dyDescent="0.25">
      <c r="L15" s="45">
        <v>-2.7450000000000001E-8</v>
      </c>
      <c r="M15" s="2">
        <v>9589</v>
      </c>
    </row>
    <row r="16" spans="1:13" x14ac:dyDescent="0.25">
      <c r="L16" s="45">
        <v>-3.854E-8</v>
      </c>
      <c r="M16" s="2">
        <v>12752</v>
      </c>
    </row>
    <row r="17" spans="12:13" x14ac:dyDescent="0.25">
      <c r="L17" s="45">
        <v>-4.9210000000000002E-8</v>
      </c>
      <c r="M17" s="2">
        <v>15917</v>
      </c>
    </row>
    <row r="18" spans="12:13" x14ac:dyDescent="0.25">
      <c r="L18" s="45">
        <v>-5.6990000000000003E-8</v>
      </c>
      <c r="M18" s="2">
        <v>19082</v>
      </c>
    </row>
    <row r="19" spans="12:13" x14ac:dyDescent="0.25">
      <c r="L19" s="45">
        <v>-6.7889999999999994E-8</v>
      </c>
      <c r="M19" s="2">
        <v>22248</v>
      </c>
    </row>
    <row r="20" spans="12:13" x14ac:dyDescent="0.25">
      <c r="L20" s="45">
        <v>-7.7709999999999999E-8</v>
      </c>
      <c r="M20" s="2">
        <v>25410</v>
      </c>
    </row>
    <row r="21" spans="12:13" x14ac:dyDescent="0.25">
      <c r="L21" s="45">
        <v>-8.6140000000000002E-8</v>
      </c>
      <c r="M21" s="2">
        <v>28575</v>
      </c>
    </row>
    <row r="22" spans="12:13" x14ac:dyDescent="0.25">
      <c r="L22" s="45">
        <v>-9.6999999999999995E-8</v>
      </c>
      <c r="M22" s="2">
        <v>31738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L68"/>
  <sheetViews>
    <sheetView tabSelected="1" topLeftCell="A34" workbookViewId="0">
      <selection activeCell="B8" sqref="B8:B68"/>
    </sheetView>
  </sheetViews>
  <sheetFormatPr defaultColWidth="8.7109375" defaultRowHeight="15" x14ac:dyDescent="0.25"/>
  <cols>
    <col min="1" max="1" width="14.140625" style="2" bestFit="1" customWidth="1"/>
    <col min="2" max="2" width="12.42578125" style="2" bestFit="1" customWidth="1"/>
    <col min="3" max="3" width="11.7109375" style="2" bestFit="1" customWidth="1"/>
    <col min="4" max="10" width="8.7109375" style="2"/>
    <col min="11" max="11" width="14.140625" style="71" bestFit="1" customWidth="1"/>
    <col min="12" max="12" width="9.7109375" style="71" bestFit="1" customWidth="1"/>
    <col min="13" max="16384" width="8.7109375" style="2"/>
  </cols>
  <sheetData>
    <row r="1" spans="1:12" x14ac:dyDescent="0.25">
      <c r="A1" s="3" t="s">
        <v>47</v>
      </c>
      <c r="B1" s="2" t="s">
        <v>64</v>
      </c>
      <c r="C1" s="2" t="s">
        <v>184</v>
      </c>
      <c r="K1" s="71" t="s">
        <v>24</v>
      </c>
      <c r="L1" s="71">
        <v>3482.6170000000002</v>
      </c>
    </row>
    <row r="2" spans="1:12" x14ac:dyDescent="0.25">
      <c r="A2" s="3" t="s">
        <v>138</v>
      </c>
      <c r="B2" s="2" t="str">
        <f>_xlfn.CONCAT(Connect!$G$1, " ", Connect!$J$1, " ", Connect!$D$1, " ", B1)</f>
        <v>v2 0 COM8 calibrate</v>
      </c>
      <c r="C2" s="2" t="str">
        <f>_xlfn.CONCAT(Connect!$G$1, " ", Connect!$J$1, " ", Connect!$D$1, " ", C1)</f>
        <v>v2 0 COM8 quality</v>
      </c>
      <c r="K2" s="71" t="s">
        <v>25</v>
      </c>
      <c r="L2" s="71">
        <v>-2762.52</v>
      </c>
    </row>
    <row r="3" spans="1:12" x14ac:dyDescent="0.25">
      <c r="A3" s="112"/>
      <c r="B3" s="112"/>
      <c r="C3" s="4"/>
      <c r="D3" s="4"/>
      <c r="E3" s="4"/>
      <c r="F3" s="4"/>
      <c r="G3" s="4"/>
      <c r="H3" s="4"/>
      <c r="K3" s="71" t="s">
        <v>26</v>
      </c>
      <c r="L3" s="71">
        <v>-2762.6970000000001</v>
      </c>
    </row>
    <row r="4" spans="1:12" x14ac:dyDescent="0.25">
      <c r="A4" s="112"/>
      <c r="B4" s="112"/>
      <c r="C4" s="4"/>
      <c r="D4" s="4"/>
      <c r="E4" s="4"/>
      <c r="F4" s="4"/>
      <c r="G4" s="4"/>
      <c r="H4" s="4"/>
      <c r="K4" s="71" t="s">
        <v>27</v>
      </c>
      <c r="L4" s="71">
        <v>-115.6691</v>
      </c>
    </row>
    <row r="5" spans="1:12" x14ac:dyDescent="0.25">
      <c r="A5" s="112"/>
      <c r="B5" s="112"/>
      <c r="C5" s="4"/>
      <c r="D5" s="4"/>
      <c r="E5" s="4"/>
      <c r="F5" s="4"/>
      <c r="G5" s="4"/>
      <c r="H5" s="4"/>
      <c r="K5" s="71" t="s">
        <v>34</v>
      </c>
      <c r="L5" s="72">
        <v>-3.6655850000000002E-4</v>
      </c>
    </row>
    <row r="6" spans="1:12" x14ac:dyDescent="0.25">
      <c r="K6" s="71" t="s">
        <v>35</v>
      </c>
      <c r="L6" s="72">
        <v>-3.6655139999999998E-4</v>
      </c>
    </row>
    <row r="7" spans="1:12" x14ac:dyDescent="0.25">
      <c r="A7" s="3" t="s">
        <v>137</v>
      </c>
      <c r="B7" s="3" t="s">
        <v>138</v>
      </c>
      <c r="C7" s="3" t="s">
        <v>169</v>
      </c>
      <c r="K7" s="71" t="s">
        <v>36</v>
      </c>
      <c r="L7" s="72">
        <v>-3.416049E-4</v>
      </c>
    </row>
    <row r="8" spans="1:12" x14ac:dyDescent="0.25">
      <c r="A8" s="2" t="s">
        <v>24</v>
      </c>
      <c r="B8" s="2">
        <f>Data!F35</f>
        <v>3482.6170000000002</v>
      </c>
      <c r="C8" s="2">
        <f>L1</f>
        <v>3482.6170000000002</v>
      </c>
      <c r="K8" s="71" t="s">
        <v>37</v>
      </c>
      <c r="L8" s="72">
        <v>-3.0529659999999997E-4</v>
      </c>
    </row>
    <row r="9" spans="1:12" x14ac:dyDescent="0.25">
      <c r="A9" s="2" t="s">
        <v>25</v>
      </c>
      <c r="B9" s="2">
        <f>Data!F29</f>
        <v>-2762.5203619602312</v>
      </c>
      <c r="C9" s="2">
        <f t="shared" ref="C9:C68" si="0">L2</f>
        <v>-2762.52</v>
      </c>
      <c r="K9" s="71" t="s">
        <v>38</v>
      </c>
      <c r="L9" s="72">
        <v>-3.0536730000000001E-4</v>
      </c>
    </row>
    <row r="10" spans="1:12" x14ac:dyDescent="0.25">
      <c r="A10" s="2" t="s">
        <v>26</v>
      </c>
      <c r="B10" s="2">
        <f>Data!F26</f>
        <v>-2762.6968752353414</v>
      </c>
      <c r="C10" s="2">
        <f t="shared" si="0"/>
        <v>-2762.6970000000001</v>
      </c>
      <c r="K10" s="71" t="s">
        <v>39</v>
      </c>
      <c r="L10" s="72">
        <v>-5.56261E-3</v>
      </c>
    </row>
    <row r="11" spans="1:12" x14ac:dyDescent="0.25">
      <c r="A11" s="2" t="s">
        <v>27</v>
      </c>
      <c r="B11" s="2">
        <f>Data!F32</f>
        <v>-115.66914514332684</v>
      </c>
      <c r="C11" s="2">
        <f t="shared" si="0"/>
        <v>-115.6691</v>
      </c>
      <c r="K11" s="71" t="s">
        <v>40</v>
      </c>
      <c r="L11" s="72">
        <v>-7.6586989999999995E-4</v>
      </c>
    </row>
    <row r="12" spans="1:12" x14ac:dyDescent="0.25">
      <c r="A12" s="2" t="s">
        <v>34</v>
      </c>
      <c r="B12" s="2">
        <f>Data!H29</f>
        <v>-3.6655853609991214E-4</v>
      </c>
      <c r="C12" s="2">
        <f t="shared" si="0"/>
        <v>-3.6655850000000002E-4</v>
      </c>
      <c r="K12" s="71" t="s">
        <v>41</v>
      </c>
      <c r="L12" s="72">
        <v>-7.6592459999999995E-4</v>
      </c>
    </row>
    <row r="13" spans="1:12" x14ac:dyDescent="0.25">
      <c r="A13" s="2" t="s">
        <v>35</v>
      </c>
      <c r="B13" s="2">
        <f>Data!H26</f>
        <v>-3.6655136294095876E-4</v>
      </c>
      <c r="C13" s="2">
        <f t="shared" si="0"/>
        <v>-3.6655139999999998E-4</v>
      </c>
      <c r="K13" s="71" t="s">
        <v>42</v>
      </c>
      <c r="L13" s="72">
        <v>-1.018623E-3</v>
      </c>
    </row>
    <row r="14" spans="1:12" x14ac:dyDescent="0.25">
      <c r="A14" s="2" t="s">
        <v>36</v>
      </c>
      <c r="B14" s="2">
        <f>Data!H32</f>
        <v>-3.4160489460084709E-4</v>
      </c>
      <c r="C14" s="2">
        <f t="shared" si="0"/>
        <v>-3.416049E-4</v>
      </c>
      <c r="K14" s="71" t="s">
        <v>91</v>
      </c>
      <c r="L14" s="72">
        <v>-0.29750369999999998</v>
      </c>
    </row>
    <row r="15" spans="1:12" x14ac:dyDescent="0.25">
      <c r="A15" s="2" t="s">
        <v>37</v>
      </c>
      <c r="B15" s="2">
        <f>Data!J29</f>
        <v>-3.0529664539437459E-4</v>
      </c>
      <c r="C15" s="2">
        <f t="shared" si="0"/>
        <v>-3.0529659999999997E-4</v>
      </c>
      <c r="K15" s="71" t="s">
        <v>89</v>
      </c>
      <c r="L15" s="72">
        <v>-1.8780990000000001E-2</v>
      </c>
    </row>
    <row r="16" spans="1:12" x14ac:dyDescent="0.25">
      <c r="A16" s="2" t="s">
        <v>38</v>
      </c>
      <c r="B16" s="2">
        <f>Data!J26</f>
        <v>-3.0536732239694656E-4</v>
      </c>
      <c r="C16" s="2">
        <f t="shared" si="0"/>
        <v>-3.0536730000000001E-4</v>
      </c>
      <c r="K16" s="71" t="s">
        <v>90</v>
      </c>
      <c r="L16" s="72">
        <v>-3.029562E-3</v>
      </c>
    </row>
    <row r="17" spans="1:12" x14ac:dyDescent="0.25">
      <c r="A17" s="2" t="s">
        <v>39</v>
      </c>
      <c r="B17" s="2">
        <f>Data!J32</f>
        <v>-5.5626099371923546E-3</v>
      </c>
      <c r="C17" s="2">
        <f t="shared" si="0"/>
        <v>-5.56261E-3</v>
      </c>
      <c r="K17" s="71" t="s">
        <v>92</v>
      </c>
      <c r="L17" s="72">
        <v>-3.0297929999999998E-4</v>
      </c>
    </row>
    <row r="18" spans="1:12" x14ac:dyDescent="0.25">
      <c r="A18" s="2" t="s">
        <v>40</v>
      </c>
      <c r="B18" s="2">
        <f>Data!N29</f>
        <v>-7.6586989438679485E-4</v>
      </c>
      <c r="C18" s="2">
        <f t="shared" si="0"/>
        <v>-7.6586989999999995E-4</v>
      </c>
      <c r="K18" s="71" t="s">
        <v>93</v>
      </c>
      <c r="L18" s="72">
        <v>-3.029189E-5</v>
      </c>
    </row>
    <row r="19" spans="1:12" x14ac:dyDescent="0.25">
      <c r="A19" s="2" t="s">
        <v>41</v>
      </c>
      <c r="B19" s="2">
        <f>Data!N26</f>
        <v>-7.6592463168086774E-4</v>
      </c>
      <c r="C19" s="2">
        <f t="shared" si="0"/>
        <v>-7.6592459999999995E-4</v>
      </c>
      <c r="K19" s="71" t="s">
        <v>94</v>
      </c>
      <c r="L19" s="72">
        <v>-3.0298950000000001E-6</v>
      </c>
    </row>
    <row r="20" spans="1:12" x14ac:dyDescent="0.25">
      <c r="A20" s="2" t="s">
        <v>42</v>
      </c>
      <c r="B20" s="2">
        <f>Data!N32</f>
        <v>-1.0186234600345276E-3</v>
      </c>
      <c r="C20" s="2">
        <f t="shared" si="0"/>
        <v>-1.018623E-3</v>
      </c>
      <c r="K20" s="71" t="s">
        <v>95</v>
      </c>
      <c r="L20" s="72">
        <v>-3.037521E-7</v>
      </c>
    </row>
    <row r="21" spans="1:12" x14ac:dyDescent="0.25">
      <c r="A21" s="2" t="s">
        <v>91</v>
      </c>
      <c r="B21" s="2">
        <f>Data!T29</f>
        <v>-0.2975036581947253</v>
      </c>
      <c r="C21" s="2">
        <f t="shared" si="0"/>
        <v>-0.29750369999999998</v>
      </c>
      <c r="K21" s="71" t="s">
        <v>96</v>
      </c>
      <c r="L21" s="72">
        <v>-3.0520570000000001E-8</v>
      </c>
    </row>
    <row r="22" spans="1:12" x14ac:dyDescent="0.25">
      <c r="A22" s="2" t="s">
        <v>89</v>
      </c>
      <c r="B22" s="2">
        <f>Data!Z29</f>
        <v>-1.8780992078422508E-2</v>
      </c>
      <c r="C22" s="2">
        <f t="shared" si="0"/>
        <v>-1.8780990000000001E-2</v>
      </c>
      <c r="K22" s="71" t="s">
        <v>97</v>
      </c>
      <c r="L22" s="72">
        <v>-0.29759999999999998</v>
      </c>
    </row>
    <row r="23" spans="1:12" x14ac:dyDescent="0.25">
      <c r="A23" s="2" t="s">
        <v>90</v>
      </c>
      <c r="B23" s="2">
        <f>Data!AF29</f>
        <v>-3.0295617789648562E-3</v>
      </c>
      <c r="C23" s="2">
        <f t="shared" si="0"/>
        <v>-3.029562E-3</v>
      </c>
      <c r="K23" s="71" t="s">
        <v>98</v>
      </c>
      <c r="L23" s="72">
        <v>-1.8782449999999999E-2</v>
      </c>
    </row>
    <row r="24" spans="1:12" x14ac:dyDescent="0.25">
      <c r="A24" s="2" t="s">
        <v>92</v>
      </c>
      <c r="B24" s="2">
        <f>Data!AL29</f>
        <v>-3.029793234579683E-4</v>
      </c>
      <c r="C24" s="2">
        <f t="shared" si="0"/>
        <v>-3.0297929999999998E-4</v>
      </c>
      <c r="K24" s="71" t="s">
        <v>99</v>
      </c>
      <c r="L24" s="72">
        <v>-3.0303050000000001E-3</v>
      </c>
    </row>
    <row r="25" spans="1:12" x14ac:dyDescent="0.25">
      <c r="A25" s="2" t="s">
        <v>93</v>
      </c>
      <c r="B25" s="2">
        <f>Data!AR29</f>
        <v>-3.029189439743513E-5</v>
      </c>
      <c r="C25" s="2">
        <f t="shared" si="0"/>
        <v>-3.029189E-5</v>
      </c>
      <c r="K25" s="71" t="s">
        <v>100</v>
      </c>
      <c r="L25" s="72">
        <v>-3.0304859999999998E-4</v>
      </c>
    </row>
    <row r="26" spans="1:12" x14ac:dyDescent="0.25">
      <c r="A26" s="2" t="s">
        <v>94</v>
      </c>
      <c r="B26" s="2">
        <f>Data!AX29</f>
        <v>-3.029895202644959E-6</v>
      </c>
      <c r="C26" s="2">
        <f t="shared" si="0"/>
        <v>-3.0298950000000001E-6</v>
      </c>
      <c r="K26" s="71" t="s">
        <v>101</v>
      </c>
      <c r="L26" s="72">
        <v>-3.030599E-5</v>
      </c>
    </row>
    <row r="27" spans="1:12" x14ac:dyDescent="0.25">
      <c r="A27" s="2" t="s">
        <v>95</v>
      </c>
      <c r="B27" s="2">
        <f>Data!BD29</f>
        <v>-3.0375210816500967E-7</v>
      </c>
      <c r="C27" s="2">
        <f t="shared" si="0"/>
        <v>-3.037521E-7</v>
      </c>
      <c r="K27" s="71" t="s">
        <v>102</v>
      </c>
      <c r="L27" s="72">
        <v>-3.0335490000000001E-6</v>
      </c>
    </row>
    <row r="28" spans="1:12" x14ac:dyDescent="0.25">
      <c r="A28" s="2" t="s">
        <v>96</v>
      </c>
      <c r="B28" s="2">
        <f>Data!BJ29</f>
        <v>-3.0520572005372811E-8</v>
      </c>
      <c r="C28" s="2">
        <f t="shared" si="0"/>
        <v>-3.0520570000000001E-8</v>
      </c>
      <c r="K28" s="71" t="s">
        <v>103</v>
      </c>
      <c r="L28" s="72">
        <v>-3.0282730000000002E-7</v>
      </c>
    </row>
    <row r="29" spans="1:12" x14ac:dyDescent="0.25">
      <c r="A29" s="2" t="s">
        <v>97</v>
      </c>
      <c r="B29" s="2">
        <f>Data!T26</f>
        <v>-0.29760001211530213</v>
      </c>
      <c r="C29" s="2">
        <f t="shared" si="0"/>
        <v>-0.29759999999999998</v>
      </c>
      <c r="K29" s="71" t="s">
        <v>104</v>
      </c>
      <c r="L29" s="72">
        <v>-3.01562E-8</v>
      </c>
    </row>
    <row r="30" spans="1:12" x14ac:dyDescent="0.25">
      <c r="A30" s="2" t="s">
        <v>98</v>
      </c>
      <c r="B30" s="2">
        <f>Data!Z26</f>
        <v>-1.8782451181035862E-2</v>
      </c>
      <c r="C30" s="2">
        <f t="shared" si="0"/>
        <v>-1.8782449999999999E-2</v>
      </c>
      <c r="K30" s="71" t="s">
        <v>105</v>
      </c>
      <c r="L30" s="72">
        <v>-5.5659140000000003E-2</v>
      </c>
    </row>
    <row r="31" spans="1:12" x14ac:dyDescent="0.25">
      <c r="A31" s="2" t="s">
        <v>99</v>
      </c>
      <c r="B31" s="2">
        <f>Data!AF26</f>
        <v>-3.0303051492499206E-3</v>
      </c>
      <c r="C31" s="2">
        <f t="shared" si="0"/>
        <v>-3.0303050000000001E-3</v>
      </c>
      <c r="K31" s="71" t="s">
        <v>106</v>
      </c>
      <c r="L31" s="72">
        <v>-9.2126629999999994E-3</v>
      </c>
    </row>
    <row r="32" spans="1:12" x14ac:dyDescent="0.25">
      <c r="A32" s="2" t="s">
        <v>100</v>
      </c>
      <c r="B32" s="2">
        <f>Data!AL26</f>
        <v>-3.030485936183404E-4</v>
      </c>
      <c r="C32" s="2">
        <f t="shared" si="0"/>
        <v>-3.0304859999999998E-4</v>
      </c>
      <c r="K32" s="71" t="s">
        <v>107</v>
      </c>
      <c r="L32" s="72">
        <v>-8.9362199999999995E-4</v>
      </c>
    </row>
    <row r="33" spans="1:12" x14ac:dyDescent="0.25">
      <c r="A33" s="2" t="s">
        <v>101</v>
      </c>
      <c r="B33" s="2">
        <f>Data!AR26</f>
        <v>-3.030598676196205E-5</v>
      </c>
      <c r="C33" s="2">
        <f t="shared" si="0"/>
        <v>-3.030599E-5</v>
      </c>
      <c r="K33" s="71" t="s">
        <v>108</v>
      </c>
      <c r="L33" s="72">
        <v>-1.6574919999999999E-4</v>
      </c>
    </row>
    <row r="34" spans="1:12" x14ac:dyDescent="0.25">
      <c r="A34" s="2" t="s">
        <v>102</v>
      </c>
      <c r="B34" s="2">
        <f>Data!AX26</f>
        <v>-3.0335492254230637E-6</v>
      </c>
      <c r="C34" s="2">
        <f t="shared" si="0"/>
        <v>-3.0335490000000001E-6</v>
      </c>
      <c r="K34" s="71" t="s">
        <v>109</v>
      </c>
      <c r="L34" s="72">
        <v>-1.519889E-5</v>
      </c>
    </row>
    <row r="35" spans="1:12" x14ac:dyDescent="0.25">
      <c r="A35" s="2" t="s">
        <v>103</v>
      </c>
      <c r="B35" s="2">
        <f>Data!BD26</f>
        <v>-3.0282732278613847E-7</v>
      </c>
      <c r="C35" s="2">
        <f t="shared" si="0"/>
        <v>-3.0282730000000002E-7</v>
      </c>
      <c r="K35" s="71" t="s">
        <v>110</v>
      </c>
      <c r="L35" s="72">
        <v>-6.1562889999999999E-7</v>
      </c>
    </row>
    <row r="36" spans="1:12" x14ac:dyDescent="0.25">
      <c r="A36" s="2" t="s">
        <v>104</v>
      </c>
      <c r="B36" s="2">
        <f>Data!BJ26</f>
        <v>-3.0156203201960525E-8</v>
      </c>
      <c r="C36" s="2">
        <f t="shared" si="0"/>
        <v>-3.01562E-8</v>
      </c>
      <c r="K36" s="71" t="s">
        <v>111</v>
      </c>
      <c r="L36" s="72">
        <v>-2.6239770000000002E-8</v>
      </c>
    </row>
    <row r="37" spans="1:12" x14ac:dyDescent="0.25">
      <c r="A37" s="2" t="s">
        <v>105</v>
      </c>
      <c r="B37" s="2">
        <f>Data!T32</f>
        <v>-5.5659139295016757E-2</v>
      </c>
      <c r="C37" s="2">
        <f t="shared" si="0"/>
        <v>-5.5659140000000003E-2</v>
      </c>
      <c r="K37" s="71" t="s">
        <v>112</v>
      </c>
      <c r="L37" s="72">
        <v>2.0394839999999999E-7</v>
      </c>
    </row>
    <row r="38" spans="1:12" x14ac:dyDescent="0.25">
      <c r="A38" s="2" t="s">
        <v>106</v>
      </c>
      <c r="B38" s="2">
        <f>Data!Z32</f>
        <v>-9.2126629410638761E-3</v>
      </c>
      <c r="C38" s="2">
        <f t="shared" si="0"/>
        <v>-9.2126629999999994E-3</v>
      </c>
      <c r="K38" s="71" t="s">
        <v>113</v>
      </c>
      <c r="L38" s="71">
        <v>-28.414180000000002</v>
      </c>
    </row>
    <row r="39" spans="1:12" x14ac:dyDescent="0.25">
      <c r="A39" s="2" t="s">
        <v>107</v>
      </c>
      <c r="B39" s="2">
        <f>Data!AF32</f>
        <v>-8.9362199190583594E-4</v>
      </c>
      <c r="C39" s="2">
        <f t="shared" si="0"/>
        <v>-8.9362199999999995E-4</v>
      </c>
      <c r="K39" s="71" t="s">
        <v>114</v>
      </c>
      <c r="L39" s="71">
        <v>-450.2448</v>
      </c>
    </row>
    <row r="40" spans="1:12" x14ac:dyDescent="0.25">
      <c r="A40" s="2" t="s">
        <v>108</v>
      </c>
      <c r="B40" s="2">
        <f>Data!AL32</f>
        <v>-1.6574923696264588E-4</v>
      </c>
      <c r="C40" s="2">
        <f t="shared" si="0"/>
        <v>-1.6574919999999999E-4</v>
      </c>
      <c r="K40" s="71" t="s">
        <v>115</v>
      </c>
      <c r="L40" s="71">
        <v>-2791.1610000000001</v>
      </c>
    </row>
    <row r="41" spans="1:12" x14ac:dyDescent="0.25">
      <c r="A41" s="2" t="s">
        <v>109</v>
      </c>
      <c r="B41" s="2">
        <f>Data!AR32</f>
        <v>-1.5198889302835269E-5</v>
      </c>
      <c r="C41" s="2">
        <f t="shared" si="0"/>
        <v>-1.519889E-5</v>
      </c>
      <c r="K41" s="71" t="s">
        <v>116</v>
      </c>
      <c r="L41" s="71">
        <v>-27911.57</v>
      </c>
    </row>
    <row r="42" spans="1:12" x14ac:dyDescent="0.25">
      <c r="A42" s="2" t="s">
        <v>110</v>
      </c>
      <c r="B42" s="2">
        <f>Data!AX32</f>
        <v>-6.156289494999709E-7</v>
      </c>
      <c r="C42" s="2">
        <f t="shared" si="0"/>
        <v>-6.1562889999999999E-7</v>
      </c>
      <c r="K42" s="71" t="s">
        <v>117</v>
      </c>
      <c r="L42" s="72">
        <v>-279170.5</v>
      </c>
    </row>
    <row r="43" spans="1:12" x14ac:dyDescent="0.25">
      <c r="A43" s="2" t="s">
        <v>111</v>
      </c>
      <c r="B43" s="2">
        <f>Data!BD32</f>
        <v>-2.6239772851887844E-8</v>
      </c>
      <c r="C43" s="2">
        <f t="shared" si="0"/>
        <v>-2.6239770000000002E-8</v>
      </c>
      <c r="K43" s="71" t="s">
        <v>118</v>
      </c>
      <c r="L43" s="71">
        <v>-2790756</v>
      </c>
    </row>
    <row r="44" spans="1:12" x14ac:dyDescent="0.25">
      <c r="A44" s="2" t="s">
        <v>112</v>
      </c>
      <c r="B44" s="2">
        <f>Data!BJ32</f>
        <v>2.0394844885198198E-7</v>
      </c>
      <c r="C44" s="2">
        <f t="shared" si="0"/>
        <v>2.0394839999999999E-7</v>
      </c>
      <c r="K44" s="71" t="s">
        <v>119</v>
      </c>
      <c r="L44" s="72">
        <v>-27839370</v>
      </c>
    </row>
    <row r="45" spans="1:12" x14ac:dyDescent="0.25">
      <c r="A45" s="2" t="s">
        <v>113</v>
      </c>
      <c r="B45" s="2">
        <f>Data!R29</f>
        <v>-28.414184845457498</v>
      </c>
      <c r="C45" s="2">
        <f t="shared" si="0"/>
        <v>-28.414180000000002</v>
      </c>
      <c r="K45" s="71" t="s">
        <v>120</v>
      </c>
      <c r="L45" s="72">
        <v>-276924200</v>
      </c>
    </row>
    <row r="46" spans="1:12" x14ac:dyDescent="0.25">
      <c r="A46" s="2" t="s">
        <v>114</v>
      </c>
      <c r="B46" s="2">
        <f>Data!X29</f>
        <v>-450.24480258820404</v>
      </c>
      <c r="C46" s="2">
        <f t="shared" si="0"/>
        <v>-450.2448</v>
      </c>
      <c r="K46" s="71" t="s">
        <v>121</v>
      </c>
      <c r="L46" s="71">
        <v>-28.415099999999999</v>
      </c>
    </row>
    <row r="47" spans="1:12" x14ac:dyDescent="0.25">
      <c r="A47" s="2" t="s">
        <v>115</v>
      </c>
      <c r="B47" s="2">
        <f>Data!AD29</f>
        <v>-2791.1613454648541</v>
      </c>
      <c r="C47" s="2">
        <f t="shared" si="0"/>
        <v>-2791.1610000000001</v>
      </c>
      <c r="K47" s="71" t="s">
        <v>122</v>
      </c>
      <c r="L47" s="71">
        <v>-450.33659999999998</v>
      </c>
    </row>
    <row r="48" spans="1:12" x14ac:dyDescent="0.25">
      <c r="A48" s="2" t="s">
        <v>116</v>
      </c>
      <c r="B48" s="2">
        <f>Data!AJ29</f>
        <v>-27911.565884932344</v>
      </c>
      <c r="C48" s="2">
        <f t="shared" si="0"/>
        <v>-27911.57</v>
      </c>
      <c r="K48" s="71" t="s">
        <v>123</v>
      </c>
      <c r="L48" s="71">
        <v>-2791.4229999999998</v>
      </c>
    </row>
    <row r="49" spans="1:12" x14ac:dyDescent="0.25">
      <c r="A49" s="2" t="s">
        <v>117</v>
      </c>
      <c r="B49" s="2">
        <f>Data!AP29</f>
        <v>-279170.48533974675</v>
      </c>
      <c r="C49" s="2">
        <f t="shared" si="0"/>
        <v>-279170.5</v>
      </c>
      <c r="K49" s="71" t="s">
        <v>124</v>
      </c>
      <c r="L49" s="71">
        <v>-27911.119999999999</v>
      </c>
    </row>
    <row r="50" spans="1:12" x14ac:dyDescent="0.25">
      <c r="A50" s="2" t="s">
        <v>118</v>
      </c>
      <c r="B50" s="2">
        <f>Data!AV29</f>
        <v>-2790755.3946121796</v>
      </c>
      <c r="C50" s="2">
        <f t="shared" si="0"/>
        <v>-2790756</v>
      </c>
      <c r="K50" s="71" t="s">
        <v>125</v>
      </c>
      <c r="L50" s="71">
        <v>-279108.8</v>
      </c>
    </row>
    <row r="51" spans="1:12" x14ac:dyDescent="0.25">
      <c r="A51" s="2" t="s">
        <v>119</v>
      </c>
      <c r="B51" s="2">
        <f>Data!BB29</f>
        <v>-27839366.06277775</v>
      </c>
      <c r="C51" s="2">
        <f t="shared" si="0"/>
        <v>-27839370</v>
      </c>
      <c r="K51" s="71" t="s">
        <v>126</v>
      </c>
      <c r="L51" s="71">
        <v>-2788508</v>
      </c>
    </row>
    <row r="52" spans="1:12" x14ac:dyDescent="0.25">
      <c r="A52" s="2" t="s">
        <v>120</v>
      </c>
      <c r="B52" s="2">
        <f>Data!BH29</f>
        <v>-276924168.42509687</v>
      </c>
      <c r="C52" s="2">
        <f t="shared" si="0"/>
        <v>-276924200</v>
      </c>
      <c r="K52" s="71" t="s">
        <v>127</v>
      </c>
      <c r="L52" s="72">
        <v>-27931500</v>
      </c>
    </row>
    <row r="53" spans="1:12" x14ac:dyDescent="0.25">
      <c r="A53" s="2" t="s">
        <v>121</v>
      </c>
      <c r="B53" s="2">
        <f>Data!R26</f>
        <v>-28.415104560192507</v>
      </c>
      <c r="C53" s="2">
        <f t="shared" si="0"/>
        <v>-28.415099999999999</v>
      </c>
      <c r="K53" s="71" t="s">
        <v>128</v>
      </c>
      <c r="L53" s="72">
        <v>-280343600</v>
      </c>
    </row>
    <row r="54" spans="1:12" x14ac:dyDescent="0.25">
      <c r="A54" s="2" t="s">
        <v>122</v>
      </c>
      <c r="B54" s="2">
        <f>Data!X26</f>
        <v>-450.33662789321386</v>
      </c>
      <c r="C54" s="2">
        <f t="shared" si="0"/>
        <v>-450.33659999999998</v>
      </c>
      <c r="K54" s="71" t="s">
        <v>129</v>
      </c>
      <c r="L54" s="72">
        <v>-88.607060000000004</v>
      </c>
    </row>
    <row r="55" spans="1:12" x14ac:dyDescent="0.25">
      <c r="A55" s="2" t="s">
        <v>123</v>
      </c>
      <c r="B55" s="2">
        <f>Data!AD26</f>
        <v>-2791.4229597738708</v>
      </c>
      <c r="C55" s="2">
        <f t="shared" si="0"/>
        <v>-2791.4229999999998</v>
      </c>
      <c r="K55" s="71" t="s">
        <v>130</v>
      </c>
      <c r="L55" s="72">
        <v>-90.830830000000006</v>
      </c>
    </row>
    <row r="56" spans="1:12" x14ac:dyDescent="0.25">
      <c r="A56" s="2" t="s">
        <v>124</v>
      </c>
      <c r="B56" s="2">
        <f>Data!AJ26</f>
        <v>-27911.120076569499</v>
      </c>
      <c r="C56" s="2">
        <f t="shared" si="0"/>
        <v>-27911.119999999999</v>
      </c>
      <c r="K56" s="71" t="s">
        <v>131</v>
      </c>
      <c r="L56" s="72">
        <v>-88.894670000000005</v>
      </c>
    </row>
    <row r="57" spans="1:12" x14ac:dyDescent="0.25">
      <c r="A57" s="2" t="s">
        <v>125</v>
      </c>
      <c r="B57" s="2">
        <f>Data!AP26</f>
        <v>-279108.83623091481</v>
      </c>
      <c r="C57" s="2">
        <f t="shared" si="0"/>
        <v>-279108.8</v>
      </c>
      <c r="K57" s="71" t="s">
        <v>132</v>
      </c>
      <c r="L57" s="72">
        <v>-90.498180000000005</v>
      </c>
    </row>
    <row r="58" spans="1:12" x14ac:dyDescent="0.25">
      <c r="A58" s="2" t="s">
        <v>126</v>
      </c>
      <c r="B58" s="2">
        <f>Data!AV26</f>
        <v>-2788507.9526627134</v>
      </c>
      <c r="C58" s="2">
        <f t="shared" si="0"/>
        <v>-2788508</v>
      </c>
      <c r="K58" s="71" t="s">
        <v>133</v>
      </c>
      <c r="L58" s="71">
        <v>-90.116230000000002</v>
      </c>
    </row>
    <row r="59" spans="1:12" x14ac:dyDescent="0.25">
      <c r="A59" s="2" t="s">
        <v>127</v>
      </c>
      <c r="B59" s="2">
        <f>Data!BB26</f>
        <v>-27931501.204462372</v>
      </c>
      <c r="C59" s="2">
        <f t="shared" si="0"/>
        <v>-27931500</v>
      </c>
      <c r="K59" s="71" t="s">
        <v>134</v>
      </c>
      <c r="L59" s="71">
        <v>-87.749470000000002</v>
      </c>
    </row>
    <row r="60" spans="1:12" x14ac:dyDescent="0.25">
      <c r="A60" s="2" t="s">
        <v>128</v>
      </c>
      <c r="B60" s="2">
        <f>Data!BH26</f>
        <v>-280343623.73731208</v>
      </c>
      <c r="C60" s="2">
        <f t="shared" si="0"/>
        <v>-280343600</v>
      </c>
      <c r="K60" s="71" t="s">
        <v>135</v>
      </c>
      <c r="L60" s="71">
        <v>-86.768069999999994</v>
      </c>
    </row>
    <row r="61" spans="1:12" x14ac:dyDescent="0.25">
      <c r="A61" s="2" t="s">
        <v>129</v>
      </c>
      <c r="B61" s="2">
        <f>Data!R32</f>
        <v>-88.607057474711027</v>
      </c>
      <c r="C61" s="2">
        <f t="shared" si="0"/>
        <v>-88.607060000000004</v>
      </c>
      <c r="K61" s="71" t="s">
        <v>136</v>
      </c>
      <c r="L61" s="71">
        <v>-28.091629999999999</v>
      </c>
    </row>
    <row r="62" spans="1:12" x14ac:dyDescent="0.25">
      <c r="A62" s="2" t="s">
        <v>130</v>
      </c>
      <c r="B62" s="2">
        <f>Data!X32</f>
        <v>-90.830824041771493</v>
      </c>
      <c r="C62" s="2">
        <f t="shared" si="0"/>
        <v>-90.830830000000006</v>
      </c>
    </row>
    <row r="63" spans="1:12" x14ac:dyDescent="0.25">
      <c r="A63" s="2" t="s">
        <v>131</v>
      </c>
      <c r="B63" s="2">
        <f>Data!AD32</f>
        <v>-88.89466890276077</v>
      </c>
      <c r="C63" s="2">
        <f t="shared" si="0"/>
        <v>-88.894670000000005</v>
      </c>
    </row>
    <row r="64" spans="1:12" x14ac:dyDescent="0.25">
      <c r="A64" s="2" t="s">
        <v>132</v>
      </c>
      <c r="B64" s="2">
        <f>Data!AJ32</f>
        <v>-90.498174106056638</v>
      </c>
      <c r="C64" s="2">
        <f t="shared" si="0"/>
        <v>-90.498180000000005</v>
      </c>
    </row>
    <row r="65" spans="1:3" x14ac:dyDescent="0.25">
      <c r="A65" s="2" t="s">
        <v>133</v>
      </c>
      <c r="B65" s="2">
        <f>Data!AP32</f>
        <v>-90.11622826999826</v>
      </c>
      <c r="C65" s="2">
        <f t="shared" si="0"/>
        <v>-90.116230000000002</v>
      </c>
    </row>
    <row r="66" spans="1:3" x14ac:dyDescent="0.25">
      <c r="A66" s="2" t="s">
        <v>134</v>
      </c>
      <c r="B66" s="2">
        <f>Data!AV32</f>
        <v>-87.749466323780439</v>
      </c>
      <c r="C66" s="2">
        <f t="shared" si="0"/>
        <v>-87.749470000000002</v>
      </c>
    </row>
    <row r="67" spans="1:3" x14ac:dyDescent="0.25">
      <c r="A67" s="2" t="s">
        <v>135</v>
      </c>
      <c r="B67" s="2">
        <f>Data!BB32</f>
        <v>-86.768076002414219</v>
      </c>
      <c r="C67" s="2">
        <f t="shared" si="0"/>
        <v>-86.768069999999994</v>
      </c>
    </row>
    <row r="68" spans="1:3" x14ac:dyDescent="0.25">
      <c r="A68" s="2" t="s">
        <v>136</v>
      </c>
      <c r="B68" s="2">
        <f>Data!BH32</f>
        <v>-28.091632501040849</v>
      </c>
      <c r="C68" s="2">
        <f t="shared" si="0"/>
        <v>-28.091629999999999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1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590550</xdr:colOff>
                    <xdr:row>2</xdr:row>
                    <xdr:rowOff>95250</xdr:rowOff>
                  </from>
                  <to>
                    <xdr:col>7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endCalData">
                <anchor moveWithCells="1" sizeWithCells="1">
                  <from>
                    <xdr:col>2</xdr:col>
                    <xdr:colOff>95250</xdr:colOff>
                    <xdr:row>2</xdr:row>
                    <xdr:rowOff>95250</xdr:rowOff>
                  </from>
                  <to>
                    <xdr:col>3</xdr:col>
                    <xdr:colOff>438150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G9"/>
  <sheetViews>
    <sheetView workbookViewId="0">
      <selection activeCell="B10" sqref="B10"/>
    </sheetView>
  </sheetViews>
  <sheetFormatPr defaultColWidth="8.7109375" defaultRowHeight="15" x14ac:dyDescent="0.25"/>
  <cols>
    <col min="1" max="1" width="22.42578125" style="2" bestFit="1" customWidth="1"/>
    <col min="2" max="2" width="44.28515625" style="2" customWidth="1"/>
    <col min="3" max="3" width="9.5703125" style="2" customWidth="1"/>
    <col min="4" max="16384" width="8.7109375" style="2"/>
  </cols>
  <sheetData>
    <row r="1" spans="1:7" x14ac:dyDescent="0.25">
      <c r="A1" s="3" t="s">
        <v>182</v>
      </c>
      <c r="B1" t="str">
        <f>_xlfn.CONCAT(Connect!$G$1, " ", Connect!$J$1, " ", Connect!$D$1, " ", "save_hw_data")</f>
        <v>v2 0 COM8 save_hw_data</v>
      </c>
    </row>
    <row r="2" spans="1:7" x14ac:dyDescent="0.25">
      <c r="A2" s="3" t="s">
        <v>183</v>
      </c>
      <c r="B2" t="str">
        <f>_xlfn.CONCAT(Connect!$G$1, " ", Connect!$J$1, " ", Connect!$D$1, " ", "send_hw_data")</f>
        <v>v2 0 COM8 send_hw_data</v>
      </c>
    </row>
    <row r="3" spans="1:7" x14ac:dyDescent="0.25">
      <c r="A3" s="112"/>
      <c r="B3" s="112"/>
      <c r="C3" s="4"/>
      <c r="D3" s="4"/>
      <c r="E3" s="4"/>
      <c r="F3" s="4"/>
      <c r="G3" s="4"/>
    </row>
    <row r="4" spans="1:7" x14ac:dyDescent="0.25">
      <c r="A4" s="112"/>
      <c r="B4" s="112"/>
      <c r="C4" s="4"/>
      <c r="D4" s="4"/>
      <c r="E4" s="4"/>
      <c r="F4" s="4"/>
      <c r="G4" s="4"/>
    </row>
    <row r="5" spans="1:7" x14ac:dyDescent="0.25">
      <c r="A5" s="112"/>
      <c r="B5" s="112"/>
      <c r="C5" s="4"/>
      <c r="D5" s="4"/>
      <c r="E5" s="4"/>
      <c r="F5" s="4"/>
      <c r="G5" s="4"/>
    </row>
    <row r="7" spans="1:7" x14ac:dyDescent="0.25">
      <c r="A7" s="3" t="s">
        <v>160</v>
      </c>
      <c r="B7" s="63" t="s">
        <v>161</v>
      </c>
      <c r="C7" s="2">
        <f>VLOOKUP(B7,Internal!M2:N9,2,FALSE)</f>
        <v>0</v>
      </c>
    </row>
    <row r="8" spans="1:7" x14ac:dyDescent="0.25">
      <c r="A8" s="3" t="s">
        <v>162</v>
      </c>
      <c r="B8" s="63" t="s">
        <v>207</v>
      </c>
    </row>
    <row r="9" spans="1:7" ht="75" x14ac:dyDescent="0.25">
      <c r="A9" s="64" t="s">
        <v>163</v>
      </c>
      <c r="B9" s="65" t="s">
        <v>208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veHwData">
                <anchor moveWithCells="1" sizeWithCells="1">
                  <from>
                    <xdr:col>0</xdr:col>
                    <xdr:colOff>171450</xdr:colOff>
                    <xdr:row>2</xdr:row>
                    <xdr:rowOff>104775</xdr:rowOff>
                  </from>
                  <to>
                    <xdr:col>1</xdr:col>
                    <xdr:colOff>2847975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133350</xdr:colOff>
                    <xdr:row>2</xdr:row>
                    <xdr:rowOff>114300</xdr:rowOff>
                  </from>
                  <to>
                    <xdr:col>6</xdr:col>
                    <xdr:colOff>428625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Internal!$M$2:$M$9</xm:f>
          </x14:formula1>
          <xm:sqref>B7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R41"/>
  <sheetViews>
    <sheetView workbookViewId="0">
      <selection activeCell="R5" sqref="R5"/>
    </sheetView>
  </sheetViews>
  <sheetFormatPr defaultRowHeight="15" x14ac:dyDescent="0.25"/>
  <cols>
    <col min="1" max="1" width="16.28515625" bestFit="1" customWidth="1"/>
    <col min="2" max="2" width="10.28515625" customWidth="1"/>
    <col min="3" max="3" width="6.85546875" bestFit="1" customWidth="1"/>
    <col min="4" max="5" width="8.7109375" bestFit="1" customWidth="1"/>
    <col min="6" max="6" width="11.28515625" bestFit="1" customWidth="1"/>
    <col min="8" max="8" width="18.140625" bestFit="1" customWidth="1"/>
    <col min="9" max="9" width="9.5703125" style="11" bestFit="1" customWidth="1"/>
    <col min="10" max="10" width="8.85546875" style="54" bestFit="1" customWidth="1"/>
    <col min="11" max="11" width="20.42578125" bestFit="1" customWidth="1"/>
    <col min="12" max="12" width="12.5703125" bestFit="1" customWidth="1"/>
  </cols>
  <sheetData>
    <row r="1" spans="1:18" s="1" customFormat="1" ht="15.75" thickBot="1" x14ac:dyDescent="0.3">
      <c r="A1" s="1" t="s">
        <v>4</v>
      </c>
      <c r="B1" s="1" t="s">
        <v>1</v>
      </c>
      <c r="C1" s="1" t="s">
        <v>65</v>
      </c>
      <c r="D1" s="1" t="s">
        <v>154</v>
      </c>
      <c r="E1" s="1" t="s">
        <v>155</v>
      </c>
      <c r="F1" s="1" t="s">
        <v>156</v>
      </c>
      <c r="G1" s="1" t="s">
        <v>63</v>
      </c>
      <c r="H1" s="1" t="s">
        <v>9</v>
      </c>
      <c r="I1" s="57" t="s">
        <v>87</v>
      </c>
      <c r="J1" s="57" t="s">
        <v>86</v>
      </c>
      <c r="K1" s="1" t="s">
        <v>139</v>
      </c>
      <c r="L1" s="1" t="s">
        <v>153</v>
      </c>
      <c r="M1" s="1" t="s">
        <v>195</v>
      </c>
      <c r="O1" s="1" t="s">
        <v>210</v>
      </c>
    </row>
    <row r="2" spans="1:18" x14ac:dyDescent="0.25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66</v>
      </c>
      <c r="I2" s="11">
        <v>-5000</v>
      </c>
      <c r="J2" s="11">
        <v>-32750</v>
      </c>
      <c r="K2" t="s">
        <v>140</v>
      </c>
      <c r="L2">
        <v>32768</v>
      </c>
      <c r="M2" t="s">
        <v>161</v>
      </c>
      <c r="N2">
        <v>0</v>
      </c>
      <c r="P2" s="1" t="s">
        <v>213</v>
      </c>
      <c r="Q2" s="1" t="s">
        <v>214</v>
      </c>
      <c r="R2" s="1" t="s">
        <v>215</v>
      </c>
    </row>
    <row r="3" spans="1:18" x14ac:dyDescent="0.25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IF(Connect!G$1=Internal!$A$2,Internal!D3,Internal!E3)</f>
        <v>1000</v>
      </c>
      <c r="G3">
        <v>1</v>
      </c>
      <c r="H3" t="s">
        <v>67</v>
      </c>
      <c r="I3" s="11">
        <v>-4500</v>
      </c>
      <c r="J3" s="11">
        <v>-29475</v>
      </c>
      <c r="L3">
        <v>32767</v>
      </c>
      <c r="M3" t="s">
        <v>196</v>
      </c>
      <c r="N3">
        <v>1</v>
      </c>
      <c r="O3" t="s">
        <v>211</v>
      </c>
      <c r="P3">
        <v>1</v>
      </c>
      <c r="Q3">
        <v>1</v>
      </c>
      <c r="R3">
        <f>IF(Connect!G1=Internal!A2, P3,Internal!Q3)</f>
        <v>1</v>
      </c>
    </row>
    <row r="4" spans="1:18" x14ac:dyDescent="0.25">
      <c r="B4" t="s">
        <v>64</v>
      </c>
      <c r="C4">
        <v>1</v>
      </c>
      <c r="D4" s="92">
        <f>0.005*1000</f>
        <v>5</v>
      </c>
      <c r="E4">
        <v>100</v>
      </c>
      <c r="F4">
        <f>IF(Connect!G$1=Internal!$A$2,Internal!D4,Internal!E4)</f>
        <v>100</v>
      </c>
      <c r="G4">
        <v>2</v>
      </c>
      <c r="H4" t="s">
        <v>60</v>
      </c>
      <c r="I4" s="11">
        <v>-4000</v>
      </c>
      <c r="J4" s="11">
        <v>-26200</v>
      </c>
      <c r="M4" t="s">
        <v>197</v>
      </c>
      <c r="N4">
        <v>2</v>
      </c>
      <c r="O4" t="s">
        <v>212</v>
      </c>
      <c r="P4">
        <v>1</v>
      </c>
      <c r="Q4">
        <v>9.91</v>
      </c>
      <c r="R4">
        <f>IF(Connect!G1=Internal!A2, P4,Internal!Q4)</f>
        <v>9.91</v>
      </c>
    </row>
    <row r="5" spans="1:18" x14ac:dyDescent="0.25">
      <c r="C5">
        <v>2</v>
      </c>
      <c r="D5" s="92">
        <f>0.0002*1000</f>
        <v>0.2</v>
      </c>
      <c r="E5">
        <v>10</v>
      </c>
      <c r="F5">
        <f>IF(Connect!G$1=Internal!$A$2,Internal!D5,Internal!E5)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  <c r="M5" t="s">
        <v>198</v>
      </c>
      <c r="N5">
        <v>3</v>
      </c>
    </row>
    <row r="6" spans="1:18" x14ac:dyDescent="0.25">
      <c r="C6">
        <v>3</v>
      </c>
      <c r="D6" s="92">
        <f>0.00001*1000</f>
        <v>0.01</v>
      </c>
      <c r="E6">
        <v>1</v>
      </c>
      <c r="F6">
        <f>IF(Connect!G$1=Internal!$A$2,Internal!D6,Internal!E6)</f>
        <v>1</v>
      </c>
      <c r="H6" t="s">
        <v>68</v>
      </c>
      <c r="I6" s="11">
        <v>-3000</v>
      </c>
      <c r="J6" s="11">
        <v>-19650</v>
      </c>
      <c r="M6" t="s">
        <v>199</v>
      </c>
      <c r="N6">
        <v>4</v>
      </c>
    </row>
    <row r="7" spans="1:18" x14ac:dyDescent="0.25">
      <c r="C7">
        <v>4</v>
      </c>
      <c r="E7" s="62">
        <v>0.1</v>
      </c>
      <c r="F7">
        <f>IF(Connect!G$1=Internal!$A$2,Internal!D7,Internal!E7)</f>
        <v>0.1</v>
      </c>
      <c r="H7" t="s">
        <v>0</v>
      </c>
      <c r="I7" s="11">
        <v>-2500</v>
      </c>
      <c r="J7" s="11">
        <v>-16375</v>
      </c>
      <c r="M7" t="s">
        <v>200</v>
      </c>
      <c r="N7">
        <v>5</v>
      </c>
    </row>
    <row r="8" spans="1:18" x14ac:dyDescent="0.25">
      <c r="C8">
        <v>5</v>
      </c>
      <c r="E8" s="62">
        <v>0.01</v>
      </c>
      <c r="F8">
        <f>IF(Connect!G$1=Internal!$A$2,Internal!D8,Internal!E8)</f>
        <v>0.01</v>
      </c>
      <c r="H8" t="s">
        <v>69</v>
      </c>
      <c r="I8" s="11">
        <v>-2000</v>
      </c>
      <c r="J8" s="11">
        <v>-13100</v>
      </c>
      <c r="M8" t="s">
        <v>201</v>
      </c>
      <c r="N8">
        <v>6</v>
      </c>
    </row>
    <row r="9" spans="1:18" x14ac:dyDescent="0.25">
      <c r="C9">
        <v>6</v>
      </c>
      <c r="E9" s="62">
        <v>1E-3</v>
      </c>
      <c r="F9">
        <f>IF(Connect!G$1=Internal!$A$2,Internal!D9,Internal!E9)</f>
        <v>1E-3</v>
      </c>
      <c r="H9" t="s">
        <v>70</v>
      </c>
      <c r="I9" s="11">
        <v>-1500</v>
      </c>
      <c r="J9" s="11">
        <v>-9825</v>
      </c>
      <c r="M9" t="s">
        <v>202</v>
      </c>
      <c r="N9">
        <v>7</v>
      </c>
    </row>
    <row r="10" spans="1:18" x14ac:dyDescent="0.25">
      <c r="C10">
        <v>7</v>
      </c>
      <c r="E10" s="62">
        <v>1E-4</v>
      </c>
      <c r="F10">
        <f>IF(Connect!G$1=Internal!$A$2,Internal!D10,Internal!E10)</f>
        <v>1E-4</v>
      </c>
      <c r="H10" t="s">
        <v>71</v>
      </c>
      <c r="I10" s="11">
        <v>-1000</v>
      </c>
      <c r="J10" s="11">
        <v>-6550</v>
      </c>
    </row>
    <row r="11" spans="1:18" x14ac:dyDescent="0.25">
      <c r="H11" t="s">
        <v>72</v>
      </c>
      <c r="I11" s="11">
        <v>-500</v>
      </c>
      <c r="J11" s="11">
        <v>-3275</v>
      </c>
    </row>
    <row r="12" spans="1:18" x14ac:dyDescent="0.25">
      <c r="H12" t="s">
        <v>73</v>
      </c>
      <c r="I12" s="17">
        <v>0</v>
      </c>
      <c r="J12" s="17">
        <v>0</v>
      </c>
    </row>
    <row r="13" spans="1:18" x14ac:dyDescent="0.25">
      <c r="H13" t="s">
        <v>74</v>
      </c>
      <c r="I13" s="11">
        <v>500</v>
      </c>
      <c r="J13" s="11">
        <v>3275</v>
      </c>
    </row>
    <row r="14" spans="1:18" x14ac:dyDescent="0.25">
      <c r="H14" t="s">
        <v>75</v>
      </c>
      <c r="I14" s="11">
        <v>1000</v>
      </c>
      <c r="J14" s="11">
        <v>6550</v>
      </c>
    </row>
    <row r="15" spans="1:18" x14ac:dyDescent="0.25">
      <c r="H15" t="s">
        <v>76</v>
      </c>
      <c r="I15" s="11">
        <v>1500</v>
      </c>
      <c r="J15" s="11">
        <v>9825</v>
      </c>
    </row>
    <row r="16" spans="1:18" x14ac:dyDescent="0.25">
      <c r="H16" t="s">
        <v>77</v>
      </c>
      <c r="I16" s="11">
        <v>2000</v>
      </c>
      <c r="J16" s="11">
        <v>13100</v>
      </c>
    </row>
    <row r="17" spans="8:10" x14ac:dyDescent="0.25">
      <c r="H17" t="s">
        <v>78</v>
      </c>
      <c r="I17" s="11">
        <v>2500</v>
      </c>
      <c r="J17" s="11">
        <v>16375</v>
      </c>
    </row>
    <row r="18" spans="8:10" x14ac:dyDescent="0.25">
      <c r="H18" t="s">
        <v>79</v>
      </c>
      <c r="I18" s="11">
        <v>3000</v>
      </c>
      <c r="J18" s="11">
        <v>19650</v>
      </c>
    </row>
    <row r="19" spans="8:10" x14ac:dyDescent="0.25">
      <c r="H19" t="s">
        <v>80</v>
      </c>
      <c r="I19" s="11">
        <v>3500</v>
      </c>
      <c r="J19" s="11">
        <v>22925</v>
      </c>
    </row>
    <row r="20" spans="8:10" x14ac:dyDescent="0.25">
      <c r="H20" t="s">
        <v>81</v>
      </c>
      <c r="I20" s="11">
        <v>4000</v>
      </c>
      <c r="J20" s="11">
        <v>26200</v>
      </c>
    </row>
    <row r="21" spans="8:10" x14ac:dyDescent="0.25">
      <c r="H21" t="s">
        <v>82</v>
      </c>
      <c r="I21" s="11">
        <v>4500</v>
      </c>
      <c r="J21" s="11">
        <v>29475</v>
      </c>
    </row>
    <row r="22" spans="8:10" x14ac:dyDescent="0.25">
      <c r="H22" t="s">
        <v>83</v>
      </c>
      <c r="I22" s="22">
        <v>5000</v>
      </c>
      <c r="J22" s="22">
        <v>32750</v>
      </c>
    </row>
    <row r="23" spans="8:10" x14ac:dyDescent="0.25">
      <c r="H23" t="s">
        <v>84</v>
      </c>
    </row>
    <row r="24" spans="8:10" x14ac:dyDescent="0.25">
      <c r="H24" t="s">
        <v>143</v>
      </c>
      <c r="I24" s="31"/>
      <c r="J24" s="55"/>
    </row>
    <row r="25" spans="8:10" x14ac:dyDescent="0.25">
      <c r="H25" t="s">
        <v>144</v>
      </c>
    </row>
    <row r="26" spans="8:10" x14ac:dyDescent="0.25">
      <c r="H26" t="s">
        <v>145</v>
      </c>
    </row>
    <row r="27" spans="8:10" x14ac:dyDescent="0.25">
      <c r="H27" t="s">
        <v>146</v>
      </c>
      <c r="I27" s="31"/>
      <c r="J27" s="55"/>
    </row>
    <row r="28" spans="8:10" x14ac:dyDescent="0.25">
      <c r="H28" t="s">
        <v>147</v>
      </c>
    </row>
    <row r="29" spans="8:10" x14ac:dyDescent="0.25">
      <c r="H29" t="s">
        <v>148</v>
      </c>
    </row>
    <row r="30" spans="8:10" x14ac:dyDescent="0.25">
      <c r="H30" t="s">
        <v>149</v>
      </c>
      <c r="I30" s="31"/>
      <c r="J30" s="55"/>
    </row>
    <row r="31" spans="8:10" x14ac:dyDescent="0.25">
      <c r="H31" t="s">
        <v>150</v>
      </c>
    </row>
    <row r="32" spans="8:10" x14ac:dyDescent="0.25">
      <c r="H32" t="s">
        <v>185</v>
      </c>
    </row>
    <row r="33" spans="8:10" x14ac:dyDescent="0.25">
      <c r="H33" t="s">
        <v>186</v>
      </c>
      <c r="I33" s="36"/>
      <c r="J33" s="56"/>
    </row>
    <row r="34" spans="8:10" x14ac:dyDescent="0.25">
      <c r="H34" t="s">
        <v>187</v>
      </c>
    </row>
    <row r="35" spans="8:10" x14ac:dyDescent="0.25">
      <c r="H35" t="s">
        <v>188</v>
      </c>
    </row>
    <row r="36" spans="8:10" x14ac:dyDescent="0.25">
      <c r="H36" t="s">
        <v>189</v>
      </c>
    </row>
    <row r="37" spans="8:10" x14ac:dyDescent="0.25">
      <c r="H37" t="s">
        <v>190</v>
      </c>
    </row>
    <row r="38" spans="8:10" x14ac:dyDescent="0.25">
      <c r="H38" t="s">
        <v>191</v>
      </c>
    </row>
    <row r="39" spans="8:10" x14ac:dyDescent="0.25">
      <c r="H39" t="s">
        <v>192</v>
      </c>
    </row>
    <row r="40" spans="8:10" x14ac:dyDescent="0.25">
      <c r="H40" t="s">
        <v>193</v>
      </c>
    </row>
    <row r="41" spans="8:10" x14ac:dyDescent="0.25">
      <c r="H41" t="s">
        <v>194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626</vt:i4>
      </vt:variant>
    </vt:vector>
  </HeadingPairs>
  <TitlesOfParts>
    <vt:vector size="640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'Range 1'!ExternalData_1</vt:lpstr>
      <vt:lpstr>'Range 2'!ExternalData_1</vt:lpstr>
      <vt:lpstr>'Range 3'!ExternalData_1</vt:lpstr>
      <vt:lpstr>'Range 4'!ExternalData_1</vt:lpstr>
      <vt:lpstr>'Range 5'!ExternalData_1</vt:lpstr>
      <vt:lpstr>'Range 6'!ExternalData_1</vt:lpstr>
      <vt:lpstr>'Range 7'!ExternalData_1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'Range 0'!ExternalData_100</vt:lpstr>
      <vt:lpstr>'Range 3'!ExternalData_100</vt:lpstr>
      <vt:lpstr>Voltage!ExternalData_100</vt:lpstr>
      <vt:lpstr>'Range 0'!ExternalData_101</vt:lpstr>
      <vt:lpstr>'Range 3'!ExternalData_101</vt:lpstr>
      <vt:lpstr>Voltage!ExternalData_101</vt:lpstr>
      <vt:lpstr>'Range 0'!ExternalData_102</vt:lpstr>
      <vt:lpstr>'Range 3'!ExternalData_102</vt:lpstr>
      <vt:lpstr>Voltage!ExternalData_102</vt:lpstr>
      <vt:lpstr>'Range 0'!ExternalData_103</vt:lpstr>
      <vt:lpstr>'Range 3'!ExternalData_103</vt:lpstr>
      <vt:lpstr>Voltage!ExternalData_103</vt:lpstr>
      <vt:lpstr>'Range 0'!ExternalData_104</vt:lpstr>
      <vt:lpstr>Voltage!ExternalData_104</vt:lpstr>
      <vt:lpstr>'Range 0'!ExternalData_105</vt:lpstr>
      <vt:lpstr>Voltage!ExternalData_105</vt:lpstr>
      <vt:lpstr>'Range 0'!ExternalData_106</vt:lpstr>
      <vt:lpstr>Voltage!ExternalData_106</vt:lpstr>
      <vt:lpstr>'Range 0'!ExternalData_107</vt:lpstr>
      <vt:lpstr>Voltage!ExternalData_107</vt:lpstr>
      <vt:lpstr>'Range 0'!ExternalData_108</vt:lpstr>
      <vt:lpstr>Voltage!ExternalData_108</vt:lpstr>
      <vt:lpstr>Voltage!ExternalData_109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Voltage!ExternalData_110</vt:lpstr>
      <vt:lpstr>Voltage!ExternalData_111</vt:lpstr>
      <vt:lpstr>Voltage!ExternalData_112</vt:lpstr>
      <vt:lpstr>Voltage!ExternalData_113</vt:lpstr>
      <vt:lpstr>Voltage!ExternalData_114</vt:lpstr>
      <vt:lpstr>Voltage!ExternalData_115</vt:lpstr>
      <vt:lpstr>Voltage!ExternalData_116</vt:lpstr>
      <vt:lpstr>Voltage!ExternalData_117</vt:lpstr>
      <vt:lpstr>Voltage!ExternalData_118</vt:lpstr>
      <vt:lpstr>Voltage!ExternalData_119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Voltage!ExternalData_120</vt:lpstr>
      <vt:lpstr>Voltage!ExternalData_121</vt:lpstr>
      <vt:lpstr>Voltage!ExternalData_122</vt:lpstr>
      <vt:lpstr>Voltage!ExternalData_123</vt:lpstr>
      <vt:lpstr>Voltage!ExternalData_124</vt:lpstr>
      <vt:lpstr>Voltage!ExternalData_125</vt:lpstr>
      <vt:lpstr>Voltage!ExternalData_126</vt:lpstr>
      <vt:lpstr>Voltage!ExternalData_127</vt:lpstr>
      <vt:lpstr>Voltage!ExternalData_128</vt:lpstr>
      <vt:lpstr>Voltage!ExternalData_129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Voltage!ExternalData_130</vt:lpstr>
      <vt:lpstr>Voltage!ExternalData_131</vt:lpstr>
      <vt:lpstr>Voltage!ExternalData_132</vt:lpstr>
      <vt:lpstr>Voltage!ExternalData_133</vt:lpstr>
      <vt:lpstr>Voltage!ExternalData_134</vt:lpstr>
      <vt:lpstr>Voltage!ExternalData_135</vt:lpstr>
      <vt:lpstr>Voltage!ExternalData_136</vt:lpstr>
      <vt:lpstr>Voltage!ExternalData_137</vt:lpstr>
      <vt:lpstr>Voltage!ExternalData_138</vt:lpstr>
      <vt:lpstr>Voltage!ExternalData_139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Voltage!ExternalData_140</vt:lpstr>
      <vt:lpstr>Voltage!ExternalData_141</vt:lpstr>
      <vt:lpstr>Voltage!ExternalData_142</vt:lpstr>
      <vt:lpstr>Voltage!ExternalData_143</vt:lpstr>
      <vt:lpstr>Voltage!ExternalData_144</vt:lpstr>
      <vt:lpstr>Voltage!ExternalData_145</vt:lpstr>
      <vt:lpstr>Voltage!ExternalData_146</vt:lpstr>
      <vt:lpstr>Voltage!ExternalData_147</vt:lpstr>
      <vt:lpstr>Voltage!ExternalData_148</vt:lpstr>
      <vt:lpstr>Voltage!ExternalData_149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Voltage!ExternalData_150</vt:lpstr>
      <vt:lpstr>Voltage!ExternalData_151</vt:lpstr>
      <vt:lpstr>Voltage!ExternalData_152</vt:lpstr>
      <vt:lpstr>Voltage!ExternalData_153</vt:lpstr>
      <vt:lpstr>Voltage!ExternalData_154</vt:lpstr>
      <vt:lpstr>Voltage!ExternalData_155</vt:lpstr>
      <vt:lpstr>Voltage!ExternalData_156</vt:lpstr>
      <vt:lpstr>Voltage!ExternalData_157</vt:lpstr>
      <vt:lpstr>Voltage!ExternalData_158</vt:lpstr>
      <vt:lpstr>Voltage!ExternalData_159</vt:lpstr>
      <vt:lpstr>Calibrate!ExternalData_16</vt:lpstr>
      <vt:lpstr>'Range 0'!ExternalData_16</vt:lpstr>
      <vt:lpstr>'Range 1'!ExternalData_16</vt:lpstr>
      <vt:lpstr>'Range 2'!ExternalData_16</vt:lpstr>
      <vt:lpstr>'Range 3'!ExternalData_16</vt:lpstr>
      <vt:lpstr>Voltage!ExternalData_160</vt:lpstr>
      <vt:lpstr>Voltage!ExternalData_161</vt:lpstr>
      <vt:lpstr>Calibrate!ExternalData_17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Calibrate!ExternalData_18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Calibrate!ExternalData_19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'Range 0'!ExternalData_2</vt:lpstr>
      <vt:lpstr>'Range 1'!ExternalData_2</vt:lpstr>
      <vt:lpstr>'Range 2'!ExternalData_2</vt:lpstr>
      <vt:lpstr>'Range 3'!ExternalData_2</vt:lpstr>
      <vt:lpstr>'Range 4'!ExternalData_2</vt:lpstr>
      <vt:lpstr>'Range 5'!ExternalData_2</vt:lpstr>
      <vt:lpstr>'Range 6'!ExternalData_2</vt:lpstr>
      <vt:lpstr>'Range 7'!ExternalData_2</vt:lpstr>
      <vt:lpstr>Voltage!ExternalData_2</vt:lpstr>
      <vt:lpstr>Calibrate!ExternalData_20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Calibrate!ExternalData_21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Calibrate!ExternalData_22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Calibrate!ExternalData_23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Calibrate!ExternalData_24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Calibrate!ExternalData_25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Calibrate!ExternalData_26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Calibrate!ExternalData_27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Calibrate!ExternalData_28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Calibrate!ExternalData_29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'Range 4'!ExternalData_3</vt:lpstr>
      <vt:lpstr>'Range 5'!ExternalData_3</vt:lpstr>
      <vt:lpstr>'Range 6'!ExternalData_3</vt:lpstr>
      <vt:lpstr>'Range 7'!ExternalData_3</vt:lpstr>
      <vt:lpstr>Voltage!ExternalData_3</vt:lpstr>
      <vt:lpstr>Calibrate!ExternalData_30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Calibrate!ExternalData_31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Calibrate!ExternalData_32</vt:lpstr>
      <vt:lpstr>'Range 0'!ExternalData_32</vt:lpstr>
      <vt:lpstr>'Range 1'!ExternalData_32</vt:lpstr>
      <vt:lpstr>'Range 2'!ExternalData_32</vt:lpstr>
      <vt:lpstr>'Range 3'!ExternalData_32</vt:lpstr>
      <vt:lpstr>Voltage!ExternalData_32</vt:lpstr>
      <vt:lpstr>Calibrate!ExternalData_33</vt:lpstr>
      <vt:lpstr>'Range 0'!ExternalData_33</vt:lpstr>
      <vt:lpstr>'Range 1'!ExternalData_33</vt:lpstr>
      <vt:lpstr>'Range 2'!ExternalData_33</vt:lpstr>
      <vt:lpstr>'Range 3'!ExternalData_33</vt:lpstr>
      <vt:lpstr>Voltage!ExternalData_33</vt:lpstr>
      <vt:lpstr>Calibrate!ExternalData_34</vt:lpstr>
      <vt:lpstr>'Range 0'!ExternalData_34</vt:lpstr>
      <vt:lpstr>'Range 1'!ExternalData_34</vt:lpstr>
      <vt:lpstr>'Range 2'!ExternalData_34</vt:lpstr>
      <vt:lpstr>'Range 3'!ExternalData_34</vt:lpstr>
      <vt:lpstr>Voltage!ExternalData_34</vt:lpstr>
      <vt:lpstr>Calibrate!ExternalData_35</vt:lpstr>
      <vt:lpstr>'Range 0'!ExternalData_35</vt:lpstr>
      <vt:lpstr>'Range 1'!ExternalData_35</vt:lpstr>
      <vt:lpstr>'Range 2'!ExternalData_35</vt:lpstr>
      <vt:lpstr>'Range 3'!ExternalData_35</vt:lpstr>
      <vt:lpstr>Voltage!ExternalData_35</vt:lpstr>
      <vt:lpstr>Calibrate!ExternalData_36</vt:lpstr>
      <vt:lpstr>'Range 0'!ExternalData_36</vt:lpstr>
      <vt:lpstr>'Range 1'!ExternalData_36</vt:lpstr>
      <vt:lpstr>'Range 2'!ExternalData_36</vt:lpstr>
      <vt:lpstr>'Range 3'!ExternalData_36</vt:lpstr>
      <vt:lpstr>Voltage!ExternalData_36</vt:lpstr>
      <vt:lpstr>Calibrate!ExternalData_37</vt:lpstr>
      <vt:lpstr>'Range 0'!ExternalData_37</vt:lpstr>
      <vt:lpstr>'Range 1'!ExternalData_37</vt:lpstr>
      <vt:lpstr>'Range 2'!ExternalData_37</vt:lpstr>
      <vt:lpstr>'Range 3'!ExternalData_37</vt:lpstr>
      <vt:lpstr>Voltage!ExternalData_37</vt:lpstr>
      <vt:lpstr>Calibrate!ExternalData_38</vt:lpstr>
      <vt:lpstr>'Range 0'!ExternalData_38</vt:lpstr>
      <vt:lpstr>'Range 1'!ExternalData_38</vt:lpstr>
      <vt:lpstr>'Range 2'!ExternalData_38</vt:lpstr>
      <vt:lpstr>'Range 3'!ExternalData_38</vt:lpstr>
      <vt:lpstr>Voltage!ExternalData_38</vt:lpstr>
      <vt:lpstr>Calibrate!ExternalData_39</vt:lpstr>
      <vt:lpstr>'Range 0'!ExternalData_39</vt:lpstr>
      <vt:lpstr>'Range 1'!ExternalData_39</vt:lpstr>
      <vt:lpstr>'Range 2'!ExternalData_39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'Range 4'!ExternalData_4</vt:lpstr>
      <vt:lpstr>'Range 5'!ExternalData_4</vt:lpstr>
      <vt:lpstr>'Range 6'!ExternalData_4</vt:lpstr>
      <vt:lpstr>'Range 7'!ExternalData_4</vt:lpstr>
      <vt:lpstr>Voltage!ExternalData_4</vt:lpstr>
      <vt:lpstr>Calibrate!ExternalData_40</vt:lpstr>
      <vt:lpstr>'Range 0'!ExternalData_40</vt:lpstr>
      <vt:lpstr>'Range 1'!ExternalData_40</vt:lpstr>
      <vt:lpstr>'Range 2'!ExternalData_40</vt:lpstr>
      <vt:lpstr>'Range 3'!ExternalData_40</vt:lpstr>
      <vt:lpstr>Voltage!ExternalData_40</vt:lpstr>
      <vt:lpstr>Calibrate!ExternalData_41</vt:lpstr>
      <vt:lpstr>'Range 0'!ExternalData_41</vt:lpstr>
      <vt:lpstr>'Range 1'!ExternalData_41</vt:lpstr>
      <vt:lpstr>'Range 2'!ExternalData_41</vt:lpstr>
      <vt:lpstr>'Range 3'!ExternalData_41</vt:lpstr>
      <vt:lpstr>Voltage!ExternalData_41</vt:lpstr>
      <vt:lpstr>Calibrate!ExternalData_42</vt:lpstr>
      <vt:lpstr>'Range 0'!ExternalData_42</vt:lpstr>
      <vt:lpstr>'Range 1'!ExternalData_42</vt:lpstr>
      <vt:lpstr>'Range 2'!ExternalData_42</vt:lpstr>
      <vt:lpstr>'Range 3'!ExternalData_42</vt:lpstr>
      <vt:lpstr>Voltage!ExternalData_42</vt:lpstr>
      <vt:lpstr>Calibrate!ExternalData_43</vt:lpstr>
      <vt:lpstr>'Range 0'!ExternalData_43</vt:lpstr>
      <vt:lpstr>'Range 1'!ExternalData_43</vt:lpstr>
      <vt:lpstr>'Range 2'!ExternalData_43</vt:lpstr>
      <vt:lpstr>'Range 3'!ExternalData_43</vt:lpstr>
      <vt:lpstr>Voltage!ExternalData_43</vt:lpstr>
      <vt:lpstr>Calibrate!ExternalData_44</vt:lpstr>
      <vt:lpstr>'Range 0'!ExternalData_44</vt:lpstr>
      <vt:lpstr>'Range 1'!ExternalData_44</vt:lpstr>
      <vt:lpstr>'Range 2'!ExternalData_44</vt:lpstr>
      <vt:lpstr>'Range 3'!ExternalData_44</vt:lpstr>
      <vt:lpstr>Voltage!ExternalData_44</vt:lpstr>
      <vt:lpstr>Calibrate!ExternalData_45</vt:lpstr>
      <vt:lpstr>'Range 0'!ExternalData_45</vt:lpstr>
      <vt:lpstr>'Range 1'!ExternalData_45</vt:lpstr>
      <vt:lpstr>'Range 2'!ExternalData_45</vt:lpstr>
      <vt:lpstr>'Range 3'!ExternalData_45</vt:lpstr>
      <vt:lpstr>Voltage!ExternalData_45</vt:lpstr>
      <vt:lpstr>Calibrate!ExternalData_46</vt:lpstr>
      <vt:lpstr>'Range 0'!ExternalData_46</vt:lpstr>
      <vt:lpstr>'Range 1'!ExternalData_46</vt:lpstr>
      <vt:lpstr>'Range 2'!ExternalData_46</vt:lpstr>
      <vt:lpstr>'Range 3'!ExternalData_46</vt:lpstr>
      <vt:lpstr>Voltage!ExternalData_46</vt:lpstr>
      <vt:lpstr>Calibrate!ExternalData_47</vt:lpstr>
      <vt:lpstr>'Range 0'!ExternalData_47</vt:lpstr>
      <vt:lpstr>'Range 1'!ExternalData_47</vt:lpstr>
      <vt:lpstr>'Range 2'!ExternalData_47</vt:lpstr>
      <vt:lpstr>'Range 3'!ExternalData_47</vt:lpstr>
      <vt:lpstr>Voltage!ExternalData_47</vt:lpstr>
      <vt:lpstr>Calibrate!ExternalData_48</vt:lpstr>
      <vt:lpstr>'Range 0'!ExternalData_48</vt:lpstr>
      <vt:lpstr>'Range 1'!ExternalData_48</vt:lpstr>
      <vt:lpstr>'Range 2'!ExternalData_48</vt:lpstr>
      <vt:lpstr>'Range 3'!ExternalData_48</vt:lpstr>
      <vt:lpstr>Voltage!ExternalData_48</vt:lpstr>
      <vt:lpstr>Calibrate!ExternalData_49</vt:lpstr>
      <vt:lpstr>'Range 0'!ExternalData_49</vt:lpstr>
      <vt:lpstr>'Range 1'!ExternalData_49</vt:lpstr>
      <vt:lpstr>'Range 2'!ExternalData_49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'Range 4'!ExternalData_5</vt:lpstr>
      <vt:lpstr>'Range 6'!ExternalData_5</vt:lpstr>
      <vt:lpstr>'Range 7'!ExternalData_5</vt:lpstr>
      <vt:lpstr>Voltage!ExternalData_5</vt:lpstr>
      <vt:lpstr>Calibrate!ExternalData_50</vt:lpstr>
      <vt:lpstr>'Range 0'!ExternalData_50</vt:lpstr>
      <vt:lpstr>'Range 1'!ExternalData_50</vt:lpstr>
      <vt:lpstr>'Range 2'!ExternalData_50</vt:lpstr>
      <vt:lpstr>'Range 3'!ExternalData_50</vt:lpstr>
      <vt:lpstr>Voltage!ExternalData_50</vt:lpstr>
      <vt:lpstr>Calibrate!ExternalData_51</vt:lpstr>
      <vt:lpstr>'Range 0'!ExternalData_51</vt:lpstr>
      <vt:lpstr>'Range 1'!ExternalData_51</vt:lpstr>
      <vt:lpstr>'Range 2'!ExternalData_51</vt:lpstr>
      <vt:lpstr>'Range 3'!ExternalData_51</vt:lpstr>
      <vt:lpstr>Voltage!ExternalData_51</vt:lpstr>
      <vt:lpstr>Calibrate!ExternalData_52</vt:lpstr>
      <vt:lpstr>'Range 0'!ExternalData_52</vt:lpstr>
      <vt:lpstr>'Range 1'!ExternalData_52</vt:lpstr>
      <vt:lpstr>'Range 2'!ExternalData_52</vt:lpstr>
      <vt:lpstr>'Range 3'!ExternalData_52</vt:lpstr>
      <vt:lpstr>Voltage!ExternalData_52</vt:lpstr>
      <vt:lpstr>Calibrate!ExternalData_53</vt:lpstr>
      <vt:lpstr>'Range 0'!ExternalData_53</vt:lpstr>
      <vt:lpstr>'Range 1'!ExternalData_53</vt:lpstr>
      <vt:lpstr>'Range 2'!ExternalData_53</vt:lpstr>
      <vt:lpstr>'Range 3'!ExternalData_53</vt:lpstr>
      <vt:lpstr>Voltage!ExternalData_53</vt:lpstr>
      <vt:lpstr>Calibrate!ExternalData_54</vt:lpstr>
      <vt:lpstr>'Range 0'!ExternalData_54</vt:lpstr>
      <vt:lpstr>'Range 1'!ExternalData_54</vt:lpstr>
      <vt:lpstr>'Range 2'!ExternalData_54</vt:lpstr>
      <vt:lpstr>'Range 3'!ExternalData_54</vt:lpstr>
      <vt:lpstr>Voltage!ExternalData_54</vt:lpstr>
      <vt:lpstr>Calibrate!ExternalData_55</vt:lpstr>
      <vt:lpstr>'Range 0'!ExternalData_55</vt:lpstr>
      <vt:lpstr>'Range 1'!ExternalData_55</vt:lpstr>
      <vt:lpstr>'Range 2'!ExternalData_55</vt:lpstr>
      <vt:lpstr>'Range 3'!ExternalData_55</vt:lpstr>
      <vt:lpstr>Voltage!ExternalData_55</vt:lpstr>
      <vt:lpstr>Calibrate!ExternalData_56</vt:lpstr>
      <vt:lpstr>'Range 0'!ExternalData_56</vt:lpstr>
      <vt:lpstr>'Range 1'!ExternalData_56</vt:lpstr>
      <vt:lpstr>'Range 2'!ExternalData_56</vt:lpstr>
      <vt:lpstr>'Range 3'!ExternalData_56</vt:lpstr>
      <vt:lpstr>Voltage!ExternalData_56</vt:lpstr>
      <vt:lpstr>Calibrate!ExternalData_57</vt:lpstr>
      <vt:lpstr>'Range 0'!ExternalData_57</vt:lpstr>
      <vt:lpstr>'Range 1'!ExternalData_57</vt:lpstr>
      <vt:lpstr>'Range 2'!ExternalData_57</vt:lpstr>
      <vt:lpstr>'Range 3'!ExternalData_57</vt:lpstr>
      <vt:lpstr>Voltage!ExternalData_57</vt:lpstr>
      <vt:lpstr>Calibrate!ExternalData_58</vt:lpstr>
      <vt:lpstr>'Range 0'!ExternalData_58</vt:lpstr>
      <vt:lpstr>'Range 1'!ExternalData_58</vt:lpstr>
      <vt:lpstr>'Range 2'!ExternalData_58</vt:lpstr>
      <vt:lpstr>'Range 3'!ExternalData_58</vt:lpstr>
      <vt:lpstr>Voltage!ExternalData_58</vt:lpstr>
      <vt:lpstr>Calibrate!ExternalData_59</vt:lpstr>
      <vt:lpstr>'Range 0'!ExternalData_59</vt:lpstr>
      <vt:lpstr>'Range 1'!ExternalData_59</vt:lpstr>
      <vt:lpstr>'Range 2'!ExternalData_59</vt:lpstr>
      <vt:lpstr>'Range 3'!ExternalData_59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'Range 4'!ExternalData_6</vt:lpstr>
      <vt:lpstr>Voltage!ExternalData_6</vt:lpstr>
      <vt:lpstr>Calibrate!ExternalData_60</vt:lpstr>
      <vt:lpstr>'Range 0'!ExternalData_60</vt:lpstr>
      <vt:lpstr>'Range 1'!ExternalData_60</vt:lpstr>
      <vt:lpstr>'Range 2'!ExternalData_60</vt:lpstr>
      <vt:lpstr>'Range 3'!ExternalData_60</vt:lpstr>
      <vt:lpstr>Voltage!ExternalData_60</vt:lpstr>
      <vt:lpstr>Calibrate!ExternalData_61</vt:lpstr>
      <vt:lpstr>'Range 0'!ExternalData_61</vt:lpstr>
      <vt:lpstr>'Range 1'!ExternalData_61</vt:lpstr>
      <vt:lpstr>'Range 2'!ExternalData_61</vt:lpstr>
      <vt:lpstr>'Range 3'!ExternalData_61</vt:lpstr>
      <vt:lpstr>Voltage!ExternalData_61</vt:lpstr>
      <vt:lpstr>Calibrate!ExternalData_62</vt:lpstr>
      <vt:lpstr>'Range 0'!ExternalData_62</vt:lpstr>
      <vt:lpstr>'Range 1'!ExternalData_62</vt:lpstr>
      <vt:lpstr>'Range 2'!ExternalData_62</vt:lpstr>
      <vt:lpstr>'Range 3'!ExternalData_62</vt:lpstr>
      <vt:lpstr>Voltage!ExternalData_62</vt:lpstr>
      <vt:lpstr>Calibrate!ExternalData_63</vt:lpstr>
      <vt:lpstr>'Range 0'!ExternalData_63</vt:lpstr>
      <vt:lpstr>'Range 1'!ExternalData_63</vt:lpstr>
      <vt:lpstr>'Range 2'!ExternalData_63</vt:lpstr>
      <vt:lpstr>'Range 3'!ExternalData_63</vt:lpstr>
      <vt:lpstr>Voltage!ExternalData_63</vt:lpstr>
      <vt:lpstr>Calibrate!ExternalData_64</vt:lpstr>
      <vt:lpstr>'Range 0'!ExternalData_64</vt:lpstr>
      <vt:lpstr>'Range 1'!ExternalData_64</vt:lpstr>
      <vt:lpstr>'Range 2'!ExternalData_64</vt:lpstr>
      <vt:lpstr>'Range 3'!ExternalData_64</vt:lpstr>
      <vt:lpstr>Voltage!ExternalData_64</vt:lpstr>
      <vt:lpstr>Calibrate!ExternalData_65</vt:lpstr>
      <vt:lpstr>'Range 0'!ExternalData_65</vt:lpstr>
      <vt:lpstr>'Range 1'!ExternalData_65</vt:lpstr>
      <vt:lpstr>'Range 2'!ExternalData_65</vt:lpstr>
      <vt:lpstr>'Range 3'!ExternalData_65</vt:lpstr>
      <vt:lpstr>Voltage!ExternalData_65</vt:lpstr>
      <vt:lpstr>Calibrate!ExternalData_66</vt:lpstr>
      <vt:lpstr>'Range 0'!ExternalData_66</vt:lpstr>
      <vt:lpstr>'Range 1'!ExternalData_66</vt:lpstr>
      <vt:lpstr>'Range 2'!ExternalData_66</vt:lpstr>
      <vt:lpstr>'Range 3'!ExternalData_66</vt:lpstr>
      <vt:lpstr>Voltage!ExternalData_66</vt:lpstr>
      <vt:lpstr>Calibrate!ExternalData_67</vt:lpstr>
      <vt:lpstr>'Range 0'!ExternalData_67</vt:lpstr>
      <vt:lpstr>'Range 1'!ExternalData_67</vt:lpstr>
      <vt:lpstr>'Range 2'!ExternalData_67</vt:lpstr>
      <vt:lpstr>'Range 3'!ExternalData_67</vt:lpstr>
      <vt:lpstr>Voltage!ExternalData_67</vt:lpstr>
      <vt:lpstr>Calibrate!ExternalData_68</vt:lpstr>
      <vt:lpstr>'Range 0'!ExternalData_68</vt:lpstr>
      <vt:lpstr>'Range 1'!ExternalData_68</vt:lpstr>
      <vt:lpstr>'Range 2'!ExternalData_68</vt:lpstr>
      <vt:lpstr>'Range 3'!ExternalData_68</vt:lpstr>
      <vt:lpstr>Voltage!ExternalData_68</vt:lpstr>
      <vt:lpstr>Calibrate!ExternalData_69</vt:lpstr>
      <vt:lpstr>'Range 0'!ExternalData_69</vt:lpstr>
      <vt:lpstr>'Range 1'!ExternalData_69</vt:lpstr>
      <vt:lpstr>'Range 2'!ExternalData_69</vt:lpstr>
      <vt:lpstr>'Range 3'!ExternalData_69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Calibrate!ExternalData_70</vt:lpstr>
      <vt:lpstr>'Range 0'!ExternalData_70</vt:lpstr>
      <vt:lpstr>'Range 1'!ExternalData_70</vt:lpstr>
      <vt:lpstr>'Range 2'!ExternalData_70</vt:lpstr>
      <vt:lpstr>'Range 3'!ExternalData_70</vt:lpstr>
      <vt:lpstr>Voltage!ExternalData_70</vt:lpstr>
      <vt:lpstr>Calibrate!ExternalData_71</vt:lpstr>
      <vt:lpstr>'Range 0'!ExternalData_71</vt:lpstr>
      <vt:lpstr>'Range 1'!ExternalData_71</vt:lpstr>
      <vt:lpstr>'Range 2'!ExternalData_71</vt:lpstr>
      <vt:lpstr>'Range 3'!ExternalData_71</vt:lpstr>
      <vt:lpstr>Voltage!ExternalData_71</vt:lpstr>
      <vt:lpstr>Calibrate!ExternalData_72</vt:lpstr>
      <vt:lpstr>'Range 0'!ExternalData_72</vt:lpstr>
      <vt:lpstr>'Range 1'!ExternalData_72</vt:lpstr>
      <vt:lpstr>'Range 2'!ExternalData_72</vt:lpstr>
      <vt:lpstr>'Range 3'!ExternalData_72</vt:lpstr>
      <vt:lpstr>Voltage!ExternalData_72</vt:lpstr>
      <vt:lpstr>Calibrate!ExternalData_73</vt:lpstr>
      <vt:lpstr>'Range 0'!ExternalData_73</vt:lpstr>
      <vt:lpstr>'Range 1'!ExternalData_73</vt:lpstr>
      <vt:lpstr>'Range 2'!ExternalData_73</vt:lpstr>
      <vt:lpstr>'Range 3'!ExternalData_73</vt:lpstr>
      <vt:lpstr>Voltage!ExternalData_73</vt:lpstr>
      <vt:lpstr>'Range 0'!ExternalData_74</vt:lpstr>
      <vt:lpstr>'Range 1'!ExternalData_74</vt:lpstr>
      <vt:lpstr>'Range 2'!ExternalData_74</vt:lpstr>
      <vt:lpstr>'Range 3'!ExternalData_74</vt:lpstr>
      <vt:lpstr>Voltage!ExternalData_74</vt:lpstr>
      <vt:lpstr>'Range 0'!ExternalData_75</vt:lpstr>
      <vt:lpstr>'Range 1'!ExternalData_75</vt:lpstr>
      <vt:lpstr>'Range 2'!ExternalData_75</vt:lpstr>
      <vt:lpstr>'Range 3'!ExternalData_75</vt:lpstr>
      <vt:lpstr>Voltage!ExternalData_75</vt:lpstr>
      <vt:lpstr>'Range 0'!ExternalData_76</vt:lpstr>
      <vt:lpstr>'Range 1'!ExternalData_76</vt:lpstr>
      <vt:lpstr>'Range 2'!ExternalData_76</vt:lpstr>
      <vt:lpstr>'Range 3'!ExternalData_76</vt:lpstr>
      <vt:lpstr>Voltage!ExternalData_76</vt:lpstr>
      <vt:lpstr>'Range 0'!ExternalData_77</vt:lpstr>
      <vt:lpstr>'Range 1'!ExternalData_77</vt:lpstr>
      <vt:lpstr>'Range 2'!ExternalData_77</vt:lpstr>
      <vt:lpstr>'Range 3'!ExternalData_77</vt:lpstr>
      <vt:lpstr>Voltage!ExternalData_77</vt:lpstr>
      <vt:lpstr>'Range 0'!ExternalData_78</vt:lpstr>
      <vt:lpstr>'Range 1'!ExternalData_78</vt:lpstr>
      <vt:lpstr>'Range 2'!ExternalData_78</vt:lpstr>
      <vt:lpstr>'Range 3'!ExternalData_78</vt:lpstr>
      <vt:lpstr>Voltage!ExternalData_78</vt:lpstr>
      <vt:lpstr>'Range 0'!ExternalData_79</vt:lpstr>
      <vt:lpstr>'Range 2'!ExternalData_79</vt:lpstr>
      <vt:lpstr>'Range 3'!ExternalData_79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'Range 0'!ExternalData_80</vt:lpstr>
      <vt:lpstr>'Range 2'!ExternalData_80</vt:lpstr>
      <vt:lpstr>'Range 3'!ExternalData_80</vt:lpstr>
      <vt:lpstr>Voltage!ExternalData_80</vt:lpstr>
      <vt:lpstr>'Range 0'!ExternalData_81</vt:lpstr>
      <vt:lpstr>'Range 3'!ExternalData_81</vt:lpstr>
      <vt:lpstr>Voltage!ExternalData_81</vt:lpstr>
      <vt:lpstr>'Range 0'!ExternalData_82</vt:lpstr>
      <vt:lpstr>'Range 3'!ExternalData_82</vt:lpstr>
      <vt:lpstr>Voltage!ExternalData_82</vt:lpstr>
      <vt:lpstr>'Range 0'!ExternalData_83</vt:lpstr>
      <vt:lpstr>'Range 3'!ExternalData_83</vt:lpstr>
      <vt:lpstr>Voltage!ExternalData_83</vt:lpstr>
      <vt:lpstr>'Range 0'!ExternalData_84</vt:lpstr>
      <vt:lpstr>'Range 3'!ExternalData_84</vt:lpstr>
      <vt:lpstr>Voltage!ExternalData_84</vt:lpstr>
      <vt:lpstr>'Range 0'!ExternalData_85</vt:lpstr>
      <vt:lpstr>'Range 3'!ExternalData_85</vt:lpstr>
      <vt:lpstr>Voltage!ExternalData_85</vt:lpstr>
      <vt:lpstr>'Range 0'!ExternalData_86</vt:lpstr>
      <vt:lpstr>'Range 3'!ExternalData_86</vt:lpstr>
      <vt:lpstr>Voltage!ExternalData_86</vt:lpstr>
      <vt:lpstr>'Range 0'!ExternalData_87</vt:lpstr>
      <vt:lpstr>'Range 3'!ExternalData_87</vt:lpstr>
      <vt:lpstr>Voltage!ExternalData_87</vt:lpstr>
      <vt:lpstr>'Range 0'!ExternalData_88</vt:lpstr>
      <vt:lpstr>'Range 3'!ExternalData_88</vt:lpstr>
      <vt:lpstr>Voltage!ExternalData_88</vt:lpstr>
      <vt:lpstr>'Range 0'!ExternalData_89</vt:lpstr>
      <vt:lpstr>'Range 3'!ExternalData_89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'Range 0'!ExternalData_90</vt:lpstr>
      <vt:lpstr>'Range 3'!ExternalData_90</vt:lpstr>
      <vt:lpstr>Voltage!ExternalData_90</vt:lpstr>
      <vt:lpstr>'Range 0'!ExternalData_91</vt:lpstr>
      <vt:lpstr>'Range 3'!ExternalData_91</vt:lpstr>
      <vt:lpstr>Voltage!ExternalData_91</vt:lpstr>
      <vt:lpstr>'Range 0'!ExternalData_92</vt:lpstr>
      <vt:lpstr>'Range 3'!ExternalData_92</vt:lpstr>
      <vt:lpstr>Voltage!ExternalData_92</vt:lpstr>
      <vt:lpstr>'Range 0'!ExternalData_93</vt:lpstr>
      <vt:lpstr>'Range 3'!ExternalData_93</vt:lpstr>
      <vt:lpstr>Voltage!ExternalData_93</vt:lpstr>
      <vt:lpstr>'Range 0'!ExternalData_94</vt:lpstr>
      <vt:lpstr>'Range 3'!ExternalData_94</vt:lpstr>
      <vt:lpstr>Voltage!ExternalData_94</vt:lpstr>
      <vt:lpstr>'Range 0'!ExternalData_95</vt:lpstr>
      <vt:lpstr>'Range 3'!ExternalData_95</vt:lpstr>
      <vt:lpstr>Voltage!ExternalData_95</vt:lpstr>
      <vt:lpstr>'Range 0'!ExternalData_96</vt:lpstr>
      <vt:lpstr>'Range 3'!ExternalData_96</vt:lpstr>
      <vt:lpstr>Voltage!ExternalData_96</vt:lpstr>
      <vt:lpstr>'Range 0'!ExternalData_97</vt:lpstr>
      <vt:lpstr>'Range 3'!ExternalData_97</vt:lpstr>
      <vt:lpstr>Voltage!ExternalData_97</vt:lpstr>
      <vt:lpstr>'Range 0'!ExternalData_98</vt:lpstr>
      <vt:lpstr>'Range 3'!ExternalData_98</vt:lpstr>
      <vt:lpstr>Voltage!ExternalData_98</vt:lpstr>
      <vt:lpstr>'Range 0'!ExternalData_99</vt:lpstr>
      <vt:lpstr>'Range 3'!ExternalData_99</vt:lpstr>
      <vt:lpstr>Voltage!ExternalData_99</vt:lpstr>
      <vt:lpstr>Igain</vt:lpstr>
      <vt:lpstr>INT16_MAX</vt:lpstr>
      <vt:lpstr>INT16_MIN</vt:lpstr>
      <vt:lpstr>Vgain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 Dion</cp:lastModifiedBy>
  <dcterms:created xsi:type="dcterms:W3CDTF">2017-10-17T17:25:27Z</dcterms:created>
  <dcterms:modified xsi:type="dcterms:W3CDTF">2017-12-19T23:46:05Z</dcterms:modified>
</cp:coreProperties>
</file>