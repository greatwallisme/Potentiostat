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drawings/drawing11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otentiostat\SquidstatCalibrator\bin\Debug\"/>
    </mc:Choice>
  </mc:AlternateContent>
  <bookViews>
    <workbookView xWindow="0" yWindow="0" windowWidth="23040" windowHeight="8170" tabRatio="898" activeTab="11" xr2:uid="{2094D447-8632-4827-8F34-41D135BAA0DE}"/>
  </bookViews>
  <sheets>
    <sheet name="Connect" sheetId="10" r:id="rId1"/>
    <sheet name="Data" sheetId="1" r:id="rId2"/>
    <sheet name="Voltage" sheetId="2" r:id="rId3"/>
    <sheet name="Range 0" sheetId="12" r:id="rId4"/>
    <sheet name="Range 1" sheetId="13" r:id="rId5"/>
    <sheet name="Range 2" sheetId="14" r:id="rId6"/>
    <sheet name="Range 3" sheetId="15" r:id="rId7"/>
    <sheet name="Range 4" sheetId="16" r:id="rId8"/>
    <sheet name="Range 5" sheetId="17" r:id="rId9"/>
    <sheet name="Range 6" sheetId="18" r:id="rId10"/>
    <sheet name="Range 7" sheetId="19" r:id="rId11"/>
    <sheet name="Calibrate" sheetId="21" r:id="rId12"/>
    <sheet name="Hardware Data" sheetId="22" r:id="rId13"/>
    <sheet name="Internal" sheetId="11" r:id="rId14"/>
  </sheets>
  <externalReferences>
    <externalReference r:id="rId15"/>
  </externalReferences>
  <definedNames>
    <definedName name="CUR_RNG_R0">Internal!$F$3</definedName>
    <definedName name="CUR_RNG_R1">Internal!$F$4</definedName>
    <definedName name="CUR_RNG_R2">Internal!$F$5</definedName>
    <definedName name="CUR_RNG_R3">Internal!$F$6</definedName>
    <definedName name="CUR_RNG_R4">Internal!$F$7</definedName>
    <definedName name="CUR_RNG_R5">Internal!$F$8</definedName>
    <definedName name="CUR_RNG_R6">Internal!$F$9</definedName>
    <definedName name="CUR_RNG_R7">Internal!$F$10</definedName>
    <definedName name="ExternalData_1" localSheetId="11">Calibrate!$L$1:$L$61</definedName>
    <definedName name="ExternalData_1" localSheetId="3">'Range 0'!#REF!</definedName>
    <definedName name="ExternalData_1" localSheetId="4">'Range 1'!$L$1:$M$22</definedName>
    <definedName name="ExternalData_1" localSheetId="5">'Range 2'!$L$1:$M$22</definedName>
    <definedName name="ExternalData_1" localSheetId="6">'Range 3'!$L$1:$M$22</definedName>
    <definedName name="ExternalData_1" localSheetId="2">Voltage!$L$1:$O$22</definedName>
    <definedName name="ExternalData_10" localSheetId="11">Calibrate!$L$1:$L$61</definedName>
    <definedName name="ExternalData_10" localSheetId="3">'Range 0'!$L$1:$M$22</definedName>
    <definedName name="ExternalData_10" localSheetId="4">'Range 1'!$L$1:$M$22</definedName>
    <definedName name="ExternalData_10" localSheetId="5">'Range 2'!$L$1:$M$23</definedName>
    <definedName name="ExternalData_100" localSheetId="2">Voltage!$L$1:$O$22</definedName>
    <definedName name="ExternalData_11" localSheetId="11">Calibrate!$L$1:$L$61</definedName>
    <definedName name="ExternalData_11" localSheetId="3">'Range 0'!$L$1:$M$22</definedName>
    <definedName name="ExternalData_11" localSheetId="4">'Range 1'!$L$1:$M$22</definedName>
    <definedName name="ExternalData_11" localSheetId="5">'Range 2'!$L$1:$M$23</definedName>
    <definedName name="ExternalData_11" localSheetId="6">'Range 3'!$L$1:$M$22</definedName>
    <definedName name="ExternalData_12" localSheetId="11">Calibrate!$L$1:$L$61</definedName>
    <definedName name="ExternalData_12" localSheetId="3">'Range 0'!$L$1:$M$22</definedName>
    <definedName name="ExternalData_12" localSheetId="4">'Range 1'!$L$1:$M$22</definedName>
    <definedName name="ExternalData_12" localSheetId="5">'Range 2'!$L$1:$M$23</definedName>
    <definedName name="ExternalData_12" localSheetId="6">'Range 3'!$L$1:$M$22</definedName>
    <definedName name="ExternalData_13" localSheetId="11">Calibrate!$L$1:$L$61</definedName>
    <definedName name="ExternalData_13" localSheetId="3">'Range 0'!$L$1:$M$22</definedName>
    <definedName name="ExternalData_13" localSheetId="4">'Range 1'!$L$1:$M$22</definedName>
    <definedName name="ExternalData_13" localSheetId="5">'Range 2'!$L$1:$M$23</definedName>
    <definedName name="ExternalData_13" localSheetId="6">'Range 3'!$L$1:$M$22</definedName>
    <definedName name="ExternalData_14" localSheetId="11">Calibrate!$L$1:$L$61</definedName>
    <definedName name="ExternalData_14" localSheetId="3">'Range 0'!$L$1:$M$22</definedName>
    <definedName name="ExternalData_14" localSheetId="4">'Range 1'!$L$1:$M$22</definedName>
    <definedName name="ExternalData_14" localSheetId="5">'Range 2'!$L$1:$M$22</definedName>
    <definedName name="ExternalData_14" localSheetId="6">'Range 3'!$L$1:$M$22</definedName>
    <definedName name="ExternalData_15" localSheetId="11">Calibrate!$L$1:$L$61</definedName>
    <definedName name="ExternalData_15" localSheetId="3">'Range 0'!$L$1:$M$22</definedName>
    <definedName name="ExternalData_15" localSheetId="4">'Range 1'!$L$1:$M$22</definedName>
    <definedName name="ExternalData_15" localSheetId="5">'Range 2'!$L$1:$M$22</definedName>
    <definedName name="ExternalData_15" localSheetId="6">'Range 3'!$L$1:$M$22</definedName>
    <definedName name="ExternalData_16" localSheetId="3">'Range 0'!$L$1:$M$22</definedName>
    <definedName name="ExternalData_16" localSheetId="4">'Range 1'!$L$1:$M$22</definedName>
    <definedName name="ExternalData_16" localSheetId="5">'Range 2'!$L$1:$M$22</definedName>
    <definedName name="ExternalData_16" localSheetId="6">'Range 3'!$L$1:$M$22</definedName>
    <definedName name="ExternalData_17" localSheetId="3">'Range 0'!$L$1:$M$22</definedName>
    <definedName name="ExternalData_17" localSheetId="4">'Range 1'!$L$1:$M$22</definedName>
    <definedName name="ExternalData_17" localSheetId="5">'Range 2'!$L$1:$M$22</definedName>
    <definedName name="ExternalData_17" localSheetId="6">'Range 3'!$L$1:$M$22</definedName>
    <definedName name="ExternalData_17" localSheetId="2">Voltage!$L$1:$O$22</definedName>
    <definedName name="ExternalData_18" localSheetId="3">'Range 0'!$L$1:$M$22</definedName>
    <definedName name="ExternalData_18" localSheetId="4">'Range 1'!$L$1:$M$22</definedName>
    <definedName name="ExternalData_18" localSheetId="5">'Range 2'!$L$1:$M$23</definedName>
    <definedName name="ExternalData_18" localSheetId="6">'Range 3'!$L$1:$M$22</definedName>
    <definedName name="ExternalData_18" localSheetId="2">Voltage!$L$1:$O$22</definedName>
    <definedName name="ExternalData_19" localSheetId="3">'Range 0'!$L$1:$M$22</definedName>
    <definedName name="ExternalData_19" localSheetId="4">'Range 1'!$L$1:$M$22</definedName>
    <definedName name="ExternalData_19" localSheetId="5">'Range 2'!$L$1:$M$22</definedName>
    <definedName name="ExternalData_19" localSheetId="6">'Range 3'!$L$1:$M$22</definedName>
    <definedName name="ExternalData_19" localSheetId="2">Voltage!$L$1:$O$22</definedName>
    <definedName name="ExternalData_2" localSheetId="11">Calibrate!$L$1:$L$61</definedName>
    <definedName name="ExternalData_2" localSheetId="3">'Range 0'!$L$2:$M$22</definedName>
    <definedName name="ExternalData_2" localSheetId="4">'Range 1'!$L$1:$M$22</definedName>
    <definedName name="ExternalData_2" localSheetId="5">'Range 2'!$L$1:$M$22</definedName>
    <definedName name="ExternalData_2" localSheetId="6">'Range 3'!$L$1:$M$22</definedName>
    <definedName name="ExternalData_2" localSheetId="2">Voltage!$L$1:$O$22</definedName>
    <definedName name="ExternalData_20" localSheetId="3">'Range 0'!$L$1:$M$22</definedName>
    <definedName name="ExternalData_20" localSheetId="4">'Range 1'!$L$1:$M$22</definedName>
    <definedName name="ExternalData_20" localSheetId="5">'Range 2'!$L$1:$M$22</definedName>
    <definedName name="ExternalData_20" localSheetId="6">'Range 3'!$L$1:$M$22</definedName>
    <definedName name="ExternalData_20" localSheetId="2">Voltage!$L$1:$O$22</definedName>
    <definedName name="ExternalData_21" localSheetId="3">'Range 0'!$L$1:$M$22</definedName>
    <definedName name="ExternalData_21" localSheetId="4">'Range 1'!$L$1:$M$22</definedName>
    <definedName name="ExternalData_21" localSheetId="5">'Range 2'!$L$1:$M$22</definedName>
    <definedName name="ExternalData_21" localSheetId="6">'Range 3'!$L$1:$M$22</definedName>
    <definedName name="ExternalData_21" localSheetId="2">Voltage!$L$1:$O$22</definedName>
    <definedName name="ExternalData_22" localSheetId="3">'Range 0'!$L$1:$M$22</definedName>
    <definedName name="ExternalData_22" localSheetId="4">'Range 1'!$L$1:$M$22</definedName>
    <definedName name="ExternalData_22" localSheetId="5">'Range 2'!$L$1:$M$22</definedName>
    <definedName name="ExternalData_22" localSheetId="6">'Range 3'!$L$1:$M$22</definedName>
    <definedName name="ExternalData_22" localSheetId="2">Voltage!$L$1:$O$22</definedName>
    <definedName name="ExternalData_23" localSheetId="3">'Range 0'!$L$1:$M$22</definedName>
    <definedName name="ExternalData_23" localSheetId="4">'Range 1'!$L$1:$M$22</definedName>
    <definedName name="ExternalData_23" localSheetId="5">'Range 2'!$L$1:$M$22</definedName>
    <definedName name="ExternalData_23" localSheetId="6">'Range 3'!$L$1:$M$22</definedName>
    <definedName name="ExternalData_23" localSheetId="2">Voltage!$L$1:$O$22</definedName>
    <definedName name="ExternalData_24" localSheetId="3">'Range 0'!$L$1:$M$22</definedName>
    <definedName name="ExternalData_24" localSheetId="4">'Range 1'!$L$1:$M$22</definedName>
    <definedName name="ExternalData_24" localSheetId="5">'Range 2'!$L$1:$M$22</definedName>
    <definedName name="ExternalData_24" localSheetId="6">'Range 3'!$L$1:$M$22</definedName>
    <definedName name="ExternalData_24" localSheetId="2">Voltage!$L$1:$O$22</definedName>
    <definedName name="ExternalData_25" localSheetId="3">'Range 0'!$L$1:$M$22</definedName>
    <definedName name="ExternalData_25" localSheetId="4">'Range 1'!$L$1:$M$22</definedName>
    <definedName name="ExternalData_25" localSheetId="5">'Range 2'!$L$1:$M$22</definedName>
    <definedName name="ExternalData_25" localSheetId="6">'Range 3'!$L$1:$M$22</definedName>
    <definedName name="ExternalData_25" localSheetId="2">Voltage!$L$1:$O$22</definedName>
    <definedName name="ExternalData_26" localSheetId="3">'Range 0'!$L$1:$M$22</definedName>
    <definedName name="ExternalData_26" localSheetId="4">'Range 1'!$L$1:$M$22</definedName>
    <definedName name="ExternalData_26" localSheetId="5">'Range 2'!$L$1:$M$22</definedName>
    <definedName name="ExternalData_26" localSheetId="6">'Range 3'!$L$1:$M$22</definedName>
    <definedName name="ExternalData_26" localSheetId="2">Voltage!$L$1:$O$22</definedName>
    <definedName name="ExternalData_27" localSheetId="3">'Range 0'!$L$1:$M$22</definedName>
    <definedName name="ExternalData_27" localSheetId="4">'Range 1'!$L$1:$M$22</definedName>
    <definedName name="ExternalData_27" localSheetId="5">'Range 2'!$L$1:$M$22</definedName>
    <definedName name="ExternalData_27" localSheetId="6">'Range 3'!$L$1:$M$22</definedName>
    <definedName name="ExternalData_27" localSheetId="2">Voltage!$L$2:$O$23</definedName>
    <definedName name="ExternalData_28" localSheetId="3">'Range 0'!$L$1:$M$22</definedName>
    <definedName name="ExternalData_28" localSheetId="4">'Range 1'!$L$1:$M$22</definedName>
    <definedName name="ExternalData_28" localSheetId="5">'Range 2'!$L$1:$M$22</definedName>
    <definedName name="ExternalData_28" localSheetId="6">'Range 3'!$L$1:$M$22</definedName>
    <definedName name="ExternalData_28" localSheetId="2">Voltage!$L$1:$O$22</definedName>
    <definedName name="ExternalData_29" localSheetId="3">'Range 0'!$L$1:$M$22</definedName>
    <definedName name="ExternalData_29" localSheetId="4">'Range 1'!$L$1:$M$22</definedName>
    <definedName name="ExternalData_29" localSheetId="5">'Range 2'!$L$1:$M$22</definedName>
    <definedName name="ExternalData_29" localSheetId="6">'Range 3'!$L$1:$M$22</definedName>
    <definedName name="ExternalData_29" localSheetId="2">Voltage!$L$1:$O$22</definedName>
    <definedName name="ExternalData_3" localSheetId="11">Calibrate!$L$1:$L$61</definedName>
    <definedName name="ExternalData_3" localSheetId="3">'Range 0'!$L$2:$M$22</definedName>
    <definedName name="ExternalData_3" localSheetId="4">'Range 1'!$L$1:$M$22</definedName>
    <definedName name="ExternalData_3" localSheetId="5">'Range 2'!$L$1:$M$22</definedName>
    <definedName name="ExternalData_3" localSheetId="6">'Range 3'!$L$1:$M$22</definedName>
    <definedName name="ExternalData_3" localSheetId="2">Voltage!$L$1:$O$22</definedName>
    <definedName name="ExternalData_30" localSheetId="3">'Range 0'!$L$1:$M$22</definedName>
    <definedName name="ExternalData_30" localSheetId="4">'Range 1'!$L$1:$M$22</definedName>
    <definedName name="ExternalData_30" localSheetId="5">'Range 2'!$L$1:$M$22</definedName>
    <definedName name="ExternalData_30" localSheetId="6">'Range 3'!$L$1:$M$22</definedName>
    <definedName name="ExternalData_30" localSheetId="2">Voltage!$L$1:$O$22</definedName>
    <definedName name="ExternalData_31" localSheetId="3">'Range 0'!$L$1:$M$22</definedName>
    <definedName name="ExternalData_31" localSheetId="4">'Range 1'!$L$1:$M$22</definedName>
    <definedName name="ExternalData_31" localSheetId="5">'Range 2'!$L$1:$M$22</definedName>
    <definedName name="ExternalData_31" localSheetId="6">'Range 3'!$L$1:$M$23</definedName>
    <definedName name="ExternalData_31" localSheetId="2">Voltage!$L$1:$O$22</definedName>
    <definedName name="ExternalData_32" localSheetId="3">'Range 0'!$L$1:$M$22</definedName>
    <definedName name="ExternalData_32" localSheetId="5">'Range 2'!$L$1:$M$22</definedName>
    <definedName name="ExternalData_32" localSheetId="6">'Range 3'!$L$1:$M$23</definedName>
    <definedName name="ExternalData_32" localSheetId="2">Voltage!$L$1:$M$22</definedName>
    <definedName name="ExternalData_33" localSheetId="3">'Range 0'!$L$1:$M$22</definedName>
    <definedName name="ExternalData_33" localSheetId="5">'Range 2'!$L$1:$M$22</definedName>
    <definedName name="ExternalData_33" localSheetId="6">'Range 3'!$L$1:$M$23</definedName>
    <definedName name="ExternalData_33" localSheetId="2">Voltage!$L$1:$O$22</definedName>
    <definedName name="ExternalData_34" localSheetId="3">'Range 0'!$L$1:$M$22</definedName>
    <definedName name="ExternalData_34" localSheetId="5">'Range 2'!$L$1:$M$22</definedName>
    <definedName name="ExternalData_34" localSheetId="6">'Range 3'!$L$1:$M$23</definedName>
    <definedName name="ExternalData_34" localSheetId="2">Voltage!$L$1:$O$22</definedName>
    <definedName name="ExternalData_35" localSheetId="3">'Range 0'!$L$1:$M$22</definedName>
    <definedName name="ExternalData_35" localSheetId="5">'Range 2'!$L$1:$M$22</definedName>
    <definedName name="ExternalData_35" localSheetId="6">'Range 3'!$L$1:$M$22</definedName>
    <definedName name="ExternalData_35" localSheetId="2">Voltage!$L$1:$O$22</definedName>
    <definedName name="ExternalData_36" localSheetId="3">'Range 0'!$L$1:$M$22</definedName>
    <definedName name="ExternalData_36" localSheetId="5">'Range 2'!$L$1:$M$22</definedName>
    <definedName name="ExternalData_36" localSheetId="6">'Range 3'!$L$1:$M$22</definedName>
    <definedName name="ExternalData_36" localSheetId="2">Voltage!$L$1:$O$22</definedName>
    <definedName name="ExternalData_37" localSheetId="3">'Range 0'!$L$1:$M$22</definedName>
    <definedName name="ExternalData_37" localSheetId="6">'Range 3'!$L$1:$M$22</definedName>
    <definedName name="ExternalData_37" localSheetId="2">Voltage!$L$1:$O$22</definedName>
    <definedName name="ExternalData_38" localSheetId="3">'Range 0'!$L$1:$M$22</definedName>
    <definedName name="ExternalData_38" localSheetId="6">'Range 3'!$L$1:$M$22</definedName>
    <definedName name="ExternalData_38" localSheetId="2">Voltage!$L$1:$O$22</definedName>
    <definedName name="ExternalData_39" localSheetId="3">'Range 0'!$L$1:$M$22</definedName>
    <definedName name="ExternalData_39" localSheetId="6">'Range 3'!$L$1:$M$22</definedName>
    <definedName name="ExternalData_39" localSheetId="2">Voltage!$L$1:$O$22</definedName>
    <definedName name="ExternalData_4" localSheetId="11">Calibrate!$L$1:$L$61</definedName>
    <definedName name="ExternalData_4" localSheetId="3">'Range 0'!$L$1:$M$22</definedName>
    <definedName name="ExternalData_4" localSheetId="4">'Range 1'!$L$1:$M$22</definedName>
    <definedName name="ExternalData_4" localSheetId="5">'Range 2'!$L$1:$M$22</definedName>
    <definedName name="ExternalData_4" localSheetId="6">'Range 3'!$L$1:$M$22</definedName>
    <definedName name="ExternalData_4" localSheetId="2">Voltage!$L$1:$O$22</definedName>
    <definedName name="ExternalData_40" localSheetId="3">'Range 0'!$L$1:$M$22</definedName>
    <definedName name="ExternalData_40" localSheetId="6">'Range 3'!$L$1:$M$22</definedName>
    <definedName name="ExternalData_40" localSheetId="2">Voltage!$L$1:$O$22</definedName>
    <definedName name="ExternalData_41" localSheetId="3">'Range 0'!$L$1:$M$22</definedName>
    <definedName name="ExternalData_41" localSheetId="6">'Range 3'!$L$1:$M$22</definedName>
    <definedName name="ExternalData_41" localSheetId="2">Voltage!$L$1:$O$22</definedName>
    <definedName name="ExternalData_42" localSheetId="3">'Range 0'!$L$1:$M$22</definedName>
    <definedName name="ExternalData_42" localSheetId="6">'Range 3'!$L$1:$M$22</definedName>
    <definedName name="ExternalData_42" localSheetId="2">Voltage!$L$1:$O$22</definedName>
    <definedName name="ExternalData_43" localSheetId="3">'Range 0'!$L$1:$M$22</definedName>
    <definedName name="ExternalData_43" localSheetId="6">'Range 3'!$L$1:$M$22</definedName>
    <definedName name="ExternalData_43" localSheetId="2">Voltage!$L$1:$O$22</definedName>
    <definedName name="ExternalData_44" localSheetId="3">'Range 0'!$L$1:$M$22</definedName>
    <definedName name="ExternalData_44" localSheetId="6">'Range 3'!$L$1:$M$22</definedName>
    <definedName name="ExternalData_44" localSheetId="2">Voltage!$L$1:$M$22</definedName>
    <definedName name="ExternalData_45" localSheetId="3">'Range 0'!$L$1:$M$22</definedName>
    <definedName name="ExternalData_45" localSheetId="6">'Range 3'!$L$1:$M$22</definedName>
    <definedName name="ExternalData_45" localSheetId="2">Voltage!$L$1:$O$22</definedName>
    <definedName name="ExternalData_46" localSheetId="3">'Range 0'!$L$1:$M$22</definedName>
    <definedName name="ExternalData_46" localSheetId="6">'Range 3'!$L$1:$M$22</definedName>
    <definedName name="ExternalData_46" localSheetId="2">Voltage!$L$1:$O$22</definedName>
    <definedName name="ExternalData_47" localSheetId="3">'Range 0'!$L$1:$M$22</definedName>
    <definedName name="ExternalData_47" localSheetId="6">'Range 3'!$L$1:$M$22</definedName>
    <definedName name="ExternalData_47" localSheetId="2">Voltage!$L$1:$O$22</definedName>
    <definedName name="ExternalData_48" localSheetId="3">'Range 0'!$L$1:$M$22</definedName>
    <definedName name="ExternalData_48" localSheetId="6">'Range 3'!$L$1:$M$22</definedName>
    <definedName name="ExternalData_48" localSheetId="2">Voltage!$L$1:$O$22</definedName>
    <definedName name="ExternalData_49" localSheetId="3">'Range 0'!$L$1:$M$22</definedName>
    <definedName name="ExternalData_49" localSheetId="6">'Range 3'!$L$1:$M$22</definedName>
    <definedName name="ExternalData_49" localSheetId="2">Voltage!$L$1:$O$22</definedName>
    <definedName name="ExternalData_5" localSheetId="11">Calibrate!$L$1:$L$61</definedName>
    <definedName name="ExternalData_5" localSheetId="3">'Range 0'!$L$1:$M$22</definedName>
    <definedName name="ExternalData_5" localSheetId="4">'Range 1'!$L$1:$M$22</definedName>
    <definedName name="ExternalData_5" localSheetId="5">'Range 2'!$L$1:$M$22</definedName>
    <definedName name="ExternalData_5" localSheetId="6">'Range 3'!$L$1:$M$22</definedName>
    <definedName name="ExternalData_5" localSheetId="2">Voltage!$L$1:$O$22</definedName>
    <definedName name="ExternalData_50" localSheetId="3">'Range 0'!$L$1:$M$22</definedName>
    <definedName name="ExternalData_50" localSheetId="6">'Range 3'!$L$1:$M$22</definedName>
    <definedName name="ExternalData_50" localSheetId="2">Voltage!$L$1:$O$22</definedName>
    <definedName name="ExternalData_51" localSheetId="3">'Range 0'!$L$1:$M$22</definedName>
    <definedName name="ExternalData_51" localSheetId="6">'Range 3'!$L$1:$M$22</definedName>
    <definedName name="ExternalData_51" localSheetId="2">Voltage!$L$1:$O$22</definedName>
    <definedName name="ExternalData_52" localSheetId="3">'Range 0'!$L$1:$M$22</definedName>
    <definedName name="ExternalData_52" localSheetId="6">'Range 3'!$L$1:$M$22</definedName>
    <definedName name="ExternalData_52" localSheetId="2">Voltage!$L$1:$O$22</definedName>
    <definedName name="ExternalData_53" localSheetId="3">'Range 0'!$L$1:$M$22</definedName>
    <definedName name="ExternalData_53" localSheetId="6">'Range 3'!$L$1:$M$22</definedName>
    <definedName name="ExternalData_53" localSheetId="2">Voltage!$L$1:$O$22</definedName>
    <definedName name="ExternalData_54" localSheetId="3">'Range 0'!$L$1:$M$22</definedName>
    <definedName name="ExternalData_54" localSheetId="2">Voltage!$L$1:$O$22</definedName>
    <definedName name="ExternalData_55" localSheetId="3">'Range 0'!$L$1:$M$22</definedName>
    <definedName name="ExternalData_55" localSheetId="2">Voltage!$L$1:$O$22</definedName>
    <definedName name="ExternalData_56" localSheetId="2">Voltage!$L$1:$O$22</definedName>
    <definedName name="ExternalData_57" localSheetId="2">Voltage!$L$1:$O$22</definedName>
    <definedName name="ExternalData_58" localSheetId="2">Voltage!$L$1:$O$22</definedName>
    <definedName name="ExternalData_59" localSheetId="2">Voltage!$L$1:$O$22</definedName>
    <definedName name="ExternalData_6" localSheetId="11">Calibrate!$L$1:$L$61</definedName>
    <definedName name="ExternalData_6" localSheetId="3">'Range 0'!$L$1:$M$22</definedName>
    <definedName name="ExternalData_6" localSheetId="4">'Range 1'!$L$1:$M$22</definedName>
    <definedName name="ExternalData_6" localSheetId="5">'Range 2'!$L$1:$M$22</definedName>
    <definedName name="ExternalData_6" localSheetId="6">'Range 3'!$L$1:$M$22</definedName>
    <definedName name="ExternalData_6" localSheetId="2">Voltage!$L$1:$O$22</definedName>
    <definedName name="ExternalData_60" localSheetId="2">Voltage!$L$1:$O$22</definedName>
    <definedName name="ExternalData_61" localSheetId="2">Voltage!$L$1:$O$22</definedName>
    <definedName name="ExternalData_62" localSheetId="2">Voltage!$L$1:$O$22</definedName>
    <definedName name="ExternalData_63" localSheetId="2">Voltage!$L$1:$O$22</definedName>
    <definedName name="ExternalData_64" localSheetId="2">Voltage!$L$1:$O$22</definedName>
    <definedName name="ExternalData_65" localSheetId="2">Voltage!$L$1:$O$22</definedName>
    <definedName name="ExternalData_66" localSheetId="2">Voltage!$L$1:$O$22</definedName>
    <definedName name="ExternalData_67" localSheetId="2">Voltage!$L$1:$O$22</definedName>
    <definedName name="ExternalData_68" localSheetId="2">Voltage!$L$1:$O$22</definedName>
    <definedName name="ExternalData_69" localSheetId="2">Voltage!$L$1:$O$22</definedName>
    <definedName name="ExternalData_7" localSheetId="11">Calibrate!$L$1:$L$61</definedName>
    <definedName name="ExternalData_7" localSheetId="3">'Range 0'!$L$1:$M$22</definedName>
    <definedName name="ExternalData_7" localSheetId="4">'Range 1'!$L$1:$M$22</definedName>
    <definedName name="ExternalData_7" localSheetId="5">'Range 2'!$L$1:$M$23</definedName>
    <definedName name="ExternalData_7" localSheetId="6">'Range 3'!$L$1:$M$2</definedName>
    <definedName name="ExternalData_7" localSheetId="2">Voltage!$L$1:$O$22</definedName>
    <definedName name="ExternalData_70" localSheetId="2">Voltage!$L$1:$O$22</definedName>
    <definedName name="ExternalData_71" localSheetId="2">Voltage!$L$1:$O$22</definedName>
    <definedName name="ExternalData_72" localSheetId="2">Voltage!$L$1:$O$22</definedName>
    <definedName name="ExternalData_73" localSheetId="2">Voltage!$L$1:$O$22</definedName>
    <definedName name="ExternalData_74" localSheetId="2">Voltage!$L$1:$O$22</definedName>
    <definedName name="ExternalData_75" localSheetId="2">Voltage!$L$1:$O$22</definedName>
    <definedName name="ExternalData_76" localSheetId="2">Voltage!$L$1:$O$22</definedName>
    <definedName name="ExternalData_77" localSheetId="2">Voltage!$L$1:$O$22</definedName>
    <definedName name="ExternalData_78" localSheetId="2">Voltage!$L$1:$O$22</definedName>
    <definedName name="ExternalData_79" localSheetId="2">Voltage!$L$1:$O$22</definedName>
    <definedName name="ExternalData_8" localSheetId="11">Calibrate!$L$1:$L$61</definedName>
    <definedName name="ExternalData_8" localSheetId="3">'Range 0'!$L$1:$M$22</definedName>
    <definedName name="ExternalData_8" localSheetId="4">'Range 1'!$L$1:$M$22</definedName>
    <definedName name="ExternalData_8" localSheetId="5">'Range 2'!$L$1:$M$23</definedName>
    <definedName name="ExternalData_8" localSheetId="6">'Range 3'!$L$1:$M$2</definedName>
    <definedName name="ExternalData_8" localSheetId="2">Voltage!$L$1:$O$22</definedName>
    <definedName name="ExternalData_80" localSheetId="2">Voltage!$L$1:$O$22</definedName>
    <definedName name="ExternalData_81" localSheetId="2">Voltage!$L$1:$O$22</definedName>
    <definedName name="ExternalData_82" localSheetId="2">Voltage!$L$1:$O$22</definedName>
    <definedName name="ExternalData_83" localSheetId="2">Voltage!$L$1:$O$22</definedName>
    <definedName name="ExternalData_84" localSheetId="2">Voltage!$L$1:$O$22</definedName>
    <definedName name="ExternalData_85" localSheetId="2">Voltage!$L$1:$O$22</definedName>
    <definedName name="ExternalData_86" localSheetId="2">Voltage!$L$1:$O$22</definedName>
    <definedName name="ExternalData_87" localSheetId="2">Voltage!$L$1:$O$22</definedName>
    <definedName name="ExternalData_88" localSheetId="2">Voltage!$L$1:$O$22</definedName>
    <definedName name="ExternalData_89" localSheetId="2">Voltage!$L$1:$O$22</definedName>
    <definedName name="ExternalData_9" localSheetId="11">Calibrate!$L$1:$L$61</definedName>
    <definedName name="ExternalData_9" localSheetId="3">'Range 0'!$L$1:$M$22</definedName>
    <definedName name="ExternalData_9" localSheetId="4">'Range 1'!$L$1:$M$22</definedName>
    <definedName name="ExternalData_9" localSheetId="5">'Range 2'!$L$1:$M$23</definedName>
    <definedName name="ExternalData_9" localSheetId="6">'Range 3'!$L$1:$M$2</definedName>
    <definedName name="ExternalData_90" localSheetId="2">Voltage!$L$1:$O$22</definedName>
    <definedName name="ExternalData_91" localSheetId="2">Voltage!$L$1:$O$22</definedName>
    <definedName name="ExternalData_92" localSheetId="2">Voltage!$L$1:$O$22</definedName>
    <definedName name="ExternalData_93" localSheetId="2">Voltage!$L$1:$O$22</definedName>
    <definedName name="ExternalData_94" localSheetId="2">Voltage!$L$1:$O$22</definedName>
    <definedName name="ExternalData_95" localSheetId="2">Voltage!$L$1:$O$22</definedName>
    <definedName name="ExternalData_96" localSheetId="2">Voltage!$L$1:$O$22</definedName>
    <definedName name="ExternalData_97" localSheetId="2">Voltage!$L$1:$O$22</definedName>
    <definedName name="ExternalData_98" localSheetId="2">Voltage!$L$1:$O$22</definedName>
    <definedName name="ExternalData_99" localSheetId="2">Voltage!$L$1:$O$22</definedName>
    <definedName name="INT16_MAX">Internal!$L$3</definedName>
    <definedName name="INT16_MIN">Internal!$L$2</definedName>
    <definedName name="VOLT_RNG">Internal!$F$2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1" l="1"/>
  <c r="B2" i="21"/>
  <c r="C7" i="22"/>
  <c r="B1" i="22"/>
  <c r="B2" i="22"/>
  <c r="AZ22" i="1"/>
  <c r="BA22" i="1" s="1"/>
  <c r="BB22" i="1" s="1"/>
  <c r="AZ21" i="1"/>
  <c r="BA21" i="1" s="1"/>
  <c r="BB21" i="1" s="1"/>
  <c r="AZ20" i="1"/>
  <c r="BA20" i="1" s="1"/>
  <c r="BB20" i="1" s="1"/>
  <c r="BA19" i="1"/>
  <c r="BB19" i="1" s="1"/>
  <c r="AZ19" i="1"/>
  <c r="AZ18" i="1"/>
  <c r="BA18" i="1" s="1"/>
  <c r="BB18" i="1" s="1"/>
  <c r="AZ17" i="1"/>
  <c r="BA17" i="1" s="1"/>
  <c r="BB17" i="1" s="1"/>
  <c r="AZ16" i="1"/>
  <c r="BA16" i="1" s="1"/>
  <c r="BB16" i="1" s="1"/>
  <c r="BA15" i="1"/>
  <c r="BB15" i="1" s="1"/>
  <c r="AZ15" i="1"/>
  <c r="AZ14" i="1"/>
  <c r="BA14" i="1" s="1"/>
  <c r="BB14" i="1" s="1"/>
  <c r="AZ13" i="1"/>
  <c r="BA13" i="1" s="1"/>
  <c r="BB13" i="1" s="1"/>
  <c r="AZ12" i="1"/>
  <c r="BA12" i="1" s="1"/>
  <c r="BB12" i="1" s="1"/>
  <c r="BA11" i="1"/>
  <c r="BB11" i="1" s="1"/>
  <c r="AZ11" i="1"/>
  <c r="AZ10" i="1"/>
  <c r="BA10" i="1" s="1"/>
  <c r="BB10" i="1" s="1"/>
  <c r="BA9" i="1"/>
  <c r="BB9" i="1" s="1"/>
  <c r="AZ9" i="1"/>
  <c r="AZ8" i="1"/>
  <c r="BA8" i="1" s="1"/>
  <c r="BB8" i="1" s="1"/>
  <c r="BA7" i="1"/>
  <c r="BB7" i="1" s="1"/>
  <c r="AZ7" i="1"/>
  <c r="AZ6" i="1"/>
  <c r="BA6" i="1" s="1"/>
  <c r="BB6" i="1" s="1"/>
  <c r="BA5" i="1"/>
  <c r="BB5" i="1" s="1"/>
  <c r="AZ5" i="1"/>
  <c r="AZ4" i="1"/>
  <c r="BA4" i="1" s="1"/>
  <c r="BB4" i="1" s="1"/>
  <c r="BA3" i="1"/>
  <c r="BB3" i="1" s="1"/>
  <c r="AZ3" i="1"/>
  <c r="AZ2" i="1"/>
  <c r="BA2" i="1" s="1"/>
  <c r="BB2" i="1" s="1"/>
  <c r="AU22" i="1"/>
  <c r="AV22" i="1" s="1"/>
  <c r="AW22" i="1" s="1"/>
  <c r="AU21" i="1"/>
  <c r="AV21" i="1" s="1"/>
  <c r="AW21" i="1" s="1"/>
  <c r="AU20" i="1"/>
  <c r="AV20" i="1" s="1"/>
  <c r="AW20" i="1" s="1"/>
  <c r="AV19" i="1"/>
  <c r="AW19" i="1" s="1"/>
  <c r="AU19" i="1"/>
  <c r="AU18" i="1"/>
  <c r="AV18" i="1" s="1"/>
  <c r="AW18" i="1" s="1"/>
  <c r="AU17" i="1"/>
  <c r="AV17" i="1" s="1"/>
  <c r="AW17" i="1" s="1"/>
  <c r="AU16" i="1"/>
  <c r="AV16" i="1" s="1"/>
  <c r="AW16" i="1" s="1"/>
  <c r="AV15" i="1"/>
  <c r="AW15" i="1" s="1"/>
  <c r="AU15" i="1"/>
  <c r="AU14" i="1"/>
  <c r="AV14" i="1" s="1"/>
  <c r="AW14" i="1" s="1"/>
  <c r="AU13" i="1"/>
  <c r="AV13" i="1" s="1"/>
  <c r="AW13" i="1" s="1"/>
  <c r="AU12" i="1"/>
  <c r="AV12" i="1" s="1"/>
  <c r="AW12" i="1" s="1"/>
  <c r="AV11" i="1"/>
  <c r="AW11" i="1" s="1"/>
  <c r="AU11" i="1"/>
  <c r="AU10" i="1"/>
  <c r="AV10" i="1" s="1"/>
  <c r="AW10" i="1" s="1"/>
  <c r="AV9" i="1"/>
  <c r="AW9" i="1" s="1"/>
  <c r="AU9" i="1"/>
  <c r="AU8" i="1"/>
  <c r="AV8" i="1" s="1"/>
  <c r="AW8" i="1" s="1"/>
  <c r="AV7" i="1"/>
  <c r="AW7" i="1" s="1"/>
  <c r="AU7" i="1"/>
  <c r="AU6" i="1"/>
  <c r="AV6" i="1" s="1"/>
  <c r="AW6" i="1" s="1"/>
  <c r="AV5" i="1"/>
  <c r="AW5" i="1" s="1"/>
  <c r="AU5" i="1"/>
  <c r="AU4" i="1"/>
  <c r="AV4" i="1" s="1"/>
  <c r="AW4" i="1" s="1"/>
  <c r="AV3" i="1"/>
  <c r="AW3" i="1" s="1"/>
  <c r="AU3" i="1"/>
  <c r="AU2" i="1"/>
  <c r="AV2" i="1" s="1"/>
  <c r="AW2" i="1" s="1"/>
  <c r="AZ32" i="1"/>
  <c r="AU32" i="1"/>
  <c r="AP32" i="1"/>
  <c r="AK32" i="1"/>
  <c r="AZ29" i="1"/>
  <c r="AU29" i="1"/>
  <c r="AP29" i="1"/>
  <c r="AK29" i="1"/>
  <c r="AZ26" i="1"/>
  <c r="AU26" i="1"/>
  <c r="AP26" i="1"/>
  <c r="AK26" i="1"/>
  <c r="AP22" i="1"/>
  <c r="AQ22" i="1" s="1"/>
  <c r="AR22" i="1" s="1"/>
  <c r="AP21" i="1"/>
  <c r="AQ21" i="1" s="1"/>
  <c r="AR21" i="1" s="1"/>
  <c r="AP20" i="1"/>
  <c r="AQ20" i="1" s="1"/>
  <c r="AR20" i="1" s="1"/>
  <c r="AP19" i="1"/>
  <c r="AQ19" i="1" s="1"/>
  <c r="AR19" i="1" s="1"/>
  <c r="AP18" i="1"/>
  <c r="AQ18" i="1" s="1"/>
  <c r="AR18" i="1" s="1"/>
  <c r="AP17" i="1"/>
  <c r="AQ17" i="1" s="1"/>
  <c r="AR17" i="1" s="1"/>
  <c r="AP16" i="1"/>
  <c r="AQ16" i="1" s="1"/>
  <c r="AR16" i="1" s="1"/>
  <c r="AP15" i="1"/>
  <c r="AQ15" i="1" s="1"/>
  <c r="AR15" i="1" s="1"/>
  <c r="AP14" i="1"/>
  <c r="AQ14" i="1" s="1"/>
  <c r="AR14" i="1" s="1"/>
  <c r="AP13" i="1"/>
  <c r="AQ13" i="1" s="1"/>
  <c r="AR13" i="1" s="1"/>
  <c r="AP12" i="1"/>
  <c r="AQ12" i="1" s="1"/>
  <c r="AR12" i="1" s="1"/>
  <c r="AP11" i="1"/>
  <c r="AQ11" i="1" s="1"/>
  <c r="AR11" i="1" s="1"/>
  <c r="AP10" i="1"/>
  <c r="AQ10" i="1" s="1"/>
  <c r="AR10" i="1" s="1"/>
  <c r="AP9" i="1"/>
  <c r="AQ9" i="1" s="1"/>
  <c r="AR9" i="1" s="1"/>
  <c r="AP8" i="1"/>
  <c r="AQ8" i="1" s="1"/>
  <c r="AR8" i="1" s="1"/>
  <c r="AP7" i="1"/>
  <c r="AQ7" i="1" s="1"/>
  <c r="AR7" i="1" s="1"/>
  <c r="AP6" i="1"/>
  <c r="AQ6" i="1" s="1"/>
  <c r="AR6" i="1" s="1"/>
  <c r="AP5" i="1"/>
  <c r="AQ5" i="1" s="1"/>
  <c r="AR5" i="1" s="1"/>
  <c r="AP4" i="1"/>
  <c r="AQ4" i="1" s="1"/>
  <c r="AR4" i="1" s="1"/>
  <c r="AP3" i="1"/>
  <c r="AQ3" i="1" s="1"/>
  <c r="AR3" i="1" s="1"/>
  <c r="AP2" i="1"/>
  <c r="AQ2" i="1" s="1"/>
  <c r="AR2" i="1" s="1"/>
  <c r="AK22" i="1"/>
  <c r="AL22" i="1" s="1"/>
  <c r="AM22" i="1" s="1"/>
  <c r="AK21" i="1"/>
  <c r="AL21" i="1" s="1"/>
  <c r="AM21" i="1" s="1"/>
  <c r="AL20" i="1"/>
  <c r="AM20" i="1" s="1"/>
  <c r="AK20" i="1"/>
  <c r="AK19" i="1"/>
  <c r="AL19" i="1" s="1"/>
  <c r="AM19" i="1" s="1"/>
  <c r="AK18" i="1"/>
  <c r="AL18" i="1" s="1"/>
  <c r="AM18" i="1" s="1"/>
  <c r="AK17" i="1"/>
  <c r="AL17" i="1" s="1"/>
  <c r="AM17" i="1" s="1"/>
  <c r="AL16" i="1"/>
  <c r="AM16" i="1" s="1"/>
  <c r="AK16" i="1"/>
  <c r="AK15" i="1"/>
  <c r="AL15" i="1" s="1"/>
  <c r="AM15" i="1" s="1"/>
  <c r="AK14" i="1"/>
  <c r="AL14" i="1" s="1"/>
  <c r="AM14" i="1" s="1"/>
  <c r="AK13" i="1"/>
  <c r="AL13" i="1" s="1"/>
  <c r="AM13" i="1" s="1"/>
  <c r="AL12" i="1"/>
  <c r="AM12" i="1" s="1"/>
  <c r="AK12" i="1"/>
  <c r="AK11" i="1"/>
  <c r="AL11" i="1" s="1"/>
  <c r="AM11" i="1" s="1"/>
  <c r="AK10" i="1"/>
  <c r="AL10" i="1" s="1"/>
  <c r="AM10" i="1" s="1"/>
  <c r="AK9" i="1"/>
  <c r="AL9" i="1" s="1"/>
  <c r="AM9" i="1" s="1"/>
  <c r="AK8" i="1"/>
  <c r="AL8" i="1" s="1"/>
  <c r="AM8" i="1" s="1"/>
  <c r="AK7" i="1"/>
  <c r="AL7" i="1" s="1"/>
  <c r="AM7" i="1" s="1"/>
  <c r="AK6" i="1"/>
  <c r="AL6" i="1" s="1"/>
  <c r="AM6" i="1" s="1"/>
  <c r="AK5" i="1"/>
  <c r="AL5" i="1" s="1"/>
  <c r="AM5" i="1" s="1"/>
  <c r="AK4" i="1"/>
  <c r="AL4" i="1" s="1"/>
  <c r="AM4" i="1" s="1"/>
  <c r="AK3" i="1"/>
  <c r="AL3" i="1" s="1"/>
  <c r="AM3" i="1" s="1"/>
  <c r="AK2" i="1"/>
  <c r="AL2" i="1" s="1"/>
  <c r="AM2" i="1" s="1"/>
  <c r="F4" i="11" l="1"/>
  <c r="F5" i="11"/>
  <c r="F6" i="11"/>
  <c r="F7" i="11"/>
  <c r="F8" i="11"/>
  <c r="F9" i="11"/>
  <c r="F10" i="11"/>
  <c r="F3" i="11"/>
  <c r="D6" i="11"/>
  <c r="D5" i="11"/>
  <c r="D4" i="11"/>
  <c r="T2" i="1"/>
  <c r="U2" i="1"/>
  <c r="Y2" i="1"/>
  <c r="Z2" i="1"/>
  <c r="AD2" i="1"/>
  <c r="AE2" i="1"/>
  <c r="D3" i="11"/>
  <c r="C9" i="21"/>
  <c r="C10" i="21"/>
  <c r="C11" i="21"/>
  <c r="C12" i="21"/>
  <c r="F29" i="1" s="1"/>
  <c r="C13" i="21"/>
  <c r="F26" i="1" s="1"/>
  <c r="C14" i="21"/>
  <c r="F32" i="1" s="1"/>
  <c r="C15" i="21"/>
  <c r="H29" i="1" s="1"/>
  <c r="C16" i="21"/>
  <c r="H26" i="1" s="1"/>
  <c r="C17" i="21"/>
  <c r="H32" i="1" s="1"/>
  <c r="C18" i="21"/>
  <c r="L29" i="1" s="1"/>
  <c r="C19" i="21"/>
  <c r="L26" i="1" s="1"/>
  <c r="C20" i="21"/>
  <c r="L32" i="1" s="1"/>
  <c r="C21" i="21"/>
  <c r="Q29" i="1" s="1"/>
  <c r="C22" i="21"/>
  <c r="V29" i="1" s="1"/>
  <c r="C23" i="21"/>
  <c r="AA29" i="1" s="1"/>
  <c r="C24" i="21"/>
  <c r="AF29" i="1" s="1"/>
  <c r="C25" i="21"/>
  <c r="C26" i="21"/>
  <c r="C27" i="21"/>
  <c r="C28" i="21"/>
  <c r="C29" i="21"/>
  <c r="Q26" i="1" s="1"/>
  <c r="C30" i="21"/>
  <c r="V26" i="1" s="1"/>
  <c r="C31" i="21"/>
  <c r="AA26" i="1" s="1"/>
  <c r="C32" i="21"/>
  <c r="AF26" i="1" s="1"/>
  <c r="C33" i="21"/>
  <c r="C34" i="21"/>
  <c r="C35" i="21"/>
  <c r="C36" i="21"/>
  <c r="C37" i="21"/>
  <c r="Q32" i="1" s="1"/>
  <c r="C38" i="21"/>
  <c r="V32" i="1" s="1"/>
  <c r="C39" i="21"/>
  <c r="AA32" i="1" s="1"/>
  <c r="C40" i="21"/>
  <c r="AF32" i="1" s="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8" i="21"/>
  <c r="V2" i="1" l="1"/>
  <c r="W2" i="1" s="1"/>
  <c r="X2" i="1" s="1"/>
  <c r="AA2" i="1"/>
  <c r="AB2" i="1" s="1"/>
  <c r="AC2" i="1" s="1"/>
  <c r="AF2" i="1"/>
  <c r="AG2" i="1" s="1"/>
  <c r="AH2" i="1" s="1"/>
  <c r="U2" i="2" l="1"/>
  <c r="T2" i="2"/>
  <c r="S2" i="2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" i="1"/>
  <c r="O26" i="1" l="1"/>
  <c r="T29" i="1"/>
  <c r="T32" i="1"/>
  <c r="T26" i="1"/>
  <c r="AD26" i="1"/>
  <c r="Y32" i="1"/>
  <c r="Y29" i="1"/>
  <c r="Y26" i="1"/>
  <c r="AD29" i="1"/>
  <c r="AD32" i="1"/>
  <c r="O32" i="1"/>
  <c r="O29" i="1"/>
  <c r="P3" i="2"/>
  <c r="P22" i="2"/>
  <c r="P18" i="2"/>
  <c r="P14" i="2"/>
  <c r="P10" i="2"/>
  <c r="P6" i="2"/>
  <c r="P5" i="2"/>
  <c r="P20" i="2"/>
  <c r="P16" i="2"/>
  <c r="P12" i="2"/>
  <c r="P8" i="2"/>
  <c r="P4" i="2"/>
  <c r="P21" i="2"/>
  <c r="P17" i="2"/>
  <c r="P13" i="2"/>
  <c r="P9" i="2"/>
  <c r="P2" i="2"/>
  <c r="P19" i="2"/>
  <c r="P15" i="2"/>
  <c r="P11" i="2"/>
  <c r="P7" i="2"/>
  <c r="C1" i="19"/>
  <c r="B2" i="19" s="1"/>
  <c r="C1" i="18"/>
  <c r="B2" i="18" s="1"/>
  <c r="C1" i="17"/>
  <c r="B2" i="17" s="1"/>
  <c r="C1" i="16"/>
  <c r="B2" i="16" s="1"/>
  <c r="C1" i="14"/>
  <c r="B2" i="14" s="1"/>
  <c r="C1" i="13"/>
  <c r="B2" i="13" s="1"/>
  <c r="C1" i="12"/>
  <c r="B2" i="12" s="1"/>
  <c r="C1" i="2"/>
  <c r="B2" i="2" s="1"/>
  <c r="C1" i="15"/>
  <c r="B2" i="15" s="1"/>
  <c r="B8" i="21"/>
  <c r="AX23" i="1" l="1"/>
  <c r="AS23" i="1"/>
  <c r="AN23" i="1"/>
  <c r="AI23" i="1"/>
  <c r="AD23" i="1"/>
  <c r="Y23" i="1"/>
  <c r="T23" i="1"/>
  <c r="O23" i="1"/>
  <c r="D23" i="1"/>
  <c r="AE3" i="1" l="1"/>
  <c r="AF3" i="1" s="1"/>
  <c r="AG3" i="1" s="1"/>
  <c r="AH3" i="1" s="1"/>
  <c r="AE4" i="1"/>
  <c r="AF4" i="1" s="1"/>
  <c r="AG4" i="1" s="1"/>
  <c r="AH4" i="1" s="1"/>
  <c r="AE5" i="1"/>
  <c r="AF5" i="1" s="1"/>
  <c r="AG5" i="1" s="1"/>
  <c r="AH5" i="1" s="1"/>
  <c r="AE6" i="1"/>
  <c r="AF6" i="1" s="1"/>
  <c r="AG6" i="1" s="1"/>
  <c r="AH6" i="1" s="1"/>
  <c r="AE7" i="1"/>
  <c r="AF7" i="1" s="1"/>
  <c r="AG7" i="1" s="1"/>
  <c r="AH7" i="1" s="1"/>
  <c r="AE8" i="1"/>
  <c r="AF8" i="1" s="1"/>
  <c r="AG8" i="1" s="1"/>
  <c r="AH8" i="1" s="1"/>
  <c r="AE9" i="1"/>
  <c r="AF9" i="1" s="1"/>
  <c r="AG9" i="1" s="1"/>
  <c r="AH9" i="1" s="1"/>
  <c r="AE10" i="1"/>
  <c r="AF10" i="1" s="1"/>
  <c r="AG10" i="1" s="1"/>
  <c r="AH10" i="1" s="1"/>
  <c r="AE11" i="1"/>
  <c r="AF11" i="1" s="1"/>
  <c r="AG11" i="1" s="1"/>
  <c r="AH11" i="1" s="1"/>
  <c r="AE12" i="1"/>
  <c r="AF12" i="1" s="1"/>
  <c r="AG12" i="1" s="1"/>
  <c r="AH12" i="1" s="1"/>
  <c r="AE13" i="1"/>
  <c r="AF13" i="1" s="1"/>
  <c r="AG13" i="1" s="1"/>
  <c r="AH13" i="1" s="1"/>
  <c r="AE14" i="1"/>
  <c r="AF14" i="1" s="1"/>
  <c r="AG14" i="1" s="1"/>
  <c r="AH14" i="1" s="1"/>
  <c r="AE15" i="1"/>
  <c r="AF15" i="1" s="1"/>
  <c r="AG15" i="1" s="1"/>
  <c r="AH15" i="1" s="1"/>
  <c r="AE16" i="1"/>
  <c r="AF16" i="1" s="1"/>
  <c r="AG16" i="1" s="1"/>
  <c r="AH16" i="1" s="1"/>
  <c r="AE17" i="1"/>
  <c r="AF17" i="1" s="1"/>
  <c r="AG17" i="1" s="1"/>
  <c r="AH17" i="1" s="1"/>
  <c r="AE18" i="1"/>
  <c r="AF18" i="1" s="1"/>
  <c r="AG18" i="1" s="1"/>
  <c r="AH18" i="1" s="1"/>
  <c r="AE19" i="1"/>
  <c r="AF19" i="1" s="1"/>
  <c r="AG19" i="1" s="1"/>
  <c r="AH19" i="1" s="1"/>
  <c r="AE20" i="1"/>
  <c r="AF20" i="1" s="1"/>
  <c r="AG20" i="1" s="1"/>
  <c r="AH20" i="1" s="1"/>
  <c r="AE21" i="1"/>
  <c r="AF21" i="1" s="1"/>
  <c r="AG21" i="1" s="1"/>
  <c r="AH21" i="1" s="1"/>
  <c r="AE22" i="1"/>
  <c r="AF22" i="1" s="1"/>
  <c r="AG22" i="1" s="1"/>
  <c r="AH22" i="1" s="1"/>
  <c r="D2" i="1"/>
  <c r="U3" i="1"/>
  <c r="V3" i="1" s="1"/>
  <c r="W3" i="1" s="1"/>
  <c r="X3" i="1" s="1"/>
  <c r="Z3" i="1"/>
  <c r="AA3" i="1" s="1"/>
  <c r="AB3" i="1" s="1"/>
  <c r="AC3" i="1" s="1"/>
  <c r="U4" i="1"/>
  <c r="V4" i="1" s="1"/>
  <c r="W4" i="1" s="1"/>
  <c r="X4" i="1" s="1"/>
  <c r="Z4" i="1"/>
  <c r="AA4" i="1" s="1"/>
  <c r="AB4" i="1" s="1"/>
  <c r="AC4" i="1" s="1"/>
  <c r="U5" i="1"/>
  <c r="V5" i="1" s="1"/>
  <c r="W5" i="1" s="1"/>
  <c r="X5" i="1" s="1"/>
  <c r="Z5" i="1"/>
  <c r="AA5" i="1" s="1"/>
  <c r="AB5" i="1" s="1"/>
  <c r="AC5" i="1" s="1"/>
  <c r="U6" i="1"/>
  <c r="V6" i="1" s="1"/>
  <c r="W6" i="1" s="1"/>
  <c r="X6" i="1" s="1"/>
  <c r="Z6" i="1"/>
  <c r="AA6" i="1" s="1"/>
  <c r="AB6" i="1" s="1"/>
  <c r="AC6" i="1" s="1"/>
  <c r="U7" i="1"/>
  <c r="V7" i="1" s="1"/>
  <c r="W7" i="1" s="1"/>
  <c r="X7" i="1" s="1"/>
  <c r="Z7" i="1"/>
  <c r="AA7" i="1" s="1"/>
  <c r="AB7" i="1" s="1"/>
  <c r="AC7" i="1" s="1"/>
  <c r="U8" i="1"/>
  <c r="V8" i="1" s="1"/>
  <c r="W8" i="1" s="1"/>
  <c r="X8" i="1" s="1"/>
  <c r="Z8" i="1"/>
  <c r="AA8" i="1" s="1"/>
  <c r="AB8" i="1" s="1"/>
  <c r="AC8" i="1" s="1"/>
  <c r="U9" i="1"/>
  <c r="V9" i="1" s="1"/>
  <c r="W9" i="1" s="1"/>
  <c r="X9" i="1" s="1"/>
  <c r="Z9" i="1"/>
  <c r="AA9" i="1" s="1"/>
  <c r="AB9" i="1" s="1"/>
  <c r="AC9" i="1" s="1"/>
  <c r="U10" i="1"/>
  <c r="V10" i="1" s="1"/>
  <c r="W10" i="1" s="1"/>
  <c r="X10" i="1" s="1"/>
  <c r="Z10" i="1"/>
  <c r="AA10" i="1" s="1"/>
  <c r="AB10" i="1" s="1"/>
  <c r="AC10" i="1" s="1"/>
  <c r="U11" i="1"/>
  <c r="V11" i="1" s="1"/>
  <c r="W11" i="1" s="1"/>
  <c r="X11" i="1" s="1"/>
  <c r="Z11" i="1"/>
  <c r="AA11" i="1" s="1"/>
  <c r="AB11" i="1" s="1"/>
  <c r="AC11" i="1" s="1"/>
  <c r="U12" i="1"/>
  <c r="V12" i="1" s="1"/>
  <c r="W12" i="1" s="1"/>
  <c r="X12" i="1" s="1"/>
  <c r="Z12" i="1"/>
  <c r="AA12" i="1" s="1"/>
  <c r="AB12" i="1" s="1"/>
  <c r="AC12" i="1" s="1"/>
  <c r="U13" i="1"/>
  <c r="V13" i="1" s="1"/>
  <c r="W13" i="1" s="1"/>
  <c r="X13" i="1" s="1"/>
  <c r="Z13" i="1"/>
  <c r="AA13" i="1" s="1"/>
  <c r="AB13" i="1" s="1"/>
  <c r="AC13" i="1" s="1"/>
  <c r="U14" i="1"/>
  <c r="V14" i="1" s="1"/>
  <c r="W14" i="1" s="1"/>
  <c r="X14" i="1" s="1"/>
  <c r="Z14" i="1"/>
  <c r="AA14" i="1" s="1"/>
  <c r="AB14" i="1" s="1"/>
  <c r="AC14" i="1" s="1"/>
  <c r="U15" i="1"/>
  <c r="V15" i="1" s="1"/>
  <c r="W15" i="1" s="1"/>
  <c r="X15" i="1" s="1"/>
  <c r="Z15" i="1"/>
  <c r="AA15" i="1" s="1"/>
  <c r="AB15" i="1" s="1"/>
  <c r="AC15" i="1" s="1"/>
  <c r="U16" i="1"/>
  <c r="V16" i="1" s="1"/>
  <c r="W16" i="1" s="1"/>
  <c r="X16" i="1" s="1"/>
  <c r="Z16" i="1"/>
  <c r="AA16" i="1" s="1"/>
  <c r="AB16" i="1" s="1"/>
  <c r="AC16" i="1" s="1"/>
  <c r="U17" i="1"/>
  <c r="V17" i="1" s="1"/>
  <c r="W17" i="1" s="1"/>
  <c r="X17" i="1" s="1"/>
  <c r="Z17" i="1"/>
  <c r="AA17" i="1" s="1"/>
  <c r="AB17" i="1" s="1"/>
  <c r="AC17" i="1" s="1"/>
  <c r="U18" i="1"/>
  <c r="V18" i="1" s="1"/>
  <c r="W18" i="1" s="1"/>
  <c r="X18" i="1" s="1"/>
  <c r="Z18" i="1"/>
  <c r="AA18" i="1" s="1"/>
  <c r="AB18" i="1" s="1"/>
  <c r="AC18" i="1" s="1"/>
  <c r="U19" i="1"/>
  <c r="V19" i="1" s="1"/>
  <c r="W19" i="1" s="1"/>
  <c r="X19" i="1" s="1"/>
  <c r="Z19" i="1"/>
  <c r="AA19" i="1" s="1"/>
  <c r="AB19" i="1" s="1"/>
  <c r="AC19" i="1" s="1"/>
  <c r="U20" i="1"/>
  <c r="V20" i="1" s="1"/>
  <c r="W20" i="1" s="1"/>
  <c r="X20" i="1" s="1"/>
  <c r="Z20" i="1"/>
  <c r="AA20" i="1" s="1"/>
  <c r="AB20" i="1" s="1"/>
  <c r="AC20" i="1" s="1"/>
  <c r="U21" i="1"/>
  <c r="V21" i="1" s="1"/>
  <c r="W21" i="1" s="1"/>
  <c r="X21" i="1" s="1"/>
  <c r="Z21" i="1"/>
  <c r="AA21" i="1" s="1"/>
  <c r="AB21" i="1" s="1"/>
  <c r="AC21" i="1" s="1"/>
  <c r="U22" i="1"/>
  <c r="V22" i="1" s="1"/>
  <c r="W22" i="1" s="1"/>
  <c r="X22" i="1" s="1"/>
  <c r="Z22" i="1"/>
  <c r="AA22" i="1" s="1"/>
  <c r="AB22" i="1" s="1"/>
  <c r="AC22" i="1" s="1"/>
  <c r="AS32" i="1"/>
  <c r="B67" i="21" s="1"/>
  <c r="AI32" i="1"/>
  <c r="B65" i="21" s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" i="1"/>
  <c r="Q2" i="1" s="1"/>
  <c r="R2" i="1" s="1"/>
  <c r="S2" i="1" s="1"/>
  <c r="D3" i="1"/>
  <c r="E3" i="1"/>
  <c r="G3" i="1"/>
  <c r="H3" i="1" s="1"/>
  <c r="K3" i="1"/>
  <c r="L3" i="1" s="1"/>
  <c r="D4" i="1"/>
  <c r="E4" i="1"/>
  <c r="G4" i="1"/>
  <c r="H4" i="1" s="1"/>
  <c r="K4" i="1"/>
  <c r="L4" i="1" s="1"/>
  <c r="D5" i="1"/>
  <c r="E5" i="1"/>
  <c r="G5" i="1"/>
  <c r="H5" i="1" s="1"/>
  <c r="K5" i="1"/>
  <c r="L5" i="1" s="1"/>
  <c r="D6" i="1"/>
  <c r="E6" i="1"/>
  <c r="G6" i="1"/>
  <c r="H6" i="1" s="1"/>
  <c r="K6" i="1"/>
  <c r="L6" i="1" s="1"/>
  <c r="D7" i="1"/>
  <c r="E7" i="1"/>
  <c r="G7" i="1"/>
  <c r="H7" i="1" s="1"/>
  <c r="K7" i="1"/>
  <c r="L7" i="1" s="1"/>
  <c r="D8" i="1"/>
  <c r="E8" i="1"/>
  <c r="G8" i="1"/>
  <c r="H8" i="1" s="1"/>
  <c r="K8" i="1"/>
  <c r="L8" i="1" s="1"/>
  <c r="D9" i="1"/>
  <c r="E9" i="1"/>
  <c r="G9" i="1"/>
  <c r="H9" i="1" s="1"/>
  <c r="K9" i="1"/>
  <c r="L9" i="1" s="1"/>
  <c r="D10" i="1"/>
  <c r="E10" i="1"/>
  <c r="G10" i="1"/>
  <c r="H10" i="1" s="1"/>
  <c r="K10" i="1"/>
  <c r="L10" i="1" s="1"/>
  <c r="D11" i="1"/>
  <c r="E11" i="1"/>
  <c r="G11" i="1"/>
  <c r="H11" i="1" s="1"/>
  <c r="K11" i="1"/>
  <c r="L11" i="1" s="1"/>
  <c r="D12" i="1"/>
  <c r="E12" i="1"/>
  <c r="G12" i="1"/>
  <c r="H12" i="1" s="1"/>
  <c r="K12" i="1"/>
  <c r="L12" i="1" s="1"/>
  <c r="D13" i="1"/>
  <c r="E13" i="1"/>
  <c r="G13" i="1"/>
  <c r="H13" i="1" s="1"/>
  <c r="K13" i="1"/>
  <c r="L13" i="1" s="1"/>
  <c r="D14" i="1"/>
  <c r="E14" i="1"/>
  <c r="G14" i="1"/>
  <c r="H14" i="1" s="1"/>
  <c r="K14" i="1"/>
  <c r="L14" i="1" s="1"/>
  <c r="D15" i="1"/>
  <c r="E15" i="1"/>
  <c r="G15" i="1"/>
  <c r="H15" i="1" s="1"/>
  <c r="K15" i="1"/>
  <c r="L15" i="1" s="1"/>
  <c r="D16" i="1"/>
  <c r="E16" i="1"/>
  <c r="G16" i="1"/>
  <c r="H16" i="1" s="1"/>
  <c r="K16" i="1"/>
  <c r="L16" i="1" s="1"/>
  <c r="D17" i="1"/>
  <c r="E17" i="1"/>
  <c r="G17" i="1"/>
  <c r="H17" i="1" s="1"/>
  <c r="K17" i="1"/>
  <c r="L17" i="1" s="1"/>
  <c r="D18" i="1"/>
  <c r="E18" i="1"/>
  <c r="G18" i="1"/>
  <c r="H18" i="1" s="1"/>
  <c r="K18" i="1"/>
  <c r="L18" i="1" s="1"/>
  <c r="D19" i="1"/>
  <c r="E19" i="1"/>
  <c r="G19" i="1"/>
  <c r="H19" i="1" s="1"/>
  <c r="K19" i="1"/>
  <c r="L19" i="1" s="1"/>
  <c r="D20" i="1"/>
  <c r="E20" i="1"/>
  <c r="G20" i="1"/>
  <c r="H20" i="1" s="1"/>
  <c r="K20" i="1"/>
  <c r="L20" i="1" s="1"/>
  <c r="D21" i="1"/>
  <c r="E21" i="1"/>
  <c r="G21" i="1"/>
  <c r="H21" i="1" s="1"/>
  <c r="K21" i="1"/>
  <c r="L21" i="1" s="1"/>
  <c r="D22" i="1"/>
  <c r="E22" i="1"/>
  <c r="G22" i="1"/>
  <c r="H22" i="1" s="1"/>
  <c r="K22" i="1"/>
  <c r="L22" i="1" s="1"/>
  <c r="E2" i="1"/>
  <c r="G2" i="1"/>
  <c r="H2" i="1" s="1"/>
  <c r="K2" i="1"/>
  <c r="L2" i="1" s="1"/>
  <c r="I2" i="1" l="1"/>
  <c r="Q12" i="1"/>
  <c r="R12" i="1" s="1"/>
  <c r="S12" i="1" s="1"/>
  <c r="M12" i="1"/>
  <c r="N12" i="1" s="1"/>
  <c r="Q19" i="1"/>
  <c r="R19" i="1" s="1"/>
  <c r="S19" i="1" s="1"/>
  <c r="Q3" i="1"/>
  <c r="R3" i="1" s="1"/>
  <c r="S3" i="1" s="1"/>
  <c r="Q22" i="1"/>
  <c r="R22" i="1" s="1"/>
  <c r="S22" i="1" s="1"/>
  <c r="Q18" i="1"/>
  <c r="R18" i="1" s="1"/>
  <c r="S18" i="1" s="1"/>
  <c r="Q14" i="1"/>
  <c r="R14" i="1" s="1"/>
  <c r="S14" i="1" s="1"/>
  <c r="Q10" i="1"/>
  <c r="R10" i="1" s="1"/>
  <c r="S10" i="1" s="1"/>
  <c r="Q6" i="1"/>
  <c r="R6" i="1" s="1"/>
  <c r="S6" i="1" s="1"/>
  <c r="Q11" i="1"/>
  <c r="R11" i="1" s="1"/>
  <c r="S11" i="1" s="1"/>
  <c r="Q21" i="1"/>
  <c r="R21" i="1" s="1"/>
  <c r="S21" i="1" s="1"/>
  <c r="Q17" i="1"/>
  <c r="R17" i="1" s="1"/>
  <c r="S17" i="1" s="1"/>
  <c r="Q13" i="1"/>
  <c r="R13" i="1" s="1"/>
  <c r="S13" i="1" s="1"/>
  <c r="Q9" i="1"/>
  <c r="R9" i="1" s="1"/>
  <c r="S9" i="1" s="1"/>
  <c r="Q5" i="1"/>
  <c r="R5" i="1" s="1"/>
  <c r="S5" i="1" s="1"/>
  <c r="Q15" i="1"/>
  <c r="R15" i="1" s="1"/>
  <c r="S15" i="1" s="1"/>
  <c r="Q7" i="1"/>
  <c r="R7" i="1" s="1"/>
  <c r="S7" i="1" s="1"/>
  <c r="M22" i="1"/>
  <c r="N22" i="1" s="1"/>
  <c r="M21" i="1"/>
  <c r="N21" i="1" s="1"/>
  <c r="M20" i="1"/>
  <c r="N20" i="1" s="1"/>
  <c r="M19" i="1"/>
  <c r="N19" i="1" s="1"/>
  <c r="M18" i="1"/>
  <c r="N18" i="1" s="1"/>
  <c r="M17" i="1"/>
  <c r="N17" i="1" s="1"/>
  <c r="M16" i="1"/>
  <c r="N16" i="1" s="1"/>
  <c r="M15" i="1"/>
  <c r="N15" i="1" s="1"/>
  <c r="M14" i="1"/>
  <c r="N14" i="1" s="1"/>
  <c r="M13" i="1"/>
  <c r="N13" i="1" s="1"/>
  <c r="M11" i="1"/>
  <c r="N11" i="1" s="1"/>
  <c r="M10" i="1"/>
  <c r="N10" i="1" s="1"/>
  <c r="M9" i="1"/>
  <c r="N9" i="1" s="1"/>
  <c r="M8" i="1"/>
  <c r="N8" i="1" s="1"/>
  <c r="M7" i="1"/>
  <c r="N7" i="1" s="1"/>
  <c r="M6" i="1"/>
  <c r="N6" i="1" s="1"/>
  <c r="M5" i="1"/>
  <c r="N5" i="1" s="1"/>
  <c r="M4" i="1"/>
  <c r="N4" i="1" s="1"/>
  <c r="M3" i="1"/>
  <c r="N3" i="1" s="1"/>
  <c r="Q20" i="1"/>
  <c r="R20" i="1" s="1"/>
  <c r="S20" i="1" s="1"/>
  <c r="Q16" i="1"/>
  <c r="R16" i="1" s="1"/>
  <c r="S16" i="1" s="1"/>
  <c r="Q8" i="1"/>
  <c r="R8" i="1" s="1"/>
  <c r="S8" i="1" s="1"/>
  <c r="Q4" i="1"/>
  <c r="R4" i="1" s="1"/>
  <c r="S4" i="1" s="1"/>
  <c r="M2" i="1"/>
  <c r="N2" i="1" s="1"/>
  <c r="I20" i="1"/>
  <c r="J20" i="1" s="1"/>
  <c r="I19" i="1"/>
  <c r="J19" i="1" s="1"/>
  <c r="I15" i="1"/>
  <c r="J15" i="1" s="1"/>
  <c r="I12" i="1"/>
  <c r="J12" i="1" s="1"/>
  <c r="I11" i="1"/>
  <c r="J11" i="1" s="1"/>
  <c r="I8" i="1"/>
  <c r="J8" i="1" s="1"/>
  <c r="I7" i="1"/>
  <c r="J7" i="1" s="1"/>
  <c r="I4" i="1"/>
  <c r="J4" i="1" s="1"/>
  <c r="I3" i="1"/>
  <c r="J3" i="1" s="1"/>
  <c r="I16" i="1"/>
  <c r="J16" i="1" s="1"/>
  <c r="J2" i="1"/>
  <c r="I21" i="1"/>
  <c r="J21" i="1" s="1"/>
  <c r="I18" i="1"/>
  <c r="J18" i="1" s="1"/>
  <c r="I14" i="1"/>
  <c r="J14" i="1" s="1"/>
  <c r="I13" i="1"/>
  <c r="J13" i="1" s="1"/>
  <c r="I10" i="1"/>
  <c r="J10" i="1" s="1"/>
  <c r="I9" i="1"/>
  <c r="J9" i="1" s="1"/>
  <c r="I6" i="1"/>
  <c r="J6" i="1" s="1"/>
  <c r="I5" i="1"/>
  <c r="J5" i="1" s="1"/>
  <c r="I22" i="1"/>
  <c r="J22" i="1" s="1"/>
  <c r="I17" i="1"/>
  <c r="J17" i="1" s="1"/>
  <c r="G29" i="1"/>
  <c r="G26" i="1"/>
  <c r="B16" i="21" s="1"/>
  <c r="P29" i="1"/>
  <c r="B21" i="21" s="1"/>
  <c r="G36" i="1"/>
  <c r="D26" i="1"/>
  <c r="AJ32" i="1"/>
  <c r="B41" i="21" s="1"/>
  <c r="AJ26" i="1"/>
  <c r="B33" i="21" s="1"/>
  <c r="AT32" i="1"/>
  <c r="B43" i="21" s="1"/>
  <c r="AT26" i="1"/>
  <c r="B35" i="21" s="1"/>
  <c r="AJ29" i="1"/>
  <c r="B25" i="21" s="1"/>
  <c r="AY29" i="1"/>
  <c r="B28" i="21" s="1"/>
  <c r="B26" i="21"/>
  <c r="Z29" i="1"/>
  <c r="B23" i="21" s="1"/>
  <c r="AE29" i="1"/>
  <c r="B24" i="21" s="1"/>
  <c r="AT29" i="1"/>
  <c r="B27" i="21" s="1"/>
  <c r="Z32" i="1"/>
  <c r="B39" i="21" s="1"/>
  <c r="Z26" i="1"/>
  <c r="B31" i="21" s="1"/>
  <c r="B34" i="21"/>
  <c r="B42" i="21"/>
  <c r="AY32" i="1"/>
  <c r="B44" i="21" s="1"/>
  <c r="AY26" i="1"/>
  <c r="B36" i="21" s="1"/>
  <c r="AE26" i="1"/>
  <c r="B32" i="21" s="1"/>
  <c r="AE32" i="1"/>
  <c r="B40" i="21" s="1"/>
  <c r="U29" i="1"/>
  <c r="B22" i="21" s="1"/>
  <c r="U32" i="1"/>
  <c r="B38" i="21" s="1"/>
  <c r="U26" i="1"/>
  <c r="B30" i="21" s="1"/>
  <c r="P32" i="1"/>
  <c r="B37" i="21" s="1"/>
  <c r="P26" i="1"/>
  <c r="B29" i="21" s="1"/>
  <c r="D32" i="1"/>
  <c r="B11" i="21" s="1"/>
  <c r="D29" i="1"/>
  <c r="B9" i="21" s="1"/>
  <c r="AX29" i="1"/>
  <c r="B52" i="21" s="1"/>
  <c r="AX26" i="1"/>
  <c r="B60" i="21" s="1"/>
  <c r="AS26" i="1"/>
  <c r="B59" i="21" s="1"/>
  <c r="AN29" i="1"/>
  <c r="B50" i="21" s="1"/>
  <c r="AI26" i="1"/>
  <c r="B57" i="21" s="1"/>
  <c r="AI29" i="1"/>
  <c r="B49" i="21" s="1"/>
  <c r="B47" i="21"/>
  <c r="B48" i="21"/>
  <c r="K29" i="1"/>
  <c r="B18" i="21" s="1"/>
  <c r="G32" i="1"/>
  <c r="B17" i="21" s="1"/>
  <c r="K26" i="1"/>
  <c r="B19" i="21" s="1"/>
  <c r="E32" i="1"/>
  <c r="B14" i="21" s="1"/>
  <c r="E29" i="1"/>
  <c r="B12" i="21" s="1"/>
  <c r="K32" i="1"/>
  <c r="B20" i="21" s="1"/>
  <c r="E26" i="1"/>
  <c r="B13" i="21" s="1"/>
  <c r="B45" i="21"/>
  <c r="B61" i="21"/>
  <c r="B53" i="21"/>
  <c r="AS29" i="1"/>
  <c r="B51" i="21" s="1"/>
  <c r="AN26" i="1"/>
  <c r="B58" i="21" s="1"/>
  <c r="AN32" i="1"/>
  <c r="B66" i="21" s="1"/>
  <c r="B64" i="21"/>
  <c r="B46" i="21"/>
  <c r="AX32" i="1"/>
  <c r="B68" i="21" s="1"/>
  <c r="B56" i="21"/>
  <c r="B55" i="21"/>
  <c r="B63" i="21"/>
  <c r="B62" i="21"/>
  <c r="B54" i="21"/>
  <c r="D38" i="1" l="1"/>
  <c r="B15" i="21"/>
  <c r="B1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Matthew Sclafani</author>
  </authors>
  <commentList>
    <comment ref="E1" authorId="0" shapeId="0" xr:uid="{2AE3F6F0-5B0E-45D1-8376-AE33FCF77509}">
      <text>
        <r>
          <rPr>
            <b/>
            <sz val="9"/>
            <color indexed="81"/>
            <rFont val="Tahoma"/>
            <family val="2"/>
          </rPr>
          <t>Matthew Sclafani:</t>
        </r>
        <r>
          <rPr>
            <sz val="9"/>
            <color indexed="81"/>
            <rFont val="Tahoma"/>
            <family val="2"/>
          </rPr>
          <t xml:space="preserve">
V1: always 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al_rsp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2" xr16:uid="{00000000-0015-0000-FFFF-FFFF01000000}" name="cal_rsp1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3" xr16:uid="{00000000-0015-0000-FFFF-FFFF02000000}" name="cal_rsp10" type="6" refreshedVersion="6" background="1" saveData="1">
    <textPr prompt="0" codePage="936" sourceFile="C:\Potentiostat\SquidstatCalibrator\bin\Debug\ch4\cal_rsp.csv" comma="1">
      <textFields>
        <textField/>
      </textFields>
    </textPr>
  </connection>
  <connection id="4" xr16:uid="{00000000-0015-0000-FFFF-FFFF03000000}" name="cal_rsp11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5" xr16:uid="{00000000-0015-0000-FFFF-FFFF04000000}" name="cal_rsp1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6" xr16:uid="{00000000-0015-0000-FFFF-FFFF05000000}" name="cal_rsp13" type="6" refreshedVersion="6" background="1" saveData="1">
    <textPr prompt="0" codePage="936" sourceFile="C:\Potentiostat\SquidstatCalibrator\bin\Debug\ss_1031_v1\ch4\cal_rsp.csv" comma="1">
      <textFields>
        <textField/>
      </textFields>
    </textPr>
  </connection>
  <connection id="7" xr16:uid="{00000000-0015-0000-FFFF-FFFF06000000}" name="cal_rsp1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8" xr16:uid="{00000000-0015-0000-FFFF-FFFF07000000}" name="cal_rsp2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9" xr16:uid="{00000000-0015-0000-FFFF-FFFF08000000}" name="cal_rsp3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10" xr16:uid="{00000000-0015-0000-FFFF-FFFF09000000}" name="cal_rsp4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1" xr16:uid="{00000000-0015-0000-FFFF-FFFF0A000000}" name="cal_rsp5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2" xr16:uid="{00000000-0015-0000-FFFF-FFFF0B000000}" name="cal_rsp6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3" xr16:uid="{00000000-0015-0000-FFFF-FFFF0C000000}" name="cal_rsp7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4" xr16:uid="{00000000-0015-0000-FFFF-FFFF0D000000}" name="cal_rsp8" type="6" refreshedVersion="6" background="1" saveData="1">
    <textPr prompt="0" codePage="936" sourceFile="C:\Potentiostat\SquidstatCalibrator\bin\Debug\cal_rsp.csv" comma="1">
      <textFields>
        <textField/>
      </textFields>
    </textPr>
  </connection>
  <connection id="15" xr16:uid="{00000000-0015-0000-FFFF-FFFF0E000000}" name="cal_rsp9" type="6" refreshedVersion="6" background="1" saveData="1">
    <textPr prompt="0" codePage="936" sourceFile="C:\Potentiostat\SquidstatCalibrator\bin\Debug\ch1\cal_rsp.csv" comma="1">
      <textFields>
        <textField/>
      </textFields>
    </textPr>
  </connection>
  <connection id="16" xr16:uid="{00000000-0015-0000-FFFF-FFFF0F000000}" keepAlive="1" name="Query - r0" description="Connection to the 'r0' query in the workbook." type="5" refreshedVersion="6" background="1">
    <dbPr connection="Provider=Microsoft.Mashup.OleDb.1;Data Source=$Workbook$;Location=r0;Extended Properties=&quot;&quot;" command="SELECT * FROM [r0]"/>
  </connection>
  <connection id="17" xr16:uid="{00000000-0015-0000-FFFF-FFFF10000000}" name="r0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18" xr16:uid="{00000000-0015-0000-FFFF-FFFF11000000}" name="r0_agilent" type="6" refreshedVersion="6" background="1" saveData="1">
    <textPr prompt="0" codePage="936" sourceFile="C:\Users\mattc\GoogleDrive_ASU\SquidstatCalibrator\SquidstatCalibrator\bin\Debug\r0_agilent.csv" comma="1">
      <textFields>
        <textField/>
      </textFields>
    </textPr>
  </connection>
  <connection id="19" xr16:uid="{00000000-0015-0000-FFFF-FFFF12000000}" name="r01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20" xr16:uid="{00000000-0015-0000-FFFF-FFFF13000000}" name="r01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1" xr16:uid="{00000000-0015-0000-FFFF-FFFF14000000}" name="r01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2" xr16:uid="{00000000-0015-0000-FFFF-FFFF15000000}" name="r01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3" xr16:uid="{00000000-0015-0000-FFFF-FFFF16000000}" name="r01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4" xr16:uid="{00000000-0015-0000-FFFF-FFFF17000000}" name="r01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5" xr16:uid="{00000000-0015-0000-FFFF-FFFF18000000}" name="r01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6" xr16:uid="{00000000-0015-0000-FFFF-FFFF19000000}" name="r01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7" xr16:uid="{00000000-0015-0000-FFFF-FFFF1A000000}" name="r01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8" xr16:uid="{00000000-0015-0000-FFFF-FFFF1B000000}" name="r01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29" xr16:uid="{00000000-0015-0000-FFFF-FFFF1C000000}" name="r019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30" xr16:uid="{00000000-0015-0000-FFFF-FFFF1D000000}" name="r02" type="6" refreshedVersion="6" background="1" saveData="1">
    <textPr prompt="0" codePage="936" sourceFile="C:\Users\mattc\GoogleDrive_ASU\SimpleSerial (1)\SimpleSerial\bin\Debug\r0.csv" comma="1">
      <textFields>
        <textField/>
      </textFields>
    </textPr>
  </connection>
  <connection id="31" xr16:uid="{00000000-0015-0000-FFFF-FFFF1E000000}" name="r020" type="6" refreshedVersion="6" background="1" saveData="1">
    <textPr prompt="0" codePage="936" sourceFile="C:\Users\Matt\Dropbox\MFC Systems files\Calibration files\Prime1029\ch1\r0.csv" comma="1">
      <textFields>
        <textField/>
      </textFields>
    </textPr>
  </connection>
  <connection id="32" xr16:uid="{00000000-0015-0000-FFFF-FFFF1F000000}" name="r021" type="6" refreshedVersion="6" background="1" saveData="1">
    <textPr prompt="0" codePage="936" sourceFile="C:\Users\Matt\Dropbox\MFC Systems files\Calibration files\Prime1029\ch0\r0.csv" comma="1">
      <textFields>
        <textField/>
      </textFields>
    </textPr>
  </connection>
  <connection id="33" xr16:uid="{00000000-0015-0000-FFFF-FFFF20000000}" name="r022" type="6" refreshedVersion="6" background="1" saveData="1">
    <textPr prompt="0" codePage="936" sourceFile="C:\Users\Matt\Dropbox\MFC Systems files\Calibration files\Prime1029\ch2\r0.csv" comma="1">
      <textFields>
        <textField/>
      </textFields>
    </textPr>
  </connection>
  <connection id="34" xr16:uid="{00000000-0015-0000-FFFF-FFFF21000000}" name="r023" type="6" refreshedVersion="6" background="1" saveData="1">
    <textPr prompt="0" codePage="936" sourceFile="C:\Users\Matt\Dropbox\MFC Systems files\Calibration files\Prime1029\ch3\r0.csv" comma="1">
      <textFields>
        <textField/>
      </textFields>
    </textPr>
  </connection>
  <connection id="35" xr16:uid="{00000000-0015-0000-FFFF-FFFF22000000}" name="r02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6" xr16:uid="{00000000-0015-0000-FFFF-FFFF23000000}" name="r02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7" xr16:uid="{00000000-0015-0000-FFFF-FFFF24000000}" name="r02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8" xr16:uid="{00000000-0015-0000-FFFF-FFFF25000000}" name="r02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39" xr16:uid="{00000000-0015-0000-FFFF-FFFF26000000}" name="r02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0" xr16:uid="{00000000-0015-0000-FFFF-FFFF27000000}" name="r029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41" xr16:uid="{00000000-0015-0000-FFFF-FFFF28000000}" name="r03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42" xr16:uid="{00000000-0015-0000-FFFF-FFFF29000000}" name="r03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3" xr16:uid="{00000000-0015-0000-FFFF-FFFF2A000000}" name="r03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4" xr16:uid="{00000000-0015-0000-FFFF-FFFF2B000000}" name="r03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5" xr16:uid="{00000000-0015-0000-FFFF-FFFF2C000000}" name="r03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6" xr16:uid="{00000000-0015-0000-FFFF-FFFF2D000000}" name="r03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7" xr16:uid="{00000000-0015-0000-FFFF-FFFF2E000000}" name="r035" type="6" refreshedVersion="6" background="1" saveData="1">
    <textPr prompt="0" codePage="936" sourceFile="C:\Potentiostat\SquidstatCalibrator\bin\Debug\ch1\r0.csv" comma="1">
      <textFields>
        <textField/>
      </textFields>
    </textPr>
  </connection>
  <connection id="48" xr16:uid="{00000000-0015-0000-FFFF-FFFF2F000000}" name="r03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49" xr16:uid="{00000000-0015-0000-FFFF-FFFF30000000}" name="r03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0" xr16:uid="{00000000-0015-0000-FFFF-FFFF31000000}" name="r03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1" xr16:uid="{00000000-0015-0000-FFFF-FFFF32000000}" name="r03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2" xr16:uid="{00000000-0015-0000-FFFF-FFFF33000000}" name="r04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53" xr16:uid="{00000000-0015-0000-FFFF-FFFF34000000}" name="r04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4" xr16:uid="{00000000-0015-0000-FFFF-FFFF35000000}" name="r04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5" xr16:uid="{00000000-0015-0000-FFFF-FFFF36000000}" name="r042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6" xr16:uid="{00000000-0015-0000-FFFF-FFFF37000000}" name="r043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7" xr16:uid="{00000000-0015-0000-FFFF-FFFF38000000}" name="r04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8" xr16:uid="{00000000-0015-0000-FFFF-FFFF39000000}" name="r045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59" xr16:uid="{00000000-0015-0000-FFFF-FFFF3A000000}" name="r046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0" xr16:uid="{00000000-0015-0000-FFFF-FFFF3B000000}" name="r04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1" xr16:uid="{00000000-0015-0000-FFFF-FFFF3C000000}" name="r04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2" xr16:uid="{00000000-0015-0000-FFFF-FFFF3D000000}" name="r04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3" xr16:uid="{00000000-0015-0000-FFFF-FFFF3E000000}" name="r05" type="6" refreshedVersion="6" background="1" saveData="1">
    <textPr prompt="0" codePage="936" sourceFile="C:\Users\mattc\GoogleDrive_ASU\SquidstatCalibrator\SquidstatCalibrator\bin\Debug\r0.csv" comma="1">
      <textFields>
        <textField/>
      </textFields>
    </textPr>
  </connection>
  <connection id="64" xr16:uid="{00000000-0015-0000-FFFF-FFFF3F000000}" name="r050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5" xr16:uid="{00000000-0015-0000-FFFF-FFFF40000000}" name="r051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6" xr16:uid="{00000000-0015-0000-FFFF-FFFF41000000}" name="r052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67" xr16:uid="{00000000-0015-0000-FFFF-FFFF42000000}" name="r053" type="6" refreshedVersion="6" background="1" saveData="1">
    <textPr prompt="0" codePage="936" sourceFile="C:\Potentiostat\SquidstatCalibrator\bin\Debug\ss_1031_v1\ch4\r0.csv" comma="1">
      <textFields>
        <textField/>
      </textFields>
    </textPr>
  </connection>
  <connection id="68" xr16:uid="{00000000-0015-0000-FFFF-FFFF43000000}" name="r054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69" xr16:uid="{00000000-0015-0000-FFFF-FFFF44000000}" name="r06" type="6" refreshedVersion="6" background="1" saveData="1">
    <textPr prompt="0" codePage="936" sourceFile="C:\Users\Matt\Dropbox (Admiral Instruments)\Admiral Instruments Dropbox\software\SquidstatCalibrator\bin\Debug\r0.csv" comma="1">
      <textFields>
        <textField/>
      </textFields>
    </textPr>
  </connection>
  <connection id="70" xr16:uid="{00000000-0015-0000-FFFF-FFFF45000000}" name="r07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1" xr16:uid="{00000000-0015-0000-FFFF-FFFF46000000}" name="r08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2" xr16:uid="{00000000-0015-0000-FFFF-FFFF47000000}" name="r09" type="6" refreshedVersion="6" background="1" saveData="1">
    <textPr prompt="0" codePage="936" sourceFile="C:\Potentiostat\SquidstatCalibrator\bin\Debug\r0.csv" comma="1">
      <textFields>
        <textField/>
      </textFields>
    </textPr>
  </connection>
  <connection id="73" xr16:uid="{00000000-0015-0000-FFFF-FFFF48000000}" name="r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74" xr16:uid="{00000000-0015-0000-FFFF-FFFF49000000}" name="r1_good" type="6" refreshedVersion="6" background="1" saveData="1">
    <textPr prompt="0" codePage="936" sourceFile="C:\Potentiostat\SquidstatCalibrator\bin\Debug\r1_good.csv" comma="1">
      <textFields>
        <textField/>
      </textFields>
    </textPr>
  </connection>
  <connection id="75" xr16:uid="{00000000-0015-0000-FFFF-FFFF4A000000}" name="r11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76" xr16:uid="{00000000-0015-0000-FFFF-FFFF4B000000}" name="r110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77" xr16:uid="{00000000-0015-0000-FFFF-FFFF4C000000}" name="r11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78" xr16:uid="{00000000-0015-0000-FFFF-FFFF4D000000}" name="r112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79" xr16:uid="{00000000-0015-0000-FFFF-FFFF4E000000}" name="r113" type="6" refreshedVersion="6" background="1" saveData="1">
    <textPr prompt="0" codePage="936" sourceFile="C:\Users\Matt\Dropbox\MFC Systems files\Calibration files\Prime1029\ch1\r1.csv" comma="1">
      <textFields>
        <textField/>
      </textFields>
    </textPr>
  </connection>
  <connection id="80" xr16:uid="{00000000-0015-0000-FFFF-FFFF4F000000}" name="r114" type="6" refreshedVersion="6" background="1" saveData="1">
    <textPr prompt="0" codePage="936" sourceFile="C:\Users\Matt\Dropbox\MFC Systems files\Calibration files\Prime1029\ch0\r1.csv" comma="1">
      <textFields>
        <textField/>
      </textFields>
    </textPr>
  </connection>
  <connection id="81" xr16:uid="{00000000-0015-0000-FFFF-FFFF50000000}" name="r115" type="6" refreshedVersion="6" background="1" saveData="1">
    <textPr prompt="0" codePage="936" sourceFile="C:\Users\Matt\Dropbox\MFC Systems files\Calibration files\Prime1029\ch2\r1.csv" comma="1">
      <textFields>
        <textField/>
      </textFields>
    </textPr>
  </connection>
  <connection id="82" xr16:uid="{00000000-0015-0000-FFFF-FFFF51000000}" name="r116" type="6" refreshedVersion="6" background="1" saveData="1">
    <textPr prompt="0" codePage="936" sourceFile="C:\Users\Matt\Dropbox\MFC Systems files\Calibration files\Prime1029\ch3\r1.csv" comma="1">
      <textFields>
        <textField/>
      </textFields>
    </textPr>
  </connection>
  <connection id="83" xr16:uid="{00000000-0015-0000-FFFF-FFFF52000000}" name="r1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84" xr16:uid="{00000000-0015-0000-FFFF-FFFF53000000}" name="r1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85" xr16:uid="{00000000-0015-0000-FFFF-FFFF54000000}" name="r1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86" xr16:uid="{00000000-0015-0000-FFFF-FFFF55000000}" name="r12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87" xr16:uid="{00000000-0015-0000-FFFF-FFFF56000000}" name="r120" type="6" refreshedVersion="6" background="1" saveData="1">
    <textPr prompt="0" codePage="936" sourceFile="C:\Potentiostat\SquidstatCalibrator\bin\Debug\ch1\r1.csv" comma="1">
      <textFields>
        <textField/>
      </textFields>
    </textPr>
  </connection>
  <connection id="88" xr16:uid="{00000000-0015-0000-FFFF-FFFF57000000}" name="r121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89" xr16:uid="{00000000-0015-0000-FFFF-FFFF58000000}" name="r122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0" xr16:uid="{00000000-0015-0000-FFFF-FFFF59000000}" name="r123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1" xr16:uid="{00000000-0015-0000-FFFF-FFFF5A000000}" name="r124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2" xr16:uid="{00000000-0015-0000-FFFF-FFFF5B000000}" name="r12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3" xr16:uid="{00000000-0015-0000-FFFF-FFFF5C000000}" name="r12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4" xr16:uid="{00000000-0015-0000-FFFF-FFFF5D000000}" name="r127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95" xr16:uid="{00000000-0015-0000-FFFF-FFFF5E000000}" name="r128" type="6" refreshedVersion="6" background="1" saveData="1">
    <textPr prompt="0" codePage="936" sourceFile="C:\Potentiostat\SquidstatCalibrator\bin\Debug\ss_1031_v1\ch4\r1.csv" comma="1">
      <textFields>
        <textField/>
      </textFields>
    </textPr>
  </connection>
  <connection id="96" xr16:uid="{00000000-0015-0000-FFFF-FFFF5F000000}" name="r12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97" xr16:uid="{00000000-0015-0000-FFFF-FFFF60000000}" name="r13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98" xr16:uid="{00000000-0015-0000-FFFF-FFFF61000000}" name="r14" type="6" refreshedVersion="6" background="1" saveData="1">
    <textPr prompt="0" codePage="936" sourceFile="C:\Users\mattc\GoogleDrive_ASU\SquidstatCalibrator\SquidstatCalibrator\bin\Debug\r1.csv" comma="1">
      <textFields>
        <textField/>
      </textFields>
    </textPr>
  </connection>
  <connection id="99" xr16:uid="{00000000-0015-0000-FFFF-FFFF62000000}" name="r15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0" xr16:uid="{00000000-0015-0000-FFFF-FFFF63000000}" name="r16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1" xr16:uid="{00000000-0015-0000-FFFF-FFFF64000000}" name="r17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2" xr16:uid="{00000000-0015-0000-FFFF-FFFF65000000}" name="r18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3" xr16:uid="{00000000-0015-0000-FFFF-FFFF66000000}" name="r19" type="6" refreshedVersion="6" background="1" saveData="1">
    <textPr prompt="0" codePage="936" sourceFile="C:\Potentiostat\SquidstatCalibrator\bin\Debug\r1.csv" comma="1">
      <textFields>
        <textField/>
      </textFields>
    </textPr>
  </connection>
  <connection id="104" xr16:uid="{00000000-0015-0000-FFFF-FFFF67000000}" name="r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05" xr16:uid="{00000000-0015-0000-FFFF-FFFF68000000}" name="r2_keithley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06" xr16:uid="{00000000-0015-0000-FFFF-FFFF69000000}" name="r2_keithley1" type="6" refreshedVersion="6" background="1" saveData="1">
    <textPr prompt="0" codePage="936" sourceFile="C:\Users\mattc\GoogleDrive_ASU\SquidstatCalibrator\SquidstatCalibrator\bin\Debug\r2_keithley.csv" comma="1">
      <textFields>
        <textField/>
      </textFields>
    </textPr>
  </connection>
  <connection id="107" xr16:uid="{00000000-0015-0000-FFFF-FFFF6A000000}" name="r21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08" xr16:uid="{00000000-0015-0000-FFFF-FFFF6B000000}" name="r21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09" xr16:uid="{00000000-0015-0000-FFFF-FFFF6C000000}" name="r21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10" xr16:uid="{00000000-0015-0000-FFFF-FFFF6D000000}" name="r21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11" xr16:uid="{00000000-0015-0000-FFFF-FFFF6E000000}" name="r21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12" xr16:uid="{00000000-0015-0000-FFFF-FFFF6F000000}" name="r214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13" xr16:uid="{00000000-0015-0000-FFFF-FFFF70000000}" name="r215" type="6" refreshedVersion="6" background="1" saveData="1">
    <textPr prompt="0" codePage="936" sourceFile="C:\Users\Matt\Dropbox\MFC Systems files\Calibration files\Prime1029\ch1\r2.csv" comma="1">
      <textFields>
        <textField/>
      </textFields>
    </textPr>
  </connection>
  <connection id="114" xr16:uid="{00000000-0015-0000-FFFF-FFFF71000000}" name="r216" type="6" refreshedVersion="6" background="1" saveData="1">
    <textPr prompt="0" codePage="936" sourceFile="C:\Users\Matt\Dropbox\MFC Systems files\Calibration files\Prime1029\ch0\r2.csv" comma="1">
      <textFields>
        <textField/>
      </textFields>
    </textPr>
  </connection>
  <connection id="115" xr16:uid="{00000000-0015-0000-FFFF-FFFF72000000}" name="r217" type="6" refreshedVersion="6" background="1" saveData="1">
    <textPr prompt="0" codePage="936" sourceFile="C:\Users\Matt\Dropbox\MFC Systems files\Calibration files\Prime1029\ch2\r2.csv" comma="1">
      <textFields>
        <textField/>
      </textFields>
    </textPr>
  </connection>
  <connection id="116" xr16:uid="{00000000-0015-0000-FFFF-FFFF73000000}" name="r218" type="6" refreshedVersion="6" background="1" saveData="1">
    <textPr prompt="0" codePage="936" sourceFile="C:\Users\Matt\Dropbox\MFC Systems files\Calibration files\Prime1029\ch3\r2.csv" comma="1">
      <textFields>
        <textField/>
      </textFields>
    </textPr>
  </connection>
  <connection id="117" xr16:uid="{00000000-0015-0000-FFFF-FFFF74000000}" name="r21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18" xr16:uid="{00000000-0015-0000-FFFF-FFFF75000000}" name="r22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19" xr16:uid="{00000000-0015-0000-FFFF-FFFF76000000}" name="r220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0" xr16:uid="{00000000-0015-0000-FFFF-FFFF77000000}" name="r221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1" xr16:uid="{00000000-0015-0000-FFFF-FFFF78000000}" name="r222" type="6" refreshedVersion="6" background="1" saveData="1">
    <textPr prompt="0" codePage="936" sourceFile="C:\Potentiostat\SquidstatCalibrator\bin\Debug\ch1\r2.csv" comma="1">
      <textFields>
        <textField/>
      </textFields>
    </textPr>
  </connection>
  <connection id="122" xr16:uid="{00000000-0015-0000-FFFF-FFFF79000000}" name="r223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3" xr16:uid="{00000000-0015-0000-FFFF-FFFF7A000000}" name="r2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4" xr16:uid="{00000000-0015-0000-FFFF-FFFF7B000000}" name="r2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5" xr16:uid="{00000000-0015-0000-FFFF-FFFF7C000000}" name="r2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6" xr16:uid="{00000000-0015-0000-FFFF-FFFF7D000000}" name="r2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7" xr16:uid="{00000000-0015-0000-FFFF-FFFF7E000000}" name="r2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8" xr16:uid="{00000000-0015-0000-FFFF-FFFF7F000000}" name="r2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29" xr16:uid="{00000000-0015-0000-FFFF-FFFF80000000}" name="r23" type="6" refreshedVersion="6" background="1" saveData="1">
    <textPr prompt="0" codePage="936" sourceFile="C:\Users\mattc\GoogleDrive_ASU\SquidstatCalibrator\SquidstatCalibrator\bin\Debug\r2.csv" comma="1">
      <textFields>
        <textField/>
      </textFields>
    </textPr>
  </connection>
  <connection id="130" xr16:uid="{00000000-0015-0000-FFFF-FFFF81000000}" name="r230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31" xr16:uid="{00000000-0015-0000-FFFF-FFFF82000000}" name="r231" type="6" refreshedVersion="6" background="1" saveData="1">
    <textPr prompt="0" codePage="936" sourceFile="C:\Potentiostat\SquidstatCalibrator\bin\Debug\ss_1031_v1\ch4\r2.csv" comma="1">
      <textFields>
        <textField/>
      </textFields>
    </textPr>
  </connection>
  <connection id="132" xr16:uid="{00000000-0015-0000-FFFF-FFFF83000000}" name="r232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3" xr16:uid="{00000000-0015-0000-FFFF-FFFF84000000}" name="r24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4" xr16:uid="{00000000-0015-0000-FFFF-FFFF85000000}" name="r25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5" xr16:uid="{00000000-0015-0000-FFFF-FFFF86000000}" name="r26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6" xr16:uid="{00000000-0015-0000-FFFF-FFFF87000000}" name="r27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7" xr16:uid="{00000000-0015-0000-FFFF-FFFF88000000}" name="r28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8" xr16:uid="{00000000-0015-0000-FFFF-FFFF89000000}" name="r29" type="6" refreshedVersion="6" background="1" saveData="1">
    <textPr prompt="0" codePage="936" sourceFile="C:\Potentiostat\SquidstatCalibrator\bin\Debug\r2.csv" comma="1">
      <textFields>
        <textField/>
      </textFields>
    </textPr>
  </connection>
  <connection id="139" xr16:uid="{00000000-0015-0000-FFFF-FFFF8A000000}" name="r3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140" xr16:uid="{00000000-0015-0000-FFFF-FFFF8B000000}" name="r3_keithley" type="6" refreshedVersion="6" background="1" saveData="1">
    <textPr prompt="0" codePage="936" sourceFile="C:\Users\mattc\GoogleDrive_ASU\SquidstatCalibrator\SquidstatCalibrator\bin\Debug\r3_keithley.csv" comma="1">
      <textFields>
        <textField/>
      </textFields>
    </textPr>
  </connection>
  <connection id="141" xr16:uid="{00000000-0015-0000-FFFF-FFFF8C000000}" name="r31" type="6" refreshedVersion="6" background="1" saveData="1">
    <textPr prompt="0" codePage="936" sourceFile="C:\Users\mattc\GoogleDrive_ASU\SimpleSerial (1)\SimpleSerial\bin\Debug\r3.csv" comma="1">
      <textFields>
        <textField/>
      </textFields>
    </textPr>
  </connection>
  <connection id="142" xr16:uid="{00000000-0015-0000-FFFF-FFFF8D000000}" name="r31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3" xr16:uid="{00000000-0015-0000-FFFF-FFFF8E000000}" name="r31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4" xr16:uid="{00000000-0015-0000-FFFF-FFFF8F000000}" name="r31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5" xr16:uid="{00000000-0015-0000-FFFF-FFFF90000000}" name="r31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6" xr16:uid="{00000000-0015-0000-FFFF-FFFF91000000}" name="r31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7" xr16:uid="{00000000-0015-0000-FFFF-FFFF92000000}" name="r31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8" xr16:uid="{00000000-0015-0000-FFFF-FFFF93000000}" name="r31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49" xr16:uid="{00000000-0015-0000-FFFF-FFFF94000000}" name="r31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0" xr16:uid="{00000000-0015-0000-FFFF-FFFF95000000}" name="r31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1" xr16:uid="{00000000-0015-0000-FFFF-FFFF96000000}" name="r31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2" xr16:uid="{00000000-0015-0000-FFFF-FFFF97000000}" name="r3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3" xr16:uid="{00000000-0015-0000-FFFF-FFFF98000000}" name="r320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4" xr16:uid="{00000000-0015-0000-FFFF-FFFF99000000}" name="r32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5" xr16:uid="{00000000-0015-0000-FFFF-FFFF9A000000}" name="r322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6" xr16:uid="{00000000-0015-0000-FFFF-FFFF9B000000}" name="r32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7" xr16:uid="{00000000-0015-0000-FFFF-FFFF9C000000}" name="r32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8" xr16:uid="{00000000-0015-0000-FFFF-FFFF9D000000}" name="r32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59" xr16:uid="{00000000-0015-0000-FFFF-FFFF9E000000}" name="r32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60" xr16:uid="{00000000-0015-0000-FFFF-FFFF9F000000}" name="r32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1" xr16:uid="{00000000-0015-0000-FFFF-FFFFA0000000}" name="r328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2" xr16:uid="{00000000-0015-0000-FFFF-FFFFA1000000}" name="r329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3" xr16:uid="{00000000-0015-0000-FFFF-FFFFA2000000}" name="r33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64" xr16:uid="{00000000-0015-0000-FFFF-FFFFA3000000}" name="r33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5" xr16:uid="{00000000-0015-0000-FFFF-FFFFA4000000}" name="r33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6" xr16:uid="{00000000-0015-0000-FFFF-FFFFA5000000}" name="r33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7" xr16:uid="{00000000-0015-0000-FFFF-FFFFA6000000}" name="r33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8" xr16:uid="{00000000-0015-0000-FFFF-FFFFA7000000}" name="r334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69" xr16:uid="{00000000-0015-0000-FFFF-FFFFA8000000}" name="r335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170" xr16:uid="{00000000-0015-0000-FFFF-FFFFA9000000}" name="r336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171" xr16:uid="{00000000-0015-0000-FFFF-FFFFAA000000}" name="r337" type="6" refreshedVersion="6" background="1" saveData="1">
    <textPr prompt="0" codePage="936" sourceFile="C:\Users\Matt\Dropbox\MFC Systems files\Calibration files\Prime1029\ch1\r3.csv" comma="1">
      <textFields>
        <textField/>
      </textFields>
    </textPr>
  </connection>
  <connection id="172" xr16:uid="{00000000-0015-0000-FFFF-FFFFAB000000}" name="r338" type="6" refreshedVersion="6" background="1" saveData="1">
    <textPr prompt="0" codePage="936" sourceFile="C:\Users\Matt\Dropbox\MFC Systems files\Calibration files\Prime1029\ch0\r3.csv" comma="1">
      <textFields>
        <textField/>
      </textFields>
    </textPr>
  </connection>
  <connection id="173" xr16:uid="{00000000-0015-0000-FFFF-FFFFAC000000}" name="r339" type="6" refreshedVersion="6" background="1" saveData="1">
    <textPr prompt="0" codePage="936" sourceFile="C:\Users\Matt\Dropbox\MFC Systems files\Calibration files\Prime1029\ch2\r3.csv" comma="1">
      <textFields>
        <textField/>
      </textFields>
    </textPr>
  </connection>
  <connection id="174" xr16:uid="{00000000-0015-0000-FFFF-FFFFAD000000}" name="r34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75" xr16:uid="{00000000-0015-0000-FFFF-FFFFAE000000}" name="r340" type="6" refreshedVersion="6" background="1" saveData="1">
    <textPr prompt="0" codePage="936" sourceFile="C:\Users\Matt\Dropbox\MFC Systems files\Calibration files\Prime1029\ch3\r3.csv" comma="1">
      <textFields>
        <textField/>
      </textFields>
    </textPr>
  </connection>
  <connection id="176" xr16:uid="{00000000-0015-0000-FFFF-FFFFAF000000}" name="r341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77" xr16:uid="{00000000-0015-0000-FFFF-FFFFB0000000}" name="r342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78" xr16:uid="{00000000-0015-0000-FFFF-FFFFB1000000}" name="r343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79" xr16:uid="{00000000-0015-0000-FFFF-FFFFB2000000}" name="r344" type="6" refreshedVersion="6" background="1" saveData="1">
    <textPr prompt="0" codePage="936" sourceFile="C:\Potentiostat\SquidstatCalibrator\bin\Debug\ch1\r3.csv" comma="1">
      <textFields>
        <textField/>
      </textFields>
    </textPr>
  </connection>
  <connection id="180" xr16:uid="{00000000-0015-0000-FFFF-FFFFB3000000}" name="r345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81" xr16:uid="{00000000-0015-0000-FFFF-FFFFB4000000}" name="r346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82" xr16:uid="{00000000-0015-0000-FFFF-FFFFB5000000}" name="r347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83" xr16:uid="{00000000-0015-0000-FFFF-FFFFB6000000}" name="r348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184" xr16:uid="{00000000-0015-0000-FFFF-FFFFB7000000}" name="r349" type="6" refreshedVersion="6" background="1" saveData="1">
    <textPr prompt="0" codePage="936" sourceFile="C:\Potentiostat\SquidstatCalibrator\bin\Debug\ss_1031_v1\ch4\r3.csv" comma="1">
      <textFields>
        <textField/>
      </textFields>
    </textPr>
  </connection>
  <connection id="185" xr16:uid="{00000000-0015-0000-FFFF-FFFFB8000000}" name="r35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6" xr16:uid="{00000000-0015-0000-FFFF-FFFFB9000000}" name="r350" type="6" refreshedVersion="6" background="1" saveData="1">
    <textPr prompt="0" codePage="936" sourceFile="C:\Potentiostat\SquidstatCalibrator\bin\Debug\r3.csv" comma="1">
      <textFields>
        <textField/>
      </textFields>
    </textPr>
  </connection>
  <connection id="187" xr16:uid="{00000000-0015-0000-FFFF-FFFFBA000000}" name="r36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8" xr16:uid="{00000000-0015-0000-FFFF-FFFFBB000000}" name="r37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89" xr16:uid="{00000000-0015-0000-FFFF-FFFFBC000000}" name="r38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0" xr16:uid="{00000000-0015-0000-FFFF-FFFFBD000000}" name="r39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1" xr16:uid="{00000000-0015-0000-FFFF-FFFFBE000000}" name="r391" type="6" refreshedVersion="6" background="1" saveData="1">
    <textPr prompt="0" codePage="936" sourceFile="C:\Users\mattc\GoogleDrive_ASU\SquidstatCalibrator\SquidstatCalibrator\bin\Debug\r3.csv" comma="1">
      <textFields>
        <textField/>
      </textFields>
    </textPr>
  </connection>
  <connection id="192" xr16:uid="{00000000-0015-0000-FFFF-FFFFBF000000}" name="v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93" xr16:uid="{00000000-0015-0000-FFFF-FFFFC0000000}" name="v1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94" xr16:uid="{00000000-0015-0000-FFFF-FFFFC1000000}" name="v10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95" xr16:uid="{00000000-0015-0000-FFFF-FFFFC2000000}" name="v1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196" xr16:uid="{00000000-0015-0000-FFFF-FFFFC3000000}" name="v1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197" xr16:uid="{00000000-0015-0000-FFFF-FFFFC4000000}" name="v1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98" xr16:uid="{00000000-0015-0000-FFFF-FFFFC5000000}" name="v1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199" xr16:uid="{00000000-0015-0000-FFFF-FFFFC6000000}" name="v1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00" xr16:uid="{00000000-0015-0000-FFFF-FFFFC7000000}" name="v1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01" xr16:uid="{00000000-0015-0000-FFFF-FFFFC8000000}" name="v17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202" xr16:uid="{00000000-0015-0000-FFFF-FFFFC9000000}" name="v18" type="6" refreshedVersion="6" background="1" saveData="1">
    <textPr prompt="0" codePage="936" sourceFile="C:\Users\Matt\Dropbox (Admiral Instruments)\Admiral Instruments Dropbox\software\SquidstatCalibrator\bin\Debug\v.csv" comma="1">
      <textFields>
        <textField/>
      </textFields>
    </textPr>
  </connection>
  <connection id="203" xr16:uid="{00000000-0015-0000-FFFF-FFFFCA000000}" name="v1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04" xr16:uid="{00000000-0015-0000-FFFF-FFFFCB000000}" name="v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05" xr16:uid="{00000000-0015-0000-FFFF-FFFFCC000000}" name="v2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06" xr16:uid="{00000000-0015-0000-FFFF-FFFFCD000000}" name="v2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07" xr16:uid="{00000000-0015-0000-FFFF-FFFFCE000000}" name="v22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08" xr16:uid="{00000000-0015-0000-FFFF-FFFFCF000000}" name="v2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09" xr16:uid="{00000000-0015-0000-FFFF-FFFFD0000000}" name="v2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0" xr16:uid="{00000000-0015-0000-FFFF-FFFFD1000000}" name="v2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1" xr16:uid="{00000000-0015-0000-FFFF-FFFFD2000000}" name="v2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2" xr16:uid="{00000000-0015-0000-FFFF-FFFFD3000000}" name="v2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3" xr16:uid="{00000000-0015-0000-FFFF-FFFFD4000000}" name="v2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4" xr16:uid="{00000000-0015-0000-FFFF-FFFFD5000000}" name="v2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5" xr16:uid="{00000000-0015-0000-FFFF-FFFFD6000000}" name="v3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16" xr16:uid="{00000000-0015-0000-FFFF-FFFFD7000000}" name="v3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7" xr16:uid="{00000000-0015-0000-FFFF-FFFFD8000000}" name="v3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18" xr16:uid="{00000000-0015-0000-FFFF-FFFFD9000000}" name="v3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19" xr16:uid="{00000000-0015-0000-FFFF-FFFFDA000000}" name="v3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0" xr16:uid="{00000000-0015-0000-FFFF-FFFFDB000000}" name="v3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1" xr16:uid="{00000000-0015-0000-FFFF-FFFFDC000000}" name="v3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2" xr16:uid="{00000000-0015-0000-FFFF-FFFFDD000000}" name="v3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3" xr16:uid="{00000000-0015-0000-FFFF-FFFFDE000000}" name="v3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4" xr16:uid="{00000000-0015-0000-FFFF-FFFFDF000000}" name="v3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5" xr16:uid="{00000000-0015-0000-FFFF-FFFFE0000000}" name="v3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6" xr16:uid="{00000000-0015-0000-FFFF-FFFFE1000000}" name="v4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27" xr16:uid="{00000000-0015-0000-FFFF-FFFFE2000000}" name="v4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8" xr16:uid="{00000000-0015-0000-FFFF-FFFFE3000000}" name="v4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29" xr16:uid="{00000000-0015-0000-FFFF-FFFFE4000000}" name="v4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30" xr16:uid="{00000000-0015-0000-FFFF-FFFFE5000000}" name="v4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31" xr16:uid="{00000000-0015-0000-FFFF-FFFFE6000000}" name="v44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232" xr16:uid="{00000000-0015-0000-FFFF-FFFFE7000000}" name="v45" type="6" refreshedVersion="6" background="1" saveData="1">
    <textPr prompt="0" codePage="936" sourceFile="C:\Users\Matt\Dropbox\MFC Systems files\Calibration files\Prime1029\ch1\v.csv" comma="1">
      <textFields>
        <textField/>
      </textFields>
    </textPr>
  </connection>
  <connection id="233" xr16:uid="{00000000-0015-0000-FFFF-FFFFE8000000}" name="v46" type="6" refreshedVersion="6" background="1" saveData="1">
    <textPr prompt="0" codePage="936" sourceFile="C:\Users\Matt\Dropbox\MFC Systems files\Calibration files\Prime1029\ch0\v.csv" comma="1">
      <textFields>
        <textField/>
      </textFields>
    </textPr>
  </connection>
  <connection id="234" xr16:uid="{00000000-0015-0000-FFFF-FFFFE9000000}" name="v47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235" xr16:uid="{00000000-0015-0000-FFFF-FFFFEA000000}" name="v48" type="6" refreshedVersion="6" background="1" saveData="1">
    <textPr prompt="0" codePage="936" sourceFile="C:\Users\Matt\Dropbox\MFC Systems files\Calibration files\Prime1029\ch2\v.csv" comma="1">
      <textFields>
        <textField/>
      </textFields>
    </textPr>
  </connection>
  <connection id="236" xr16:uid="{00000000-0015-0000-FFFF-FFFFEB000000}" name="v49" type="6" refreshedVersion="6" background="1" saveData="1">
    <textPr prompt="0" codePage="936" sourceFile="C:\Users\Matt\Dropbox\MFC Systems files\Calibration files\Prime1029\ch3\v.csv" comma="1">
      <textFields>
        <textField/>
      </textFields>
    </textPr>
  </connection>
  <connection id="237" xr16:uid="{00000000-0015-0000-FFFF-FFFFEC000000}" name="v5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38" xr16:uid="{00000000-0015-0000-FFFF-FFFFED000000}" name="v50" type="6" refreshedVersion="6" background="1" saveData="1">
    <textPr prompt="0" codePage="936" sourceFile="C:\Users\mattc\Documents\v.csv" comma="1">
      <textFields>
        <textField/>
      </textFields>
    </textPr>
  </connection>
  <connection id="239" xr16:uid="{00000000-0015-0000-FFFF-FFFFEE000000}" name="v5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0" xr16:uid="{00000000-0015-0000-FFFF-FFFFEF000000}" name="v5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1" xr16:uid="{00000000-0015-0000-FFFF-FFFFF0000000}" name="v5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2" xr16:uid="{00000000-0015-0000-FFFF-FFFFF1000000}" name="v5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3" xr16:uid="{00000000-0015-0000-FFFF-FFFFF2000000}" name="v5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4" xr16:uid="{00000000-0015-0000-FFFF-FFFFF3000000}" name="v5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5" xr16:uid="{00000000-0015-0000-FFFF-FFFFF4000000}" name="v57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246" xr16:uid="{00000000-0015-0000-FFFF-FFFFF5000000}" name="v5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7" xr16:uid="{00000000-0015-0000-FFFF-FFFFF6000000}" name="v5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48" xr16:uid="{00000000-0015-0000-FFFF-FFFFF7000000}" name="v6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49" xr16:uid="{00000000-0015-0000-FFFF-FFFFF8000000}" name="v6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0" xr16:uid="{00000000-0015-0000-FFFF-FFFFF9000000}" name="v6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1" xr16:uid="{00000000-0015-0000-FFFF-FFFFFA000000}" name="v62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52" xr16:uid="{00000000-0015-0000-FFFF-FFFFFB000000}" name="v6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3" xr16:uid="{00000000-0015-0000-FFFF-FFFFFC000000}" name="v6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4" xr16:uid="{00000000-0015-0000-FFFF-FFFFFD000000}" name="v6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5" xr16:uid="{00000000-0015-0000-FFFF-FFFFFE000000}" name="v6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6" xr16:uid="{00000000-0015-0000-FFFF-FFFFFF000000}" name="v6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7" xr16:uid="{00000000-0015-0000-FFFF-FFFF00010000}" name="v6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8" xr16:uid="{00000000-0015-0000-FFFF-FFFF01010000}" name="v69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59" xr16:uid="{00000000-0015-0000-FFFF-FFFF02010000}" name="v7" type="6" refreshedVersion="6" background="1" saveData="1">
    <textPr prompt="0" codePage="936" sourceFile="C:\Users\mattc\GoogleDrive_ASU\SquidstatCalibrator\SquidstatCalibrator\bin\Debug\v.csv" comma="1">
      <textFields>
        <textField/>
      </textFields>
    </textPr>
  </connection>
  <connection id="260" xr16:uid="{00000000-0015-0000-FFFF-FFFF03010000}" name="v7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1" xr16:uid="{00000000-0015-0000-FFFF-FFFF04010000}" name="v71" type="6" refreshedVersion="6" background="1" saveData="1">
    <textPr prompt="0" codePage="936" sourceFile="C:\Potentiostat\SquidstatCalibrator\bin\Debug\ch1\v.csv" comma="1">
      <textFields>
        <textField/>
      </textFields>
    </textPr>
  </connection>
  <connection id="262" xr16:uid="{00000000-0015-0000-FFFF-FFFF05010000}" name="v72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263" xr16:uid="{00000000-0015-0000-FFFF-FFFF06010000}" name="v73" type="6" refreshedVersion="6" background="1" saveData="1">
    <textPr prompt="0" codePage="936" sourceFile="C:\Potentiostat\SquidstatCalibrator\bin\Debug\ch4\v.csv" comma="1">
      <textFields>
        <textField/>
      </textFields>
    </textPr>
  </connection>
  <connection id="264" xr16:uid="{00000000-0015-0000-FFFF-FFFF07010000}" name="v74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5" xr16:uid="{00000000-0015-0000-FFFF-FFFF08010000}" name="v75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66" xr16:uid="{00000000-0015-0000-FFFF-FFFF09010000}" name="v76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67" xr16:uid="{00000000-0015-0000-FFFF-FFFF0A010000}" name="v77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68" xr16:uid="{00000000-0015-0000-FFFF-FFFF0B010000}" name="v78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69" xr16:uid="{00000000-0015-0000-FFFF-FFFF0C010000}" name="v79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70" xr16:uid="{00000000-0015-0000-FFFF-FFFF0D010000}" name="v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1" xr16:uid="{00000000-0015-0000-FFFF-FFFF0E010000}" name="v80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2" xr16:uid="{00000000-0015-0000-FFFF-FFFF0F010000}" name="v81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3" xr16:uid="{00000000-0015-0000-FFFF-FFFF10010000}" name="v82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74" xr16:uid="{00000000-0015-0000-FFFF-FFFF11010000}" name="v83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5" xr16:uid="{00000000-0015-0000-FFFF-FFFF12010000}" name="v84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76" xr16:uid="{00000000-0015-0000-FFFF-FFFF13010000}" name="v85" type="6" refreshedVersion="6" background="1" saveData="1">
    <textPr prompt="0" codePage="936" sourceFile="C:\Potentiostat\SquidstatCalibrator\bin\Debug\ss_1031_v1\ch4\v.csv" comma="1">
      <textFields>
        <textField/>
      </textFields>
    </textPr>
  </connection>
  <connection id="277" xr16:uid="{00000000-0015-0000-FFFF-FFFF14010000}" name="v86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8" xr16:uid="{00000000-0015-0000-FFFF-FFFF15010000}" name="v87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79" xr16:uid="{00000000-0015-0000-FFFF-FFFF16010000}" name="v88" type="6" refreshedVersion="6" background="1" saveData="1">
    <textPr prompt="0" codePage="936" sourceFile="C:\Potentiostat\SquidstatCalibrator\bin\Debug\v.csv" comma="1">
      <textFields>
        <textField/>
      </textFields>
    </textPr>
  </connection>
  <connection id="280" xr16:uid="{00000000-0015-0000-FFFF-FFFF17010000}" name="v9" type="6" refreshedVersion="6" background="1" saveData="1">
    <textPr prompt="0" codePage="936" sourceFile="C:\Users\mattc\GoogleDrive_ASU\SimpleSerial (1)\SimpleSerial\bin\Debug\v.csv" comma="1">
      <textFields>
        <textField/>
      </textFields>
    </textPr>
  </connection>
  <connection id="281" xr16:uid="{00000000-0015-0000-FFFF-FFFF18010000}" name="vA" type="6" refreshedVersion="6" background="1" saveData="1">
    <textPr prompt="0" codePage="936" sourceFile="C:\Potentiostat\SquidstatCalibrator\bin\Debug\vA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<sst xmlns="http://schemas.openxmlformats.org/spreadsheetml/2006/main" count="409" uniqueCount="190">
  <si>
    <t>COM6</t>
  </si>
  <si>
    <t>Meters</t>
  </si>
  <si>
    <t>keithley485</t>
  </si>
  <si>
    <t>hp34401a</t>
  </si>
  <si>
    <t>Squidstat Versions</t>
  </si>
  <si>
    <t>v1</t>
  </si>
  <si>
    <t>v2</t>
  </si>
  <si>
    <t>current</t>
  </si>
  <si>
    <t>voltage</t>
  </si>
  <si>
    <t>Available COM Ports</t>
  </si>
  <si>
    <t>COM4</t>
  </si>
  <si>
    <t>Squidstat</t>
  </si>
  <si>
    <t>Keithley485</t>
  </si>
  <si>
    <t>HP34401A</t>
  </si>
  <si>
    <t>Port</t>
  </si>
  <si>
    <t>Version</t>
  </si>
  <si>
    <t>Current 1</t>
  </si>
  <si>
    <t>Current 2</t>
  </si>
  <si>
    <t>Current 3</t>
  </si>
  <si>
    <t>Current 4</t>
  </si>
  <si>
    <t>Current 5</t>
  </si>
  <si>
    <t>Current 6</t>
  </si>
  <si>
    <t>Current 7</t>
  </si>
  <si>
    <t>#</t>
  </si>
  <si>
    <t>m_DACac</t>
  </si>
  <si>
    <t>m_DACdcP_V</t>
  </si>
  <si>
    <t>m_DACdcN_V</t>
  </si>
  <si>
    <t>b_DACdc_V</t>
  </si>
  <si>
    <t>m_DACdcP_I</t>
  </si>
  <si>
    <t>m_DACdcN_I</t>
  </si>
  <si>
    <t>b_DACdc_I</t>
  </si>
  <si>
    <t>Ref</t>
  </si>
  <si>
    <t>Ewe</t>
  </si>
  <si>
    <t>Ece</t>
  </si>
  <si>
    <t>m_refP</t>
  </si>
  <si>
    <t>m_refN</t>
  </si>
  <si>
    <t>b_ref</t>
  </si>
  <si>
    <t>m_eweP</t>
  </si>
  <si>
    <t>m_eweN</t>
  </si>
  <si>
    <t>b_ewe</t>
  </si>
  <si>
    <t>m_eceP</t>
  </si>
  <si>
    <t>m_eceN</t>
  </si>
  <si>
    <t>b_ece</t>
  </si>
  <si>
    <t>m_iP</t>
  </si>
  <si>
    <t>m_iN</t>
  </si>
  <si>
    <t>b_i</t>
  </si>
  <si>
    <t>Current 0</t>
  </si>
  <si>
    <t>Device</t>
  </si>
  <si>
    <t>ref</t>
  </si>
  <si>
    <t>ewe</t>
  </si>
  <si>
    <t>ece</t>
  </si>
  <si>
    <t>Measured</t>
  </si>
  <si>
    <t>Received</t>
  </si>
  <si>
    <t>Measured 0</t>
  </si>
  <si>
    <t>Measured 1</t>
  </si>
  <si>
    <t>Measured 2</t>
  </si>
  <si>
    <t>Measured 3</t>
  </si>
  <si>
    <t>Measured 4</t>
  </si>
  <si>
    <t>Measured 5</t>
  </si>
  <si>
    <t>Measured 6</t>
  </si>
  <si>
    <t>Measured 7</t>
  </si>
  <si>
    <t>COM3</t>
  </si>
  <si>
    <t>Measured Voltage</t>
  </si>
  <si>
    <t>Measured Current</t>
  </si>
  <si>
    <t>Channel</t>
  </si>
  <si>
    <t>calibrate</t>
  </si>
  <si>
    <t>Range</t>
  </si>
  <si>
    <t>COM1</t>
  </si>
  <si>
    <t>COM2</t>
  </si>
  <si>
    <t>COM5</t>
  </si>
  <si>
    <t>COM7</t>
  </si>
  <si>
    <t>COM8</t>
  </si>
  <si>
    <t>COM9</t>
  </si>
  <si>
    <t>COM10</t>
  </si>
  <si>
    <t>COM11</t>
  </si>
  <si>
    <t>COM12</t>
  </si>
  <si>
    <t>COM13</t>
  </si>
  <si>
    <t>COM14</t>
  </si>
  <si>
    <t>COM15</t>
  </si>
  <si>
    <t>COM16</t>
  </si>
  <si>
    <t>COM17</t>
  </si>
  <si>
    <t>COM18</t>
  </si>
  <si>
    <t>COM19</t>
  </si>
  <si>
    <t>COM20</t>
  </si>
  <si>
    <t>COM21</t>
  </si>
  <si>
    <t>COM22</t>
  </si>
  <si>
    <t>Channel (Binary) 0x0</t>
  </si>
  <si>
    <t>V Setpoint</t>
  </si>
  <si>
    <t>I Setpoint</t>
  </si>
  <si>
    <t>V1 I Setpoint</t>
  </si>
  <si>
    <t>m_iP[1]</t>
  </si>
  <si>
    <t>m_iP[2]</t>
  </si>
  <si>
    <t>m_iP[0]</t>
  </si>
  <si>
    <t>m_iP[3]</t>
  </si>
  <si>
    <t>m_iP[4]</t>
  </si>
  <si>
    <t>m_iP[5]</t>
  </si>
  <si>
    <t>m_iP[6]</t>
  </si>
  <si>
    <t>m_iP[7]</t>
  </si>
  <si>
    <t>m_iN[0]</t>
  </si>
  <si>
    <t>m_iN[1]</t>
  </si>
  <si>
    <t>m_iN[2]</t>
  </si>
  <si>
    <t>m_iN[3]</t>
  </si>
  <si>
    <t>m_iN[4]</t>
  </si>
  <si>
    <t>m_iN[5]</t>
  </si>
  <si>
    <t>m_iN[6]</t>
  </si>
  <si>
    <t>m_iN[7]</t>
  </si>
  <si>
    <t>b_i[0]</t>
  </si>
  <si>
    <t>b_i[1]</t>
  </si>
  <si>
    <t>b_i[2]</t>
  </si>
  <si>
    <t>b_i[3]</t>
  </si>
  <si>
    <t>b_i[4]</t>
  </si>
  <si>
    <t>b_i[5]</t>
  </si>
  <si>
    <t>b_i[6]</t>
  </si>
  <si>
    <t>b_i[7]</t>
  </si>
  <si>
    <t>m_DACdcP_I[0]</t>
  </si>
  <si>
    <t>m_DACdcP_I[1]</t>
  </si>
  <si>
    <t>m_DACdcP_I[2]</t>
  </si>
  <si>
    <t>m_DACdcP_I[3]</t>
  </si>
  <si>
    <t>m_DACdcP_I[4]</t>
  </si>
  <si>
    <t>m_DACdcP_I[5]</t>
  </si>
  <si>
    <t>m_DACdcP_I[6]</t>
  </si>
  <si>
    <t>m_DACdcP_I[7]</t>
  </si>
  <si>
    <t>m_DACdcN_I[0]</t>
  </si>
  <si>
    <t>m_DACdcN_I[1]</t>
  </si>
  <si>
    <t>m_DACdcN_I[2]</t>
  </si>
  <si>
    <t>m_DACdcN_I[3]</t>
  </si>
  <si>
    <t>m_DACdcN_I[4]</t>
  </si>
  <si>
    <t>m_DACdcN_I[5]</t>
  </si>
  <si>
    <t>m_DACdcN_I[6]</t>
  </si>
  <si>
    <t>m_DACdcN_I[7]</t>
  </si>
  <si>
    <t>b_DACdc_I[0]</t>
  </si>
  <si>
    <t>b_DACdc_I[1]</t>
  </si>
  <si>
    <t>b_DACdc_I[2]</t>
  </si>
  <si>
    <t>b_DACdc_I[3]</t>
  </si>
  <si>
    <t>b_DACdc_I[4]</t>
  </si>
  <si>
    <t>b_DACdc_I[5]</t>
  </si>
  <si>
    <t>b_DACdc_I[6]</t>
  </si>
  <si>
    <t>b_DACdc_I[7]</t>
  </si>
  <si>
    <t>Cal Labels</t>
  </si>
  <si>
    <t>Cmd</t>
  </si>
  <si>
    <t>SSC exe</t>
  </si>
  <si>
    <t>SquidstatCalibrator.exe</t>
  </si>
  <si>
    <t>f</t>
  </si>
  <si>
    <t>binary!</t>
  </si>
  <si>
    <t>COM23</t>
  </si>
  <si>
    <t>COM24</t>
  </si>
  <si>
    <t>COM25</t>
  </si>
  <si>
    <t>COM26</t>
  </si>
  <si>
    <t>COM27</t>
  </si>
  <si>
    <t>COM28</t>
  </si>
  <si>
    <t>COM29</t>
  </si>
  <si>
    <t>COM30</t>
  </si>
  <si>
    <t>err ewe (mV)</t>
  </si>
  <si>
    <t>err ece (mV)</t>
  </si>
  <si>
    <t>Ewe (V)</t>
  </si>
  <si>
    <t>% Err</t>
  </si>
  <si>
    <t>int16 extrema</t>
  </si>
  <si>
    <t>v1 ranges</t>
  </si>
  <si>
    <t>v2 ranges</t>
  </si>
  <si>
    <t>this v ranges</t>
  </si>
  <si>
    <t>C0 (mA)</t>
  </si>
  <si>
    <t>C0 % Err</t>
  </si>
  <si>
    <t>C0 Abs Err (mA)</t>
  </si>
  <si>
    <t>Hardware Model Number</t>
  </si>
  <si>
    <t>PRIME</t>
  </si>
  <si>
    <t>Serial Number</t>
  </si>
  <si>
    <t>Demo A</t>
  </si>
  <si>
    <t>General Text</t>
  </si>
  <si>
    <t>Analog channel 2017_05_05
Control board 2017_05_24
Power supply 2017_05_08
Initial firmware retrofit_firmware 2017-10-31</t>
  </si>
  <si>
    <t>Abs Err (V)</t>
  </si>
  <si>
    <t>Ece (V)</t>
  </si>
  <si>
    <t>C1 (mA)</t>
  </si>
  <si>
    <t>C2 (mA)</t>
  </si>
  <si>
    <t>C3 (mA)</t>
  </si>
  <si>
    <t>Rsp</t>
  </si>
  <si>
    <t>C4 (mA)</t>
  </si>
  <si>
    <t>C4 Abs Err (mA)</t>
  </si>
  <si>
    <t>C4 % Err</t>
  </si>
  <si>
    <t>C5 (mA)</t>
  </si>
  <si>
    <t>C5 Abs Err (mA)</t>
  </si>
  <si>
    <t>C5 % Err</t>
  </si>
  <si>
    <t>C6 (mA)</t>
  </si>
  <si>
    <t>C6 Abs Err (mA)</t>
  </si>
  <si>
    <t>C6 % Err</t>
  </si>
  <si>
    <t>C7 (mA)</t>
  </si>
  <si>
    <t>C7 Abs Err (mA)</t>
  </si>
  <si>
    <t>C7 % Err</t>
  </si>
  <si>
    <t>Cmd SAVE</t>
  </si>
  <si>
    <t>Cmd SEND</t>
  </si>
  <si>
    <t>quality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</si>
</sst>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%"/>
    <numFmt numFmtId="165" formatCode="0.00000"/>
    <numFmt numFmtId="166" formatCode="0.0000"/>
    <numFmt numFmtId="167" formatCode="0.0000000"/>
    <numFmt numFmtId="168" formatCode="0.0000%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/>
      <name val="Calibri"/>
      <family val="2"/>
      <scheme val="minor"/>
    </font>
    <font>
      <b/>
      <sz val="11"/>
      <color theme="6"/>
      <name val="Calibri"/>
      <family val="2"/>
      <scheme val="minor"/>
    </font>
    <font>
      <sz val="11"/>
      <color theme="6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27">
    <xf numFmtId="0" fontId="0" fillId="0" borderId="0" xfId="0"/>
    <xf numFmtId="0" fontId="1" fillId="0" borderId="0" xfId="0" applyFont="1"/>
    <xf numFmtId="0" fontId="0" fillId="6" borderId="0" xfId="0" applyFill="1"/>
    <xf numFmtId="0" fontId="1" fillId="6" borderId="0" xfId="0" applyFont="1" applyFill="1"/>
    <xf numFmtId="0" fontId="0" fillId="3" borderId="0" xfId="0" applyFill="1"/>
    <xf numFmtId="0" fontId="5" fillId="3" borderId="0" xfId="0" applyFont="1" applyFill="1"/>
    <xf numFmtId="0" fontId="6" fillId="2" borderId="5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right"/>
    </xf>
    <xf numFmtId="0" fontId="6" fillId="6" borderId="1" xfId="0" applyFont="1" applyFill="1" applyBorder="1" applyAlignment="1">
      <alignment horizontal="right"/>
    </xf>
    <xf numFmtId="0" fontId="6" fillId="5" borderId="1" xfId="0" applyFont="1" applyFill="1" applyBorder="1" applyAlignment="1">
      <alignment horizontal="right"/>
    </xf>
    <xf numFmtId="0" fontId="6" fillId="0" borderId="1" xfId="0" applyFont="1" applyBorder="1" applyAlignment="1">
      <alignment horizontal="right"/>
    </xf>
    <xf numFmtId="0" fontId="7" fillId="2" borderId="4" xfId="0" applyFont="1" applyFill="1" applyBorder="1"/>
    <xf numFmtId="0" fontId="7" fillId="4" borderId="0" xfId="0" applyFont="1" applyFill="1"/>
    <xf numFmtId="0" fontId="7" fillId="6" borderId="0" xfId="0" applyFont="1" applyFill="1"/>
    <xf numFmtId="0" fontId="7" fillId="5" borderId="0" xfId="0" applyFont="1" applyFill="1"/>
    <xf numFmtId="11" fontId="7" fillId="5" borderId="0" xfId="0" applyNumberFormat="1" applyFont="1" applyFill="1"/>
    <xf numFmtId="0" fontId="7" fillId="0" borderId="0" xfId="0" applyFont="1"/>
    <xf numFmtId="0" fontId="7" fillId="2" borderId="7" xfId="0" applyFont="1" applyFill="1" applyBorder="1"/>
    <xf numFmtId="0" fontId="7" fillId="4" borderId="3" xfId="0" applyFont="1" applyFill="1" applyBorder="1"/>
    <xf numFmtId="0" fontId="7" fillId="6" borderId="3" xfId="0" applyFont="1" applyFill="1" applyBorder="1"/>
    <xf numFmtId="0" fontId="7" fillId="5" borderId="3" xfId="0" applyFont="1" applyFill="1" applyBorder="1"/>
    <xf numFmtId="0" fontId="7" fillId="0" borderId="3" xfId="0" applyFont="1" applyBorder="1"/>
    <xf numFmtId="0" fontId="7" fillId="2" borderId="6" xfId="0" applyFont="1" applyFill="1" applyBorder="1"/>
    <xf numFmtId="0" fontId="7" fillId="4" borderId="2" xfId="0" applyFont="1" applyFill="1" applyBorder="1"/>
    <xf numFmtId="0" fontId="7" fillId="6" borderId="2" xfId="0" applyFont="1" applyFill="1" applyBorder="1"/>
    <xf numFmtId="0" fontId="7" fillId="5" borderId="2" xfId="0" applyFont="1" applyFill="1" applyBorder="1"/>
    <xf numFmtId="0" fontId="7" fillId="0" borderId="2" xfId="0" applyFont="1" applyBorder="1"/>
    <xf numFmtId="0" fontId="7" fillId="4" borderId="0" xfId="0" applyFont="1" applyFill="1" applyBorder="1"/>
    <xf numFmtId="0" fontId="7" fillId="6" borderId="0" xfId="0" applyFont="1" applyFill="1" applyBorder="1"/>
    <xf numFmtId="0" fontId="7" fillId="5" borderId="0" xfId="0" applyFont="1" applyFill="1" applyBorder="1"/>
    <xf numFmtId="0" fontId="7" fillId="0" borderId="0" xfId="0" applyFont="1" applyBorder="1"/>
    <xf numFmtId="0" fontId="6" fillId="2" borderId="6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right"/>
    </xf>
    <xf numFmtId="0" fontId="6" fillId="6" borderId="2" xfId="0" applyFont="1" applyFill="1" applyBorder="1" applyAlignment="1">
      <alignment horizontal="right"/>
    </xf>
    <xf numFmtId="0" fontId="6" fillId="5" borderId="2" xfId="0" applyFont="1" applyFill="1" applyBorder="1" applyAlignment="1">
      <alignment horizontal="right"/>
    </xf>
    <xf numFmtId="0" fontId="6" fillId="0" borderId="2" xfId="0" applyFont="1" applyBorder="1" applyAlignment="1">
      <alignment horizontal="right"/>
    </xf>
    <xf numFmtId="0" fontId="7" fillId="2" borderId="6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7" fillId="6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6" fillId="6" borderId="0" xfId="0" applyFont="1" applyFill="1"/>
    <xf numFmtId="0" fontId="6" fillId="5" borderId="0" xfId="0" applyFont="1" applyFill="1"/>
    <xf numFmtId="11" fontId="0" fillId="6" borderId="0" xfId="0" applyNumberFormat="1" applyFill="1"/>
    <xf numFmtId="0" fontId="5" fillId="6" borderId="0" xfId="0" applyFont="1" applyFill="1"/>
    <xf numFmtId="0" fontId="4" fillId="6" borderId="0" xfId="0" applyFont="1" applyFill="1"/>
    <xf numFmtId="11" fontId="5" fillId="6" borderId="0" xfId="0" applyNumberFormat="1" applyFont="1" applyFill="1"/>
    <xf numFmtId="0" fontId="2" fillId="6" borderId="0" xfId="0" applyFont="1" applyFill="1"/>
    <xf numFmtId="0" fontId="0" fillId="6" borderId="0" xfId="0" applyFont="1" applyFill="1"/>
    <xf numFmtId="0" fontId="2" fillId="6" borderId="0" xfId="0" applyFont="1" applyFill="1" applyAlignment="1">
      <alignment horizontal="left"/>
    </xf>
    <xf numFmtId="0" fontId="2" fillId="3" borderId="0" xfId="0" applyFont="1" applyFill="1" applyAlignment="1">
      <alignment horizontal="left"/>
    </xf>
    <xf numFmtId="0" fontId="2" fillId="3" borderId="0" xfId="0" applyFont="1" applyFill="1"/>
    <xf numFmtId="0" fontId="7" fillId="2" borderId="0" xfId="0" applyFont="1" applyFill="1" applyBorder="1"/>
    <xf numFmtId="0" fontId="6" fillId="2" borderId="2" xfId="0" applyFont="1" applyFill="1" applyBorder="1" applyAlignment="1">
      <alignment horizontal="right"/>
    </xf>
    <xf numFmtId="0" fontId="7" fillId="2" borderId="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right"/>
    </xf>
    <xf numFmtId="0" fontId="2" fillId="2" borderId="4" xfId="0" applyFont="1" applyFill="1" applyBorder="1"/>
    <xf numFmtId="0" fontId="2" fillId="2" borderId="7" xfId="0" applyFont="1" applyFill="1" applyBorder="1"/>
    <xf numFmtId="0" fontId="2" fillId="2" borderId="6" xfId="0" applyFont="1" applyFill="1" applyBorder="1"/>
    <xf numFmtId="11" fontId="7" fillId="6" borderId="0" xfId="0" applyNumberFormat="1" applyFont="1" applyFill="1"/>
    <xf numFmtId="11" fontId="0" fillId="0" borderId="0" xfId="0" applyNumberFormat="1"/>
    <xf numFmtId="0" fontId="0" fillId="3" borderId="8" xfId="0" applyFill="1" applyBorder="1"/>
    <xf numFmtId="0" fontId="1" fillId="6" borderId="0" xfId="0" applyFont="1" applyFill="1" applyAlignment="1">
      <alignment vertical="top"/>
    </xf>
    <xf numFmtId="0" fontId="0" fillId="3" borderId="8" xfId="0" applyFill="1" applyBorder="1" applyAlignment="1">
      <alignment vertical="top" wrapText="1"/>
    </xf>
    <xf numFmtId="0" fontId="11" fillId="4" borderId="1" xfId="0" applyFont="1" applyFill="1" applyBorder="1" applyAlignment="1">
      <alignment horizontal="right"/>
    </xf>
    <xf numFmtId="0" fontId="12" fillId="4" borderId="0" xfId="0" applyFont="1" applyFill="1" applyBorder="1"/>
    <xf numFmtId="0" fontId="11" fillId="4" borderId="2" xfId="0" applyFont="1" applyFill="1" applyBorder="1" applyAlignment="1">
      <alignment horizontal="right"/>
    </xf>
    <xf numFmtId="0" fontId="11" fillId="4" borderId="2" xfId="0" applyFont="1" applyFill="1" applyBorder="1" applyAlignment="1">
      <alignment horizontal="center"/>
    </xf>
    <xf numFmtId="0" fontId="12" fillId="4" borderId="0" xfId="0" applyFont="1" applyFill="1"/>
    <xf numFmtId="0" fontId="10" fillId="6" borderId="0" xfId="0" applyFont="1" applyFill="1"/>
    <xf numFmtId="11" fontId="10" fillId="6" borderId="0" xfId="0" applyNumberFormat="1" applyFont="1" applyFill="1"/>
    <xf numFmtId="0" fontId="11" fillId="6" borderId="1" xfId="0" applyFont="1" applyFill="1" applyBorder="1" applyAlignment="1">
      <alignment horizontal="right"/>
    </xf>
    <xf numFmtId="0" fontId="12" fillId="6" borderId="0" xfId="0" applyFont="1" applyFill="1" applyBorder="1"/>
    <xf numFmtId="0" fontId="11" fillId="6" borderId="2" xfId="0" applyFont="1" applyFill="1" applyBorder="1" applyAlignment="1">
      <alignment horizontal="right"/>
    </xf>
    <xf numFmtId="0" fontId="11" fillId="6" borderId="2" xfId="0" applyFont="1" applyFill="1" applyBorder="1" applyAlignment="1">
      <alignment horizontal="center"/>
    </xf>
    <xf numFmtId="0" fontId="12" fillId="6" borderId="0" xfId="0" applyFont="1" applyFill="1"/>
    <xf numFmtId="0" fontId="11" fillId="6" borderId="0" xfId="0" applyFont="1" applyFill="1"/>
    <xf numFmtId="165" fontId="12" fillId="4" borderId="0" xfId="0" applyNumberFormat="1" applyFont="1" applyFill="1"/>
    <xf numFmtId="165" fontId="12" fillId="4" borderId="3" xfId="0" applyNumberFormat="1" applyFont="1" applyFill="1" applyBorder="1"/>
    <xf numFmtId="165" fontId="12" fillId="4" borderId="2" xfId="0" applyNumberFormat="1" applyFont="1" applyFill="1" applyBorder="1"/>
    <xf numFmtId="166" fontId="12" fillId="4" borderId="0" xfId="0" applyNumberFormat="1" applyFont="1" applyFill="1"/>
    <xf numFmtId="166" fontId="12" fillId="4" borderId="3" xfId="0" applyNumberFormat="1" applyFont="1" applyFill="1" applyBorder="1"/>
    <xf numFmtId="166" fontId="12" fillId="4" borderId="2" xfId="0" applyNumberFormat="1" applyFont="1" applyFill="1" applyBorder="1"/>
    <xf numFmtId="10" fontId="12" fillId="4" borderId="0" xfId="1" applyNumberFormat="1" applyFont="1" applyFill="1"/>
    <xf numFmtId="10" fontId="12" fillId="4" borderId="3" xfId="1" applyNumberFormat="1" applyFont="1" applyFill="1" applyBorder="1"/>
    <xf numFmtId="10" fontId="12" fillId="4" borderId="2" xfId="1" applyNumberFormat="1" applyFont="1" applyFill="1" applyBorder="1"/>
    <xf numFmtId="10" fontId="12" fillId="6" borderId="0" xfId="1" applyNumberFormat="1" applyFont="1" applyFill="1"/>
    <xf numFmtId="10" fontId="12" fillId="6" borderId="3" xfId="1" applyNumberFormat="1" applyFont="1" applyFill="1" applyBorder="1"/>
    <xf numFmtId="10" fontId="12" fillId="6" borderId="2" xfId="1" applyNumberFormat="1" applyFont="1" applyFill="1" applyBorder="1"/>
    <xf numFmtId="166" fontId="12" fillId="6" borderId="0" xfId="0" applyNumberFormat="1" applyFont="1" applyFill="1"/>
    <xf numFmtId="166" fontId="12" fillId="6" borderId="3" xfId="0" applyNumberFormat="1" applyFont="1" applyFill="1" applyBorder="1"/>
    <xf numFmtId="166" fontId="12" fillId="6" borderId="2" xfId="0" applyNumberFormat="1" applyFont="1" applyFill="1" applyBorder="1"/>
    <xf numFmtId="0" fontId="7" fillId="4" borderId="2" xfId="0" applyFont="1" applyFill="1" applyBorder="1" applyAlignment="1">
      <alignment horizontal="center"/>
    </xf>
    <xf numFmtId="0" fontId="0" fillId="4" borderId="0" xfId="0" applyFill="1"/>
    <xf numFmtId="0" fontId="12" fillId="6" borderId="3" xfId="0" applyFont="1" applyFill="1" applyBorder="1"/>
    <xf numFmtId="0" fontId="12" fillId="6" borderId="2" xfId="0" applyFont="1" applyFill="1" applyBorder="1"/>
    <xf numFmtId="11" fontId="0" fillId="0" borderId="0" xfId="0" applyNumberFormat="1" applyFont="1"/>
    <xf numFmtId="0" fontId="11" fillId="5" borderId="1" xfId="0" applyFont="1" applyFill="1" applyBorder="1" applyAlignment="1">
      <alignment horizontal="right"/>
    </xf>
    <xf numFmtId="0" fontId="12" fillId="5" borderId="0" xfId="0" applyFont="1" applyFill="1"/>
    <xf numFmtId="0" fontId="12" fillId="5" borderId="3" xfId="0" applyFont="1" applyFill="1" applyBorder="1"/>
    <xf numFmtId="0" fontId="12" fillId="5" borderId="2" xfId="0" applyFont="1" applyFill="1" applyBorder="1"/>
    <xf numFmtId="0" fontId="12" fillId="5" borderId="0" xfId="0" applyFont="1" applyFill="1" applyBorder="1"/>
    <xf numFmtId="0" fontId="11" fillId="5" borderId="2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center"/>
    </xf>
    <xf numFmtId="0" fontId="11" fillId="5" borderId="0" xfId="0" applyFont="1" applyFill="1"/>
    <xf numFmtId="166" fontId="12" fillId="5" borderId="0" xfId="0" applyNumberFormat="1" applyFont="1" applyFill="1"/>
    <xf numFmtId="166" fontId="12" fillId="5" borderId="3" xfId="0" applyNumberFormat="1" applyFont="1" applyFill="1" applyBorder="1"/>
    <xf numFmtId="166" fontId="12" fillId="5" borderId="2" xfId="0" applyNumberFormat="1" applyFont="1" applyFill="1" applyBorder="1"/>
    <xf numFmtId="0" fontId="0" fillId="3" borderId="0" xfId="0" applyFont="1" applyFill="1"/>
    <xf numFmtId="0" fontId="1" fillId="4" borderId="2" xfId="0" applyFont="1" applyFill="1" applyBorder="1" applyAlignment="1">
      <alignment horizontal="center"/>
    </xf>
    <xf numFmtId="167" fontId="12" fillId="4" borderId="0" xfId="0" applyNumberFormat="1" applyFont="1" applyFill="1"/>
    <xf numFmtId="167" fontId="12" fillId="4" borderId="3" xfId="0" applyNumberFormat="1" applyFont="1" applyFill="1" applyBorder="1"/>
    <xf numFmtId="167" fontId="12" fillId="4" borderId="2" xfId="0" applyNumberFormat="1" applyFont="1" applyFill="1" applyBorder="1"/>
    <xf numFmtId="168" fontId="12" fillId="6" borderId="0" xfId="1" applyNumberFormat="1" applyFont="1" applyFill="1"/>
    <xf numFmtId="168" fontId="12" fillId="6" borderId="3" xfId="1" applyNumberFormat="1" applyFont="1" applyFill="1" applyBorder="1"/>
    <xf numFmtId="168" fontId="12" fillId="6" borderId="2" xfId="1" applyNumberFormat="1" applyFont="1" applyFill="1" applyBorder="1"/>
    <xf numFmtId="164" fontId="12" fillId="5" borderId="0" xfId="1" applyNumberFormat="1" applyFont="1" applyFill="1"/>
    <xf numFmtId="164" fontId="12" fillId="5" borderId="3" xfId="1" applyNumberFormat="1" applyFont="1" applyFill="1" applyBorder="1"/>
    <xf numFmtId="164" fontId="12" fillId="5" borderId="2" xfId="1" applyNumberFormat="1" applyFont="1" applyFill="1" applyBorder="1"/>
    <xf numFmtId="0" fontId="0" fillId="7" borderId="0" xfId="0" applyFill="1"/>
    <xf numFmtId="164" fontId="12" fillId="6" borderId="0" xfId="1" applyNumberFormat="1" applyFont="1" applyFill="1"/>
    <xf numFmtId="164" fontId="12" fillId="6" borderId="3" xfId="1" applyNumberFormat="1" applyFont="1" applyFill="1" applyBorder="1"/>
    <xf numFmtId="164" fontId="12" fillId="6" borderId="2" xfId="1" applyNumberFormat="1" applyFont="1" applyFill="1" applyBorder="1"/>
    <xf numFmtId="0" fontId="12" fillId="5" borderId="2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AF3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Data!$D$2:$D$12</c:f>
              <c:numCache>
                <c:formatCode>General</c:formatCode>
                <c:ptCount val="11"/>
                <c:pt idx="0">
                  <c:v>-8.9890843</c:v>
                </c:pt>
                <c:pt idx="1">
                  <c:v>-7.9895936000000001</c:v>
                </c:pt>
                <c:pt idx="2">
                  <c:v>-6.9902639999999998</c:v>
                </c:pt>
                <c:pt idx="3">
                  <c:v>-5.9910588999999996</c:v>
                </c:pt>
                <c:pt idx="4">
                  <c:v>-4.9918193000000004</c:v>
                </c:pt>
                <c:pt idx="5">
                  <c:v>-3.9918192000000001</c:v>
                </c:pt>
                <c:pt idx="6">
                  <c:v>-2.9916529000000001</c:v>
                </c:pt>
                <c:pt idx="7">
                  <c:v>-1.9915749</c:v>
                </c:pt>
                <c:pt idx="8">
                  <c:v>-0.99213311000000004</c:v>
                </c:pt>
                <c:pt idx="9">
                  <c:v>-0.45055634999999999</c:v>
                </c:pt>
                <c:pt idx="10">
                  <c:v>7.0045810000000002E-3</c:v>
                </c:pt>
              </c:numCache>
            </c:numRef>
          </c:xVal>
          <c:yVal>
            <c:numRef>
              <c:f>Data!$C$2:$C$12</c:f>
              <c:numCache>
                <c:formatCode>General</c:formatCode>
                <c:ptCount val="11"/>
                <c:pt idx="0">
                  <c:v>-29475</c:v>
                </c:pt>
                <c:pt idx="1">
                  <c:v>-26200</c:v>
                </c:pt>
                <c:pt idx="2">
                  <c:v>-22925</c:v>
                </c:pt>
                <c:pt idx="3">
                  <c:v>-19650</c:v>
                </c:pt>
                <c:pt idx="4">
                  <c:v>-16375</c:v>
                </c:pt>
                <c:pt idx="5">
                  <c:v>-13100</c:v>
                </c:pt>
                <c:pt idx="6">
                  <c:v>-9825</c:v>
                </c:pt>
                <c:pt idx="7">
                  <c:v>-6550</c:v>
                </c:pt>
                <c:pt idx="8">
                  <c:v>-3275</c:v>
                </c:pt>
                <c:pt idx="9">
                  <c:v>-1500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D1-4F62-BBBE-CBD5E3475F96}"/>
            </c:ext>
          </c:extLst>
        </c:ser>
        <c:ser>
          <c:idx val="1"/>
          <c:order val="1"/>
          <c:tx>
            <c:v>DACdcP_V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0267608425377031"/>
                  <c:y val="1.275788018660676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Data!$D$12:$D$22</c:f>
              <c:numCache>
                <c:formatCode>General</c:formatCode>
                <c:ptCount val="11"/>
                <c:pt idx="0">
                  <c:v>7.0045810000000002E-3</c:v>
                </c:pt>
                <c:pt idx="1">
                  <c:v>0.46487732999999998</c:v>
                </c:pt>
                <c:pt idx="2">
                  <c:v>1.0063853</c:v>
                </c:pt>
                <c:pt idx="3">
                  <c:v>2.0061460000000002</c:v>
                </c:pt>
                <c:pt idx="4">
                  <c:v>3.0062281999999998</c:v>
                </c:pt>
                <c:pt idx="5">
                  <c:v>4.0057304</c:v>
                </c:pt>
                <c:pt idx="6">
                  <c:v>5.0051576000000004</c:v>
                </c:pt>
                <c:pt idx="7">
                  <c:v>6.0045596999999997</c:v>
                </c:pt>
                <c:pt idx="8">
                  <c:v>7.0037216999999998</c:v>
                </c:pt>
                <c:pt idx="9">
                  <c:v>8.0028170999999997</c:v>
                </c:pt>
                <c:pt idx="10">
                  <c:v>9.0022085999999994</c:v>
                </c:pt>
              </c:numCache>
            </c:numRef>
          </c:xVal>
          <c:yVal>
            <c:numRef>
              <c:f>Data!$C$12:$C$22</c:f>
              <c:numCache>
                <c:formatCode>General</c:formatCode>
                <c:ptCount val="11"/>
                <c:pt idx="0">
                  <c:v>0</c:v>
                </c:pt>
                <c:pt idx="1">
                  <c:v>1500</c:v>
                </c:pt>
                <c:pt idx="2">
                  <c:v>3275</c:v>
                </c:pt>
                <c:pt idx="3">
                  <c:v>6550</c:v>
                </c:pt>
                <c:pt idx="4">
                  <c:v>9825</c:v>
                </c:pt>
                <c:pt idx="5">
                  <c:v>13100</c:v>
                </c:pt>
                <c:pt idx="6">
                  <c:v>16375</c:v>
                </c:pt>
                <c:pt idx="7">
                  <c:v>19650</c:v>
                </c:pt>
                <c:pt idx="8">
                  <c:v>22925</c:v>
                </c:pt>
                <c:pt idx="9">
                  <c:v>26200</c:v>
                </c:pt>
                <c:pt idx="10">
                  <c:v>29475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D1-4F62-BBBE-CBD5E3475F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refN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Data!$E$2:$E$12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-8.9890843</c:v>
                </c:pt>
                <c:pt idx="1">
                  <c:v>-7.9895936000000001</c:v>
                </c:pt>
                <c:pt idx="2">
                  <c:v>-6.9902639999999998</c:v>
                </c:pt>
                <c:pt idx="3">
                  <c:v>-5.9910588999999996</c:v>
                </c:pt>
                <c:pt idx="4">
                  <c:v>-4.9918193000000004</c:v>
                </c:pt>
                <c:pt idx="5">
                  <c:v>-3.9918192000000001</c:v>
                </c:pt>
                <c:pt idx="6">
                  <c:v>-2.9916529000000001</c:v>
                </c:pt>
                <c:pt idx="7">
                  <c:v>-1.9915749</c:v>
                </c:pt>
                <c:pt idx="8">
                  <c:v>-0.99213311000000004</c:v>
                </c:pt>
                <c:pt idx="9">
                  <c:v>-0.45055634999999999</c:v>
                </c:pt>
                <c:pt idx="10">
                  <c:v>7.0045810000000002E-3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E-40EB-8231-5214EEC018B5}"/>
            </c:ext>
          </c:extLst>
        </c:ser>
        <c:ser>
          <c:idx val="1"/>
          <c:order val="1"/>
          <c:tx>
            <c:v>refp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Data!$E$12:$E$22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7.0045810000000002E-3</c:v>
                </c:pt>
                <c:pt idx="1">
                  <c:v>0.46487732999999998</c:v>
                </c:pt>
                <c:pt idx="2">
                  <c:v>1.0063853</c:v>
                </c:pt>
                <c:pt idx="3">
                  <c:v>2.0061460000000002</c:v>
                </c:pt>
                <c:pt idx="4">
                  <c:v>3.0062281999999998</c:v>
                </c:pt>
                <c:pt idx="5">
                  <c:v>4.0057304</c:v>
                </c:pt>
                <c:pt idx="6">
                  <c:v>5.0051576000000004</c:v>
                </c:pt>
                <c:pt idx="7">
                  <c:v>6.0045596999999997</c:v>
                </c:pt>
                <c:pt idx="8">
                  <c:v>7.0037216999999998</c:v>
                </c:pt>
                <c:pt idx="9">
                  <c:v>8.0028170999999997</c:v>
                </c:pt>
                <c:pt idx="10">
                  <c:v>9.0022085999999994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E-40EB-8231-5214EEC0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ref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</a:t>
                </a:r>
                <a:r>
                  <a:rPr lang="en-US" b="1" baseline="0"/>
                  <a:t> Voltage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ewe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eweN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38240722492926044"/>
                  <c:y val="0.1894270974748845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Data!$G$2:$G$12</c:f>
              <c:numCache>
                <c:formatCode>General</c:formatCode>
                <c:ptCount val="11"/>
                <c:pt idx="0">
                  <c:v>-29516</c:v>
                </c:pt>
                <c:pt idx="1">
                  <c:v>-26235</c:v>
                </c:pt>
                <c:pt idx="2">
                  <c:v>-22954</c:v>
                </c:pt>
                <c:pt idx="3">
                  <c:v>-19674</c:v>
                </c:pt>
                <c:pt idx="4">
                  <c:v>-16394</c:v>
                </c:pt>
                <c:pt idx="5">
                  <c:v>-13111</c:v>
                </c:pt>
                <c:pt idx="6">
                  <c:v>-9828</c:v>
                </c:pt>
                <c:pt idx="7">
                  <c:v>-6545</c:v>
                </c:pt>
                <c:pt idx="8">
                  <c:v>-3264</c:v>
                </c:pt>
                <c:pt idx="9">
                  <c:v>-1486</c:v>
                </c:pt>
                <c:pt idx="10">
                  <c:v>15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-8.9890843</c:v>
                </c:pt>
                <c:pt idx="1">
                  <c:v>-7.9895936000000001</c:v>
                </c:pt>
                <c:pt idx="2">
                  <c:v>-6.9902639999999998</c:v>
                </c:pt>
                <c:pt idx="3">
                  <c:v>-5.9910588999999996</c:v>
                </c:pt>
                <c:pt idx="4">
                  <c:v>-4.9918193000000004</c:v>
                </c:pt>
                <c:pt idx="5">
                  <c:v>-3.9918192000000001</c:v>
                </c:pt>
                <c:pt idx="6">
                  <c:v>-2.9916529000000001</c:v>
                </c:pt>
                <c:pt idx="7">
                  <c:v>-1.9915749</c:v>
                </c:pt>
                <c:pt idx="8">
                  <c:v>-0.99213311000000004</c:v>
                </c:pt>
                <c:pt idx="9">
                  <c:v>-0.45055634999999999</c:v>
                </c:pt>
                <c:pt idx="10">
                  <c:v>7.0045810000000002E-3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47-4A0C-A1D7-6B0749541F6D}"/>
            </c:ext>
          </c:extLst>
        </c:ser>
        <c:ser>
          <c:idx val="1"/>
          <c:order val="1"/>
          <c:tx>
            <c:v>eweP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194337217606695"/>
                  <c:y val="-1.70409086795185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Data!$G$12:$G$22</c:f>
              <c:numCache>
                <c:formatCode>General</c:formatCode>
                <c:ptCount val="11"/>
                <c:pt idx="0">
                  <c:v>15</c:v>
                </c:pt>
                <c:pt idx="1">
                  <c:v>1519</c:v>
                </c:pt>
                <c:pt idx="2">
                  <c:v>3297</c:v>
                </c:pt>
                <c:pt idx="3">
                  <c:v>6579</c:v>
                </c:pt>
                <c:pt idx="4">
                  <c:v>9862</c:v>
                </c:pt>
                <c:pt idx="5">
                  <c:v>13142</c:v>
                </c:pt>
                <c:pt idx="6">
                  <c:v>16424</c:v>
                </c:pt>
                <c:pt idx="7">
                  <c:v>19704</c:v>
                </c:pt>
                <c:pt idx="8">
                  <c:v>22984</c:v>
                </c:pt>
                <c:pt idx="9">
                  <c:v>26264</c:v>
                </c:pt>
                <c:pt idx="10">
                  <c:v>29544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7.0045810000000002E-3</c:v>
                </c:pt>
                <c:pt idx="1">
                  <c:v>0.46487732999999998</c:v>
                </c:pt>
                <c:pt idx="2">
                  <c:v>1.0063853</c:v>
                </c:pt>
                <c:pt idx="3">
                  <c:v>2.0061460000000002</c:v>
                </c:pt>
                <c:pt idx="4">
                  <c:v>3.0062281999999998</c:v>
                </c:pt>
                <c:pt idx="5">
                  <c:v>4.0057304</c:v>
                </c:pt>
                <c:pt idx="6">
                  <c:v>5.0051576000000004</c:v>
                </c:pt>
                <c:pt idx="7">
                  <c:v>6.0045596999999997</c:v>
                </c:pt>
                <c:pt idx="8">
                  <c:v>7.0037216999999998</c:v>
                </c:pt>
                <c:pt idx="9">
                  <c:v>8.0028170999999997</c:v>
                </c:pt>
                <c:pt idx="10">
                  <c:v>9.0022085999999994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E47-4A0C-A1D7-6B0749541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ewe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eceN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Data!$K$2:$K$12</c:f>
              <c:numCache>
                <c:formatCode>General</c:formatCode>
                <c:ptCount val="11"/>
                <c:pt idx="0">
                  <c:v>-29514</c:v>
                </c:pt>
                <c:pt idx="1">
                  <c:v>-26232</c:v>
                </c:pt>
                <c:pt idx="2">
                  <c:v>-22952</c:v>
                </c:pt>
                <c:pt idx="3">
                  <c:v>-19671</c:v>
                </c:pt>
                <c:pt idx="4">
                  <c:v>-16391</c:v>
                </c:pt>
                <c:pt idx="5">
                  <c:v>-13107</c:v>
                </c:pt>
                <c:pt idx="6">
                  <c:v>-9823</c:v>
                </c:pt>
                <c:pt idx="7">
                  <c:v>-6540</c:v>
                </c:pt>
                <c:pt idx="8">
                  <c:v>-3259</c:v>
                </c:pt>
                <c:pt idx="9">
                  <c:v>-1481</c:v>
                </c:pt>
                <c:pt idx="10">
                  <c:v>20</c:v>
                </c:pt>
              </c:numCache>
            </c:numRef>
          </c:xVal>
          <c:yVal>
            <c:numRef>
              <c:f>Data!$D$2:$D$12</c:f>
              <c:numCache>
                <c:formatCode>General</c:formatCode>
                <c:ptCount val="11"/>
                <c:pt idx="0">
                  <c:v>-8.9890843</c:v>
                </c:pt>
                <c:pt idx="1">
                  <c:v>-7.9895936000000001</c:v>
                </c:pt>
                <c:pt idx="2">
                  <c:v>-6.9902639999999998</c:v>
                </c:pt>
                <c:pt idx="3">
                  <c:v>-5.9910588999999996</c:v>
                </c:pt>
                <c:pt idx="4">
                  <c:v>-4.9918193000000004</c:v>
                </c:pt>
                <c:pt idx="5">
                  <c:v>-3.9918192000000001</c:v>
                </c:pt>
                <c:pt idx="6">
                  <c:v>-2.9916529000000001</c:v>
                </c:pt>
                <c:pt idx="7">
                  <c:v>-1.9915749</c:v>
                </c:pt>
                <c:pt idx="8">
                  <c:v>-0.99213311000000004</c:v>
                </c:pt>
                <c:pt idx="9">
                  <c:v>-0.45055634999999999</c:v>
                </c:pt>
                <c:pt idx="10">
                  <c:v>7.0045810000000002E-3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B6-4CED-8930-546742CE4DD9}"/>
            </c:ext>
          </c:extLst>
        </c:ser>
        <c:ser>
          <c:idx val="1"/>
          <c:order val="1"/>
          <c:tx>
            <c:v>eceP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5761052110479072"/>
                  <c:y val="6.36016247248632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Data!$K$12:$K$22</c:f>
              <c:numCache>
                <c:formatCode>General</c:formatCode>
                <c:ptCount val="11"/>
                <c:pt idx="0">
                  <c:v>20</c:v>
                </c:pt>
                <c:pt idx="1">
                  <c:v>1523</c:v>
                </c:pt>
                <c:pt idx="2">
                  <c:v>3300</c:v>
                </c:pt>
                <c:pt idx="3">
                  <c:v>6583</c:v>
                </c:pt>
                <c:pt idx="4">
                  <c:v>9867</c:v>
                </c:pt>
                <c:pt idx="5">
                  <c:v>13148</c:v>
                </c:pt>
                <c:pt idx="6">
                  <c:v>16429</c:v>
                </c:pt>
                <c:pt idx="7">
                  <c:v>19710</c:v>
                </c:pt>
                <c:pt idx="8">
                  <c:v>22991</c:v>
                </c:pt>
                <c:pt idx="9">
                  <c:v>26271</c:v>
                </c:pt>
                <c:pt idx="10">
                  <c:v>29552</c:v>
                </c:pt>
              </c:numCache>
            </c:numRef>
          </c:xVal>
          <c:yVal>
            <c:numRef>
              <c:f>Data!$D$12:$D$22</c:f>
              <c:numCache>
                <c:formatCode>General</c:formatCode>
                <c:ptCount val="11"/>
                <c:pt idx="0">
                  <c:v>7.0045810000000002E-3</c:v>
                </c:pt>
                <c:pt idx="1">
                  <c:v>0.46487732999999998</c:v>
                </c:pt>
                <c:pt idx="2">
                  <c:v>1.0063853</c:v>
                </c:pt>
                <c:pt idx="3">
                  <c:v>2.0061460000000002</c:v>
                </c:pt>
                <c:pt idx="4">
                  <c:v>3.0062281999999998</c:v>
                </c:pt>
                <c:pt idx="5">
                  <c:v>4.0057304</c:v>
                </c:pt>
                <c:pt idx="6">
                  <c:v>5.0051576000000004</c:v>
                </c:pt>
                <c:pt idx="7">
                  <c:v>6.0045596999999997</c:v>
                </c:pt>
                <c:pt idx="8">
                  <c:v>7.0037216999999998</c:v>
                </c:pt>
                <c:pt idx="9">
                  <c:v>8.0028170999999997</c:v>
                </c:pt>
                <c:pt idx="10">
                  <c:v>9.0022085999999994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B6-4CED-8930-546742CE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ece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Voltage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4267301638841537"/>
                  <c:y val="-0.160498935274600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Data!$O$2:$O$12</c:f>
              <c:numCache>
                <c:formatCode>General</c:formatCode>
                <c:ptCount val="11"/>
                <c:pt idx="0" formatCode="0.00E+00">
                  <c:v>-99.720478999999997</c:v>
                </c:pt>
                <c:pt idx="1">
                  <c:v>-89.724874</c:v>
                </c:pt>
                <c:pt idx="2">
                  <c:v>-79.720193999999992</c:v>
                </c:pt>
                <c:pt idx="3">
                  <c:v>-69.732602999999997</c:v>
                </c:pt>
                <c:pt idx="4">
                  <c:v>-59.716387000000005</c:v>
                </c:pt>
                <c:pt idx="5">
                  <c:v>-49.714798999999999</c:v>
                </c:pt>
                <c:pt idx="6">
                  <c:v>-39.712110000000003</c:v>
                </c:pt>
                <c:pt idx="7">
                  <c:v>-29.725241999999998</c:v>
                </c:pt>
                <c:pt idx="8">
                  <c:v>-19.715685000000001</c:v>
                </c:pt>
                <c:pt idx="9">
                  <c:v>-9.7277536999999992</c:v>
                </c:pt>
                <c:pt idx="10">
                  <c:v>0.26288119999999998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80-4836-B7DF-1E580192B48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9195137218726314E-2"/>
                  <c:y val="-0.243023665002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Data!$O$12:$O$22</c:f>
              <c:numCache>
                <c:formatCode>General</c:formatCode>
                <c:ptCount val="11"/>
                <c:pt idx="0">
                  <c:v>0.26288119999999998</c:v>
                </c:pt>
                <c:pt idx="1">
                  <c:v>10.272584</c:v>
                </c:pt>
                <c:pt idx="2">
                  <c:v>20.254004999999999</c:v>
                </c:pt>
                <c:pt idx="3">
                  <c:v>30.274878000000001</c:v>
                </c:pt>
                <c:pt idx="4">
                  <c:v>40.262371000000002</c:v>
                </c:pt>
                <c:pt idx="5">
                  <c:v>50.275182999999998</c:v>
                </c:pt>
                <c:pt idx="6">
                  <c:v>60.264309000000004</c:v>
                </c:pt>
                <c:pt idx="7">
                  <c:v>70.277332000000001</c:v>
                </c:pt>
                <c:pt idx="8">
                  <c:v>80.266279999999995</c:v>
                </c:pt>
                <c:pt idx="9">
                  <c:v>90.278975000000003</c:v>
                </c:pt>
                <c:pt idx="10">
                  <c:v>100.2283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80-4836-B7DF-1E580192B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0188515138536553"/>
                  <c:y val="-1.332356983011826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Data!$P$2:$P$12</c:f>
              <c:numCache>
                <c:formatCode>General</c:formatCode>
                <c:ptCount val="11"/>
                <c:pt idx="0">
                  <c:v>-27334</c:v>
                </c:pt>
                <c:pt idx="1">
                  <c:v>-24638</c:v>
                </c:pt>
                <c:pt idx="2">
                  <c:v>-21899</c:v>
                </c:pt>
                <c:pt idx="3">
                  <c:v>-19157</c:v>
                </c:pt>
                <c:pt idx="4">
                  <c:v>-16406</c:v>
                </c:pt>
                <c:pt idx="5">
                  <c:v>-13658</c:v>
                </c:pt>
                <c:pt idx="6">
                  <c:v>-10910</c:v>
                </c:pt>
                <c:pt idx="7">
                  <c:v>-8167</c:v>
                </c:pt>
                <c:pt idx="8">
                  <c:v>-5418</c:v>
                </c:pt>
                <c:pt idx="9">
                  <c:v>-2675</c:v>
                </c:pt>
                <c:pt idx="10">
                  <c:v>70</c:v>
                </c:pt>
              </c:numCache>
            </c:numRef>
          </c:xVal>
          <c:yVal>
            <c:numRef>
              <c:f>Data!$O$2:$O$12</c:f>
              <c:numCache>
                <c:formatCode>General</c:formatCode>
                <c:ptCount val="11"/>
                <c:pt idx="0" formatCode="0.00E+00">
                  <c:v>-99.720478999999997</c:v>
                </c:pt>
                <c:pt idx="1">
                  <c:v>-89.724874</c:v>
                </c:pt>
                <c:pt idx="2">
                  <c:v>-79.720193999999992</c:v>
                </c:pt>
                <c:pt idx="3">
                  <c:v>-69.732602999999997</c:v>
                </c:pt>
                <c:pt idx="4">
                  <c:v>-59.716387000000005</c:v>
                </c:pt>
                <c:pt idx="5">
                  <c:v>-49.714798999999999</c:v>
                </c:pt>
                <c:pt idx="6">
                  <c:v>-39.712110000000003</c:v>
                </c:pt>
                <c:pt idx="7">
                  <c:v>-29.725241999999998</c:v>
                </c:pt>
                <c:pt idx="8">
                  <c:v>-19.715685000000001</c:v>
                </c:pt>
                <c:pt idx="9">
                  <c:v>-9.7277536999999992</c:v>
                </c:pt>
                <c:pt idx="10">
                  <c:v>0.26288119999999998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3C-48ED-8DDE-D35550ECAE1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10584209139129576"/>
                  <c:y val="-0.27001477112958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Data!$P$12:$P$22</c:f>
              <c:numCache>
                <c:formatCode>General</c:formatCode>
                <c:ptCount val="11"/>
                <c:pt idx="0">
                  <c:v>70</c:v>
                </c:pt>
                <c:pt idx="1">
                  <c:v>2814</c:v>
                </c:pt>
                <c:pt idx="2">
                  <c:v>5555</c:v>
                </c:pt>
                <c:pt idx="3">
                  <c:v>8305</c:v>
                </c:pt>
                <c:pt idx="4">
                  <c:v>11047</c:v>
                </c:pt>
                <c:pt idx="5">
                  <c:v>13795</c:v>
                </c:pt>
                <c:pt idx="6">
                  <c:v>16536</c:v>
                </c:pt>
                <c:pt idx="7">
                  <c:v>19285</c:v>
                </c:pt>
                <c:pt idx="8">
                  <c:v>22026</c:v>
                </c:pt>
                <c:pt idx="9">
                  <c:v>24766</c:v>
                </c:pt>
                <c:pt idx="10">
                  <c:v>27451</c:v>
                </c:pt>
              </c:numCache>
            </c:numRef>
          </c:xVal>
          <c:yVal>
            <c:numRef>
              <c:f>Data!$O$12:$O$22</c:f>
              <c:numCache>
                <c:formatCode>General</c:formatCode>
                <c:ptCount val="11"/>
                <c:pt idx="0">
                  <c:v>0.26288119999999998</c:v>
                </c:pt>
                <c:pt idx="1">
                  <c:v>10.272584</c:v>
                </c:pt>
                <c:pt idx="2">
                  <c:v>20.254004999999999</c:v>
                </c:pt>
                <c:pt idx="3">
                  <c:v>30.274878000000001</c:v>
                </c:pt>
                <c:pt idx="4">
                  <c:v>40.262371000000002</c:v>
                </c:pt>
                <c:pt idx="5">
                  <c:v>50.275182999999998</c:v>
                </c:pt>
                <c:pt idx="6">
                  <c:v>60.264309000000004</c:v>
                </c:pt>
                <c:pt idx="7">
                  <c:v>70.277332000000001</c:v>
                </c:pt>
                <c:pt idx="8">
                  <c:v>80.266279999999995</c:v>
                </c:pt>
                <c:pt idx="9">
                  <c:v>90.278975000000003</c:v>
                </c:pt>
                <c:pt idx="10">
                  <c:v>100.2283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3C-48ED-8DDE-D35550ECA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Data!$T$2:$T$12</c:f>
              <c:numCache>
                <c:formatCode>General</c:formatCode>
                <c:ptCount val="11"/>
                <c:pt idx="0" formatCode="0.00E+00">
                  <c:v>-5.0700798000000002</c:v>
                </c:pt>
                <c:pt idx="1">
                  <c:v>-4.5621499999999999</c:v>
                </c:pt>
                <c:pt idx="2">
                  <c:v>-4.0537960000000002</c:v>
                </c:pt>
                <c:pt idx="3">
                  <c:v>-3.5461904</c:v>
                </c:pt>
                <c:pt idx="4">
                  <c:v>-3.0372775000000001</c:v>
                </c:pt>
                <c:pt idx="5">
                  <c:v>-2.5289838000000002</c:v>
                </c:pt>
                <c:pt idx="6">
                  <c:v>-2.0207533999999998</c:v>
                </c:pt>
                <c:pt idx="7">
                  <c:v>-1.513355</c:v>
                </c:pt>
                <c:pt idx="8">
                  <c:v>-1.0047941</c:v>
                </c:pt>
                <c:pt idx="9">
                  <c:v>-0.49728649999999996</c:v>
                </c:pt>
                <c:pt idx="10">
                  <c:v>1.03558E-2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03-4013-8786-4CDE57BECC3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Data!$T$12:$T$22</c:f>
              <c:numCache>
                <c:formatCode>General</c:formatCode>
                <c:ptCount val="11"/>
                <c:pt idx="0">
                  <c:v>1.03558E-2</c:v>
                </c:pt>
                <c:pt idx="1">
                  <c:v>0.51884339999999995</c:v>
                </c:pt>
                <c:pt idx="2">
                  <c:v>1.0260646</c:v>
                </c:pt>
                <c:pt idx="3">
                  <c:v>1.5351212000000001</c:v>
                </c:pt>
                <c:pt idx="4">
                  <c:v>2.0426321999999999</c:v>
                </c:pt>
                <c:pt idx="5">
                  <c:v>2.5513463999999999</c:v>
                </c:pt>
                <c:pt idx="6">
                  <c:v>3.0589566000000001</c:v>
                </c:pt>
                <c:pt idx="7">
                  <c:v>3.5677294000000002</c:v>
                </c:pt>
                <c:pt idx="8">
                  <c:v>4.0752124999999992</c:v>
                </c:pt>
                <c:pt idx="9">
                  <c:v>4.5840869</c:v>
                </c:pt>
                <c:pt idx="10">
                  <c:v>5.0915022000000008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03-4013-8786-4CDE57BEC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Measured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305686789151356"/>
                  <c:y val="-0.13593044208031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Data!$U$2:$U$12</c:f>
              <c:numCache>
                <c:formatCode>General</c:formatCode>
                <c:ptCount val="11"/>
                <c:pt idx="0">
                  <c:v>-27566</c:v>
                </c:pt>
                <c:pt idx="1">
                  <c:v>-24858</c:v>
                </c:pt>
                <c:pt idx="2">
                  <c:v>-22097</c:v>
                </c:pt>
                <c:pt idx="3">
                  <c:v>-19332</c:v>
                </c:pt>
                <c:pt idx="4">
                  <c:v>-16558</c:v>
                </c:pt>
                <c:pt idx="5">
                  <c:v>-13787</c:v>
                </c:pt>
                <c:pt idx="6">
                  <c:v>-11016</c:v>
                </c:pt>
                <c:pt idx="7">
                  <c:v>-8250</c:v>
                </c:pt>
                <c:pt idx="8">
                  <c:v>-5478</c:v>
                </c:pt>
                <c:pt idx="9">
                  <c:v>-2712</c:v>
                </c:pt>
                <c:pt idx="10">
                  <c:v>55</c:v>
                </c:pt>
              </c:numCache>
            </c:numRef>
          </c:xVal>
          <c:yVal>
            <c:numRef>
              <c:f>Data!$T$2:$T$12</c:f>
              <c:numCache>
                <c:formatCode>General</c:formatCode>
                <c:ptCount val="11"/>
                <c:pt idx="0" formatCode="0.00E+00">
                  <c:v>-5.0700798000000002</c:v>
                </c:pt>
                <c:pt idx="1">
                  <c:v>-4.5621499999999999</c:v>
                </c:pt>
                <c:pt idx="2">
                  <c:v>-4.0537960000000002</c:v>
                </c:pt>
                <c:pt idx="3">
                  <c:v>-3.5461904</c:v>
                </c:pt>
                <c:pt idx="4">
                  <c:v>-3.0372775000000001</c:v>
                </c:pt>
                <c:pt idx="5">
                  <c:v>-2.5289838000000002</c:v>
                </c:pt>
                <c:pt idx="6">
                  <c:v>-2.0207533999999998</c:v>
                </c:pt>
                <c:pt idx="7">
                  <c:v>-1.513355</c:v>
                </c:pt>
                <c:pt idx="8">
                  <c:v>-1.0047941</c:v>
                </c:pt>
                <c:pt idx="9">
                  <c:v>-0.49728649999999996</c:v>
                </c:pt>
                <c:pt idx="10">
                  <c:v>1.03558E-2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A-47B5-BFCC-49C1775DCE74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9.1846199637416456E-2"/>
                  <c:y val="0.448234393898254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Data!$U$12:$U$22</c:f>
              <c:numCache>
                <c:formatCode>General</c:formatCode>
                <c:ptCount val="11"/>
                <c:pt idx="0">
                  <c:v>55</c:v>
                </c:pt>
                <c:pt idx="1">
                  <c:v>2821</c:v>
                </c:pt>
                <c:pt idx="2">
                  <c:v>5584</c:v>
                </c:pt>
                <c:pt idx="3">
                  <c:v>8358</c:v>
                </c:pt>
                <c:pt idx="4">
                  <c:v>11122</c:v>
                </c:pt>
                <c:pt idx="5">
                  <c:v>13893</c:v>
                </c:pt>
                <c:pt idx="6">
                  <c:v>16657</c:v>
                </c:pt>
                <c:pt idx="7">
                  <c:v>19428</c:v>
                </c:pt>
                <c:pt idx="8">
                  <c:v>22192</c:v>
                </c:pt>
                <c:pt idx="9">
                  <c:v>24953</c:v>
                </c:pt>
                <c:pt idx="10">
                  <c:v>27651</c:v>
                </c:pt>
              </c:numCache>
            </c:numRef>
          </c:xVal>
          <c:yVal>
            <c:numRef>
              <c:f>Data!$T$12:$T$22</c:f>
              <c:numCache>
                <c:formatCode>General</c:formatCode>
                <c:ptCount val="11"/>
                <c:pt idx="0">
                  <c:v>1.03558E-2</c:v>
                </c:pt>
                <c:pt idx="1">
                  <c:v>0.51884339999999995</c:v>
                </c:pt>
                <c:pt idx="2">
                  <c:v>1.0260646</c:v>
                </c:pt>
                <c:pt idx="3">
                  <c:v>1.5351212000000001</c:v>
                </c:pt>
                <c:pt idx="4">
                  <c:v>2.0426321999999999</c:v>
                </c:pt>
                <c:pt idx="5">
                  <c:v>2.5513463999999999</c:v>
                </c:pt>
                <c:pt idx="6">
                  <c:v>3.0589566000000001</c:v>
                </c:pt>
                <c:pt idx="7">
                  <c:v>3.5677294000000002</c:v>
                </c:pt>
                <c:pt idx="8">
                  <c:v>4.0752124999999992</c:v>
                </c:pt>
                <c:pt idx="9">
                  <c:v>4.5840869</c:v>
                </c:pt>
                <c:pt idx="10">
                  <c:v>5.0915022000000008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7A-47B5-BFCC-49C1775DC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Data!$Z$2:$Z$12</c:f>
              <c:numCache>
                <c:formatCode>General</c:formatCode>
                <c:ptCount val="11"/>
                <c:pt idx="0">
                  <c:v>-27572</c:v>
                </c:pt>
                <c:pt idx="1">
                  <c:v>-24868</c:v>
                </c:pt>
                <c:pt idx="2">
                  <c:v>-22106</c:v>
                </c:pt>
                <c:pt idx="3">
                  <c:v>-19341</c:v>
                </c:pt>
                <c:pt idx="4">
                  <c:v>-16565</c:v>
                </c:pt>
                <c:pt idx="5">
                  <c:v>-13793</c:v>
                </c:pt>
                <c:pt idx="6">
                  <c:v>-11021</c:v>
                </c:pt>
                <c:pt idx="7">
                  <c:v>-8254</c:v>
                </c:pt>
                <c:pt idx="8">
                  <c:v>-5481</c:v>
                </c:pt>
                <c:pt idx="9">
                  <c:v>-2714</c:v>
                </c:pt>
                <c:pt idx="10">
                  <c:v>55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6E-49E4-A3FA-73C9768388B7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Data!$Z$12:$Z$22</c:f>
              <c:numCache>
                <c:formatCode>General</c:formatCode>
                <c:ptCount val="11"/>
                <c:pt idx="0">
                  <c:v>55</c:v>
                </c:pt>
                <c:pt idx="1">
                  <c:v>2824</c:v>
                </c:pt>
                <c:pt idx="2">
                  <c:v>5588</c:v>
                </c:pt>
                <c:pt idx="3">
                  <c:v>8362</c:v>
                </c:pt>
                <c:pt idx="4">
                  <c:v>11127</c:v>
                </c:pt>
                <c:pt idx="5">
                  <c:v>13900</c:v>
                </c:pt>
                <c:pt idx="6">
                  <c:v>16665</c:v>
                </c:pt>
                <c:pt idx="7">
                  <c:v>19437</c:v>
                </c:pt>
                <c:pt idx="8">
                  <c:v>22202</c:v>
                </c:pt>
                <c:pt idx="9">
                  <c:v>24963</c:v>
                </c:pt>
                <c:pt idx="10">
                  <c:v>27657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56E-49E4-A3FA-73C976838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</a:t>
                </a:r>
                <a:r>
                  <a:rPr lang="en-US" b="1"/>
                  <a:t>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Data!$Z$2:$Z$12</c:f>
              <c:numCache>
                <c:formatCode>General</c:formatCode>
                <c:ptCount val="11"/>
                <c:pt idx="0">
                  <c:v>-27572</c:v>
                </c:pt>
                <c:pt idx="1">
                  <c:v>-24868</c:v>
                </c:pt>
                <c:pt idx="2">
                  <c:v>-22106</c:v>
                </c:pt>
                <c:pt idx="3">
                  <c:v>-19341</c:v>
                </c:pt>
                <c:pt idx="4">
                  <c:v>-16565</c:v>
                </c:pt>
                <c:pt idx="5">
                  <c:v>-13793</c:v>
                </c:pt>
                <c:pt idx="6">
                  <c:v>-11021</c:v>
                </c:pt>
                <c:pt idx="7">
                  <c:v>-8254</c:v>
                </c:pt>
                <c:pt idx="8">
                  <c:v>-5481</c:v>
                </c:pt>
                <c:pt idx="9">
                  <c:v>-2714</c:v>
                </c:pt>
                <c:pt idx="10">
                  <c:v>55</c:v>
                </c:pt>
              </c:numCache>
            </c:numRef>
          </c:xVal>
          <c:yVal>
            <c:numRef>
              <c:f>Data!$Y$2:$Y$12</c:f>
              <c:numCache>
                <c:formatCode>General</c:formatCode>
                <c:ptCount val="11"/>
                <c:pt idx="0" formatCode="0.00E+00">
                  <c:v>-0.24560000000000001</c:v>
                </c:pt>
                <c:pt idx="1">
                  <c:v>-0.221</c:v>
                </c:pt>
                <c:pt idx="2">
                  <c:v>-0.19639999999999999</c:v>
                </c:pt>
                <c:pt idx="3">
                  <c:v>-0.17174</c:v>
                </c:pt>
                <c:pt idx="4">
                  <c:v>-0.14713999999999999</c:v>
                </c:pt>
                <c:pt idx="5">
                  <c:v>-0.12252000000000002</c:v>
                </c:pt>
                <c:pt idx="6">
                  <c:v>-9.7900000000000001E-2</c:v>
                </c:pt>
                <c:pt idx="7">
                  <c:v>-7.331E-2</c:v>
                </c:pt>
                <c:pt idx="8">
                  <c:v>-4.8680000000000001E-2</c:v>
                </c:pt>
                <c:pt idx="9">
                  <c:v>-2.409E-2</c:v>
                </c:pt>
                <c:pt idx="10">
                  <c:v>5.0520000000000003E-4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0F-4B1C-BA56-6ADCE73D719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Data!$Z$12:$Z$22</c:f>
              <c:numCache>
                <c:formatCode>General</c:formatCode>
                <c:ptCount val="11"/>
                <c:pt idx="0">
                  <c:v>55</c:v>
                </c:pt>
                <c:pt idx="1">
                  <c:v>2824</c:v>
                </c:pt>
                <c:pt idx="2">
                  <c:v>5588</c:v>
                </c:pt>
                <c:pt idx="3">
                  <c:v>8362</c:v>
                </c:pt>
                <c:pt idx="4">
                  <c:v>11127</c:v>
                </c:pt>
                <c:pt idx="5">
                  <c:v>13900</c:v>
                </c:pt>
                <c:pt idx="6">
                  <c:v>16665</c:v>
                </c:pt>
                <c:pt idx="7">
                  <c:v>19437</c:v>
                </c:pt>
                <c:pt idx="8">
                  <c:v>22202</c:v>
                </c:pt>
                <c:pt idx="9">
                  <c:v>24963</c:v>
                </c:pt>
                <c:pt idx="10">
                  <c:v>27657</c:v>
                </c:pt>
              </c:numCache>
            </c:numRef>
          </c:xVal>
          <c:yVal>
            <c:numRef>
              <c:f>Data!$Y$12:$Y$22</c:f>
              <c:numCache>
                <c:formatCode>General</c:formatCode>
                <c:ptCount val="11"/>
                <c:pt idx="0">
                  <c:v>5.0520000000000003E-4</c:v>
                </c:pt>
                <c:pt idx="1">
                  <c:v>2.5139999999999999E-2</c:v>
                </c:pt>
                <c:pt idx="2">
                  <c:v>4.9709999999999997E-2</c:v>
                </c:pt>
                <c:pt idx="3">
                  <c:v>7.4369999999999992E-2</c:v>
                </c:pt>
                <c:pt idx="4">
                  <c:v>9.8960000000000006E-2</c:v>
                </c:pt>
                <c:pt idx="5">
                  <c:v>0.1236</c:v>
                </c:pt>
                <c:pt idx="6">
                  <c:v>0.1482</c:v>
                </c:pt>
                <c:pt idx="7">
                  <c:v>0.17285</c:v>
                </c:pt>
                <c:pt idx="8">
                  <c:v>0.19744</c:v>
                </c:pt>
                <c:pt idx="9">
                  <c:v>0.22189999999999999</c:v>
                </c:pt>
                <c:pt idx="10">
                  <c:v>0.24649999999999997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0F-4B1C-BA56-6ADCE73D7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-27586</c:v>
                </c:pt>
                <c:pt idx="1">
                  <c:v>-24884</c:v>
                </c:pt>
                <c:pt idx="2">
                  <c:v>-22123</c:v>
                </c:pt>
                <c:pt idx="3">
                  <c:v>-19356</c:v>
                </c:pt>
                <c:pt idx="4">
                  <c:v>-16582</c:v>
                </c:pt>
                <c:pt idx="5">
                  <c:v>-13808</c:v>
                </c:pt>
                <c:pt idx="6">
                  <c:v>-11037</c:v>
                </c:pt>
                <c:pt idx="7">
                  <c:v>-8270</c:v>
                </c:pt>
                <c:pt idx="8">
                  <c:v>-5497</c:v>
                </c:pt>
                <c:pt idx="9">
                  <c:v>-2730</c:v>
                </c:pt>
                <c:pt idx="10">
                  <c:v>39</c:v>
                </c:pt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13-44A4-BDF8-FD475293B72E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39</c:v>
                </c:pt>
                <c:pt idx="1">
                  <c:v>2809</c:v>
                </c:pt>
                <c:pt idx="2">
                  <c:v>5572</c:v>
                </c:pt>
                <c:pt idx="3">
                  <c:v>8347</c:v>
                </c:pt>
                <c:pt idx="4">
                  <c:v>11112</c:v>
                </c:pt>
                <c:pt idx="5">
                  <c:v>13884</c:v>
                </c:pt>
                <c:pt idx="6">
                  <c:v>16649</c:v>
                </c:pt>
                <c:pt idx="7">
                  <c:v>19422</c:v>
                </c:pt>
                <c:pt idx="8">
                  <c:v>22186</c:v>
                </c:pt>
                <c:pt idx="9">
                  <c:v>24947</c:v>
                </c:pt>
                <c:pt idx="10">
                  <c:v>27641</c:v>
                </c:pt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A13-44A4-BDF8-FD475293B7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423697822291041"/>
                  <c:y val="-0.192453206057531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Data!$AE$2:$AE$12</c:f>
              <c:numCache>
                <c:formatCode>General</c:formatCode>
                <c:ptCount val="11"/>
                <c:pt idx="0">
                  <c:v>-27586</c:v>
                </c:pt>
                <c:pt idx="1">
                  <c:v>-24884</c:v>
                </c:pt>
                <c:pt idx="2">
                  <c:v>-22123</c:v>
                </c:pt>
                <c:pt idx="3">
                  <c:v>-19356</c:v>
                </c:pt>
                <c:pt idx="4">
                  <c:v>-16582</c:v>
                </c:pt>
                <c:pt idx="5">
                  <c:v>-13808</c:v>
                </c:pt>
                <c:pt idx="6">
                  <c:v>-11037</c:v>
                </c:pt>
                <c:pt idx="7">
                  <c:v>-8270</c:v>
                </c:pt>
                <c:pt idx="8">
                  <c:v>-5497</c:v>
                </c:pt>
                <c:pt idx="9">
                  <c:v>-2730</c:v>
                </c:pt>
                <c:pt idx="10">
                  <c:v>39</c:v>
                </c:pt>
              </c:numCache>
            </c:numRef>
          </c:xVal>
          <c:yVal>
            <c:numRef>
              <c:f>Data!$AD$2:$AD$12</c:f>
              <c:numCache>
                <c:formatCode>General</c:formatCode>
                <c:ptCount val="11"/>
                <c:pt idx="0" formatCode="0.00E+00">
                  <c:v>-1.2699E-2</c:v>
                </c:pt>
                <c:pt idx="1">
                  <c:v>-1.1427E-2</c:v>
                </c:pt>
                <c:pt idx="2">
                  <c:v>-1.0155000000000001E-2</c:v>
                </c:pt>
                <c:pt idx="3">
                  <c:v>-8.8839999999999995E-3</c:v>
                </c:pt>
                <c:pt idx="4">
                  <c:v>-7.6099999999999996E-3</c:v>
                </c:pt>
                <c:pt idx="5">
                  <c:v>-6.3379999999999999E-3</c:v>
                </c:pt>
                <c:pt idx="6">
                  <c:v>-5.0650000000000001E-3</c:v>
                </c:pt>
                <c:pt idx="7">
                  <c:v>-3.7950000000000002E-3</c:v>
                </c:pt>
                <c:pt idx="8">
                  <c:v>-2.5220000000000004E-3</c:v>
                </c:pt>
                <c:pt idx="9">
                  <c:v>-1.2512999999999999E-3</c:v>
                </c:pt>
                <c:pt idx="10">
                  <c:v>1.9280000000000002E-5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13-4C8A-A84C-FD1F739C1FA7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7.0960520812496597E-2"/>
                  <c:y val="0.543470500253402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Data!$AE$12:$AE$22</c:f>
              <c:numCache>
                <c:formatCode>General</c:formatCode>
                <c:ptCount val="11"/>
                <c:pt idx="0">
                  <c:v>39</c:v>
                </c:pt>
                <c:pt idx="1">
                  <c:v>2809</c:v>
                </c:pt>
                <c:pt idx="2">
                  <c:v>5572</c:v>
                </c:pt>
                <c:pt idx="3">
                  <c:v>8347</c:v>
                </c:pt>
                <c:pt idx="4">
                  <c:v>11112</c:v>
                </c:pt>
                <c:pt idx="5">
                  <c:v>13884</c:v>
                </c:pt>
                <c:pt idx="6">
                  <c:v>16649</c:v>
                </c:pt>
                <c:pt idx="7">
                  <c:v>19422</c:v>
                </c:pt>
                <c:pt idx="8">
                  <c:v>22186</c:v>
                </c:pt>
                <c:pt idx="9">
                  <c:v>24947</c:v>
                </c:pt>
                <c:pt idx="10">
                  <c:v>27641</c:v>
                </c:pt>
              </c:numCache>
            </c:numRef>
          </c:xVal>
          <c:yVal>
            <c:numRef>
              <c:f>Data!$AD$12:$AD$22</c:f>
              <c:numCache>
                <c:formatCode>General</c:formatCode>
                <c:ptCount val="11"/>
                <c:pt idx="0">
                  <c:v>1.9280000000000002E-5</c:v>
                </c:pt>
                <c:pt idx="1">
                  <c:v>1.2936E-3</c:v>
                </c:pt>
                <c:pt idx="2">
                  <c:v>2.5600000000000002E-3</c:v>
                </c:pt>
                <c:pt idx="3">
                  <c:v>3.8349999999999999E-3</c:v>
                </c:pt>
                <c:pt idx="4">
                  <c:v>5.1050000000000002E-3</c:v>
                </c:pt>
                <c:pt idx="5">
                  <c:v>6.3790000000000001E-3</c:v>
                </c:pt>
                <c:pt idx="6">
                  <c:v>7.6499999999999997E-3</c:v>
                </c:pt>
                <c:pt idx="7">
                  <c:v>8.9230000000000004E-3</c:v>
                </c:pt>
                <c:pt idx="8">
                  <c:v>1.0194E-2</c:v>
                </c:pt>
                <c:pt idx="9">
                  <c:v>1.1467999999999999E-2</c:v>
                </c:pt>
                <c:pt idx="10">
                  <c:v>1.2738000000000001E-2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13-4C8A-A84C-FD1F739C1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E5-4E83-BCE9-1568ABA3FC56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E5-4E83-BCE9-1568ABA3F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Data!$AJ$2:$AJ$12</c:f>
              <c:numCache>
                <c:formatCode>General</c:formatCode>
                <c:ptCount val="11"/>
              </c:numCache>
            </c:numRef>
          </c:xVal>
          <c:yVal>
            <c:numRef>
              <c:f>Data!$AI$2:$AI$12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5A-4503-9CA6-88DA0A2649E1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Data!$AJ$12:$AJ$22</c:f>
              <c:numCache>
                <c:formatCode>General</c:formatCode>
                <c:ptCount val="11"/>
              </c:numCache>
            </c:numRef>
          </c:xVal>
          <c:yVal>
            <c:numRef>
              <c:f>Data!$AI$12:$AI$22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5A-4503-9CA6-88DA0A264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Data!$AO$2:$AO$12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FA-4C2E-90E7-DA92258245F3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Data!$AO$12:$AO$22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FA-4C2E-90E7-DA9225824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Data!$AO$2:$AO$12</c:f>
              <c:numCache>
                <c:formatCode>General</c:formatCode>
                <c:ptCount val="11"/>
              </c:numCache>
            </c:numRef>
          </c:xVal>
          <c:yVal>
            <c:numRef>
              <c:f>Data!$AN$2:$AN$12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E13-43EF-BDE0-D8DB7E495B2C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Data!$AO$12:$AO$22</c:f>
              <c:numCache>
                <c:formatCode>General</c:formatCode>
                <c:ptCount val="11"/>
              </c:numCache>
            </c:numRef>
          </c:xVal>
          <c:yVal>
            <c:numRef>
              <c:f>Data!$AN$12:$AN$22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13-43EF-BDE0-D8DB7E495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Data!$AT$2:$AT$12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C-45EB-AF68-3C2F88703278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Data!$AT$12:$AT$22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C-45EB-AF68-3C2F88703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Data!$AT$2:$AT$12</c:f>
              <c:numCache>
                <c:formatCode>General</c:formatCode>
                <c:ptCount val="11"/>
              </c:numCache>
            </c:numRef>
          </c:xVal>
          <c:yVal>
            <c:numRef>
              <c:f>Data!$AS$2:$AS$12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30-4AB9-9221-6CBDFC6CCBD2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Data!$AT$12:$AT$22</c:f>
              <c:numCache>
                <c:formatCode>General</c:formatCode>
                <c:ptCount val="11"/>
              </c:numCache>
            </c:numRef>
          </c:xVal>
          <c:yVal>
            <c:numRef>
              <c:f>Data!$AS$12:$AS$22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530-4AB9-9221-6CBDFC6CC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DACdc_I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DACdcN_I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8353951697329594"/>
                  <c:y val="0.16705441565925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Data!$AY$2:$AY$12</c:f>
              <c:numCache>
                <c:formatCode>General</c:formatCode>
                <c:ptCount val="11"/>
              </c:numCache>
            </c:numRef>
          </c:xVal>
          <c:yVal>
            <c:numRef>
              <c:f>Data!$B$2:$B$12</c:f>
              <c:numCache>
                <c:formatCode>General</c:formatCode>
                <c:ptCount val="11"/>
                <c:pt idx="0">
                  <c:v>-5000</c:v>
                </c:pt>
                <c:pt idx="1">
                  <c:v>-4500</c:v>
                </c:pt>
                <c:pt idx="2">
                  <c:v>-4000</c:v>
                </c:pt>
                <c:pt idx="3">
                  <c:v>-3500</c:v>
                </c:pt>
                <c:pt idx="4">
                  <c:v>-3000</c:v>
                </c:pt>
                <c:pt idx="5">
                  <c:v>-2500</c:v>
                </c:pt>
                <c:pt idx="6">
                  <c:v>-2000</c:v>
                </c:pt>
                <c:pt idx="7">
                  <c:v>-1500</c:v>
                </c:pt>
                <c:pt idx="8">
                  <c:v>-1000</c:v>
                </c:pt>
                <c:pt idx="9">
                  <c:v>-500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3-4A18-9E47-94358C838EC2}"/>
            </c:ext>
          </c:extLst>
        </c:ser>
        <c:ser>
          <c:idx val="1"/>
          <c:order val="1"/>
          <c:tx>
            <c:v>DACdcP_I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46846988333557527"/>
                  <c:y val="8.89370861525175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Data!$AY$12:$AY$22</c:f>
              <c:numCache>
                <c:formatCode>General</c:formatCode>
                <c:ptCount val="11"/>
              </c:numCache>
            </c:numRef>
          </c:xVal>
          <c:yVal>
            <c:numRef>
              <c:f>Data!$B$12:$B$22</c:f>
              <c:numCache>
                <c:formatCode>General</c:formatCode>
                <c:ptCount val="11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83-4A18-9E47-94358C838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baseline="0">
                    <a:effectLst/>
                  </a:rPr>
                  <a:t>Received </a:t>
                </a:r>
                <a:r>
                  <a:rPr lang="en-US" b="1"/>
                  <a:t>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Commanded Setpoint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8453447764636113"/>
                  <c:y val="-2.32728751382570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Data!$AY$2:$AY$12</c:f>
              <c:numCache>
                <c:formatCode>General</c:formatCode>
                <c:ptCount val="11"/>
              </c:numCache>
            </c:numRef>
          </c:xVal>
          <c:yVal>
            <c:numRef>
              <c:f>Data!$AX$2:$AX$12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90-4A65-B719-B8D1657882F6}"/>
            </c:ext>
          </c:extLst>
        </c:ser>
        <c:ser>
          <c:idx val="1"/>
          <c:order val="1"/>
          <c:tx>
            <c:v>iP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21024873982802358"/>
                  <c:y val="-0.27049117973657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Data!$AY$12:$AY$22</c:f>
              <c:numCache>
                <c:formatCode>General</c:formatCode>
                <c:ptCount val="11"/>
              </c:numCache>
            </c:numRef>
          </c:xVal>
          <c:yVal>
            <c:numRef>
              <c:f>Data!$AX$12:$AX$22</c:f>
              <c:numCache>
                <c:formatCode>General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A90-4A65-B719-B8D1657882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7951616"/>
        <c:axId val="557951288"/>
      </c:scatterChart>
      <c:valAx>
        <c:axId val="557951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Received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288"/>
        <c:crosses val="autoZero"/>
        <c:crossBetween val="midCat"/>
      </c:valAx>
      <c:valAx>
        <c:axId val="55795128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Measured Current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951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6350</xdr:rowOff>
    </xdr:from>
    <xdr:to>
      <xdr:col>9</xdr:col>
      <xdr:colOff>6350</xdr:colOff>
      <xdr:row>14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18</xdr:col>
      <xdr:colOff>19050</xdr:colOff>
      <xdr:row>14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</xdr:row>
      <xdr:rowOff>0</xdr:rowOff>
    </xdr:from>
    <xdr:to>
      <xdr:col>8</xdr:col>
      <xdr:colOff>603250</xdr:colOff>
      <xdr:row>26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609600</xdr:colOff>
      <xdr:row>14</xdr:row>
      <xdr:rowOff>6350</xdr:rowOff>
    </xdr:from>
    <xdr:to>
      <xdr:col>18</xdr:col>
      <xdr:colOff>12700</xdr:colOff>
      <xdr:row>26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0</xdr:row>
          <xdr:rowOff>76200</xdr:rowOff>
        </xdr:from>
        <xdr:to>
          <xdr:col>6</xdr:col>
          <xdr:colOff>520700</xdr:colOff>
          <xdr:row>2</xdr:row>
          <xdr:rowOff>63500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Voltage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146050</xdr:colOff>
          <xdr:row>0</xdr:row>
          <xdr:rowOff>69850</xdr:rowOff>
        </xdr:from>
        <xdr:to>
          <xdr:col>8</xdr:col>
          <xdr:colOff>508000</xdr:colOff>
          <xdr:row>2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215900</xdr:colOff>
          <xdr:row>0</xdr:row>
          <xdr:rowOff>95250</xdr:rowOff>
        </xdr:from>
        <xdr:to>
          <xdr:col>7</xdr:col>
          <xdr:colOff>228600</xdr:colOff>
          <xdr:row>2</xdr:row>
          <xdr:rowOff>82550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0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3</xdr:row>
      <xdr:rowOff>6350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3</xdr:row>
      <xdr:rowOff>6350</xdr:rowOff>
    </xdr:from>
    <xdr:to>
      <xdr:col>17</xdr:col>
      <xdr:colOff>609600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387350</xdr:colOff>
          <xdr:row>0</xdr:row>
          <xdr:rowOff>88900</xdr:rowOff>
        </xdr:from>
        <xdr:to>
          <xdr:col>9</xdr:col>
          <xdr:colOff>419100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241300</xdr:colOff>
          <xdr:row>0</xdr:row>
          <xdr:rowOff>101600</xdr:rowOff>
        </xdr:from>
        <xdr:to>
          <xdr:col>7</xdr:col>
          <xdr:colOff>247650</xdr:colOff>
          <xdr:row>2</xdr:row>
          <xdr:rowOff>88900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1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</xdr:colOff>
      <xdr:row>2</xdr:row>
      <xdr:rowOff>177800</xdr:rowOff>
    </xdr:from>
    <xdr:to>
      <xdr:col>9</xdr:col>
      <xdr:colOff>12700</xdr:colOff>
      <xdr:row>24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</xdr:row>
      <xdr:rowOff>177800</xdr:rowOff>
    </xdr:from>
    <xdr:to>
      <xdr:col>18</xdr:col>
      <xdr:colOff>19050</xdr:colOff>
      <xdr:row>24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412750</xdr:colOff>
          <xdr:row>0</xdr:row>
          <xdr:rowOff>88900</xdr:rowOff>
        </xdr:from>
        <xdr:to>
          <xdr:col>9</xdr:col>
          <xdr:colOff>400050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260350</xdr:colOff>
          <xdr:row>0</xdr:row>
          <xdr:rowOff>107950</xdr:rowOff>
        </xdr:from>
        <xdr:to>
          <xdr:col>7</xdr:col>
          <xdr:colOff>254000</xdr:colOff>
          <xdr:row>2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19050</xdr:colOff>
      <xdr:row>24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25400</xdr:colOff>
      <xdr:row>3</xdr:row>
      <xdr:rowOff>6350</xdr:rowOff>
    </xdr:from>
    <xdr:to>
      <xdr:col>18</xdr:col>
      <xdr:colOff>6350</xdr:colOff>
      <xdr:row>24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95250</xdr:rowOff>
        </xdr:from>
        <xdr:to>
          <xdr:col>9</xdr:col>
          <xdr:colOff>393700</xdr:colOff>
          <xdr:row>2</xdr:row>
          <xdr:rowOff>82550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0</xdr:row>
          <xdr:rowOff>76200</xdr:rowOff>
        </xdr:from>
        <xdr:to>
          <xdr:col>7</xdr:col>
          <xdr:colOff>228600</xdr:colOff>
          <xdr:row>2</xdr:row>
          <xdr:rowOff>63500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3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3</xdr:row>
      <xdr:rowOff>6350</xdr:rowOff>
    </xdr:from>
    <xdr:to>
      <xdr:col>9</xdr:col>
      <xdr:colOff>6350</xdr:colOff>
      <xdr:row>25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6350</xdr:colOff>
      <xdr:row>3</xdr:row>
      <xdr:rowOff>6350</xdr:rowOff>
    </xdr:from>
    <xdr:to>
      <xdr:col>17</xdr:col>
      <xdr:colOff>184150</xdr:colOff>
      <xdr:row>25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393700</xdr:colOff>
          <xdr:row>0</xdr:row>
          <xdr:rowOff>63500</xdr:rowOff>
        </xdr:from>
        <xdr:to>
          <xdr:col>9</xdr:col>
          <xdr:colOff>374650</xdr:colOff>
          <xdr:row>2</xdr:row>
          <xdr:rowOff>50800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88900</xdr:rowOff>
        </xdr:from>
        <xdr:to>
          <xdr:col>9</xdr:col>
          <xdr:colOff>393700</xdr:colOff>
          <xdr:row>4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4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88900</xdr:rowOff>
        </xdr:from>
        <xdr:to>
          <xdr:col>9</xdr:col>
          <xdr:colOff>393700</xdr:colOff>
          <xdr:row>7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88900</xdr:rowOff>
        </xdr:from>
        <xdr:to>
          <xdr:col>9</xdr:col>
          <xdr:colOff>393700</xdr:colOff>
          <xdr:row>4</xdr:row>
          <xdr:rowOff>76200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5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88900</xdr:rowOff>
        </xdr:from>
        <xdr:to>
          <xdr:col>9</xdr:col>
          <xdr:colOff>393700</xdr:colOff>
          <xdr:row>7</xdr:row>
          <xdr:rowOff>76200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88900</xdr:rowOff>
        </xdr:from>
        <xdr:to>
          <xdr:col>9</xdr:col>
          <xdr:colOff>393700</xdr:colOff>
          <xdr:row>4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6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88900</xdr:rowOff>
        </xdr:from>
        <xdr:to>
          <xdr:col>9</xdr:col>
          <xdr:colOff>393700</xdr:colOff>
          <xdr:row>7</xdr:row>
          <xdr:rowOff>76200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88900</xdr:rowOff>
        </xdr:from>
        <xdr:to>
          <xdr:col>9</xdr:col>
          <xdr:colOff>393700</xdr:colOff>
          <xdr:row>4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Range 7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9</xdr:row>
      <xdr:rowOff>0</xdr:rowOff>
    </xdr:from>
    <xdr:to>
      <xdr:col>9</xdr:col>
      <xdr:colOff>584200</xdr:colOff>
      <xdr:row>28</xdr:row>
      <xdr:rowOff>155576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9</xdr:col>
      <xdr:colOff>584200</xdr:colOff>
      <xdr:row>49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88900</xdr:rowOff>
        </xdr:from>
        <xdr:to>
          <xdr:col>9</xdr:col>
          <xdr:colOff>393700</xdr:colOff>
          <xdr:row>7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2</xdr:row>
          <xdr:rowOff>88900</xdr:rowOff>
        </xdr:from>
        <xdr:to>
          <xdr:col>1</xdr:col>
          <xdr:colOff>698500</xdr:colOff>
          <xdr:row>4</xdr:row>
          <xdr:rowOff>76200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584200</xdr:colOff>
          <xdr:row>2</xdr:row>
          <xdr:rowOff>95250</xdr:rowOff>
        </xdr:from>
        <xdr:to>
          <xdr:col>7</xdr:col>
          <xdr:colOff>469900</xdr:colOff>
          <xdr:row>4</xdr:row>
          <xdr:rowOff>82550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Calibration Response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</xdr:colOff>
          <xdr:row>2</xdr:row>
          <xdr:rowOff>95250</xdr:rowOff>
        </xdr:from>
        <xdr:to>
          <xdr:col>3</xdr:col>
          <xdr:colOff>431800</xdr:colOff>
          <xdr:row>4</xdr:row>
          <xdr:rowOff>82550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F133143E-D132-4600-9159-298A44787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Cal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</xdr:row>
          <xdr:rowOff>107950</xdr:rowOff>
        </xdr:from>
        <xdr:to>
          <xdr:col>1</xdr:col>
          <xdr:colOff>2851150</xdr:colOff>
          <xdr:row>4</xdr:row>
          <xdr:rowOff>95250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SAVE_HW_DATA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</xdr:colOff>
          <xdr:row>2</xdr:row>
          <xdr:rowOff>114300</xdr:rowOff>
        </xdr:from>
        <xdr:to>
          <xdr:col>6</xdr:col>
          <xdr:colOff>425450</xdr:colOff>
          <xdr:row>4</xdr:row>
          <xdr:rowOff>101600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FFFD78D0-CA00-4535-8A61-E4B062B70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SEND_HW_DATA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c/GoogleDrive_ASU/SquidstatCalibrator/SquidstatCalibrator/bin/Debug/SquidstatCalibrator_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nect"/>
      <sheetName val="Calibrate"/>
      <sheetName val="Hardware Data"/>
      <sheetName val="Data"/>
      <sheetName val="Voltage"/>
      <sheetName val="Range 0"/>
      <sheetName val="Range 1"/>
      <sheetName val="Range 2"/>
      <sheetName val="Range 3"/>
      <sheetName val="Range 4"/>
      <sheetName val="Range 5"/>
      <sheetName val="Range 6"/>
      <sheetName val="Range 7"/>
      <sheetName val="Internal"/>
      <sheetName val="QC"/>
      <sheetName val="SquidstatCalibrator_old"/>
    </sheetNames>
    <definedNames>
      <definedName name="SaveHwData"/>
    </definedNames>
    <sheetDataSet>
      <sheetData sheetId="0">
        <row r="1">
          <cell r="D1" t="str">
            <v>COM6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L2" t="str">
            <v>PRIME</v>
          </cell>
          <cell r="M2">
            <v>0</v>
          </cell>
        </row>
        <row r="3">
          <cell r="L3" t="str">
            <v>EDGE</v>
          </cell>
          <cell r="M3">
            <v>1</v>
          </cell>
        </row>
        <row r="4">
          <cell r="L4" t="str">
            <v>PICO</v>
          </cell>
          <cell r="M4">
            <v>2</v>
          </cell>
        </row>
        <row r="5">
          <cell r="L5" t="str">
            <v>SOLO</v>
          </cell>
          <cell r="M5">
            <v>3</v>
          </cell>
        </row>
        <row r="6">
          <cell r="L6" t="str">
            <v>PLUS_2_0</v>
          </cell>
          <cell r="M6">
            <v>4</v>
          </cell>
        </row>
        <row r="7">
          <cell r="L7" t="str">
            <v>SOLO_2_0</v>
          </cell>
          <cell r="M7">
            <v>5</v>
          </cell>
        </row>
        <row r="8">
          <cell r="L8" t="str">
            <v>PRIME_2_0</v>
          </cell>
          <cell r="M8">
            <v>6</v>
          </cell>
        </row>
      </sheetData>
      <sheetData sheetId="14"/>
      <sheetData sheetId="15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07" xr16:uid="{00000000-0016-0000-0200-00005B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99" xr16:uid="{00000000-0016-0000-0200-00005A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214" xr16:uid="{00000000-0016-0000-0200-000059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growShrinkType="overwriteClear" connectionId="233" xr16:uid="{00000000-0016-0000-0200-000058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216" xr16:uid="{00000000-0016-0000-0200-000057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growShrinkType="overwriteClear" connectionId="238" xr16:uid="{00000000-0016-0000-0200-000056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growShrinkType="overwriteClear" connectionId="247" xr16:uid="{00000000-0016-0000-0200-000055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growShrinkType="overwriteClear" connectionId="263" xr16:uid="{00000000-0016-0000-0200-000054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growShrinkType="overwriteClear" connectionId="257" xr16:uid="{00000000-0016-0000-0200-000053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growShrinkType="overwriteClear" connectionId="242" xr16:uid="{00000000-0016-0000-0200-000052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growShrinkType="overwriteClear" connectionId="266" xr16:uid="{00000000-0016-0000-0200-000051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growShrinkType="overwriteClear" connectionId="272" xr16:uid="{00000000-0016-0000-0200-000050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growShrinkType="overwriteClear" connectionId="276" xr16:uid="{00000000-0016-0000-0200-00004F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208" xr16:uid="{00000000-0016-0000-0200-00004E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93" xr16:uid="{00000000-0016-0000-0200-00004D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206" xr16:uid="{00000000-0016-0000-0200-00004C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219" xr16:uid="{00000000-0016-0000-0200-00004B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217" xr16:uid="{00000000-0016-0000-0200-00004A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213" xr16:uid="{00000000-0016-0000-0200-000049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growShrinkType="overwriteClear" connectionId="236" xr16:uid="{00000000-0016-0000-0200-000048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270" xr16:uid="{00000000-0016-0000-0200-000047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growShrinkType="overwriteClear" connectionId="235" xr16:uid="{00000000-0016-0000-0200-000046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growShrinkType="overwriteClear" connectionId="252" xr16:uid="{00000000-0016-0000-0200-000045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growShrinkType="overwriteClear" connectionId="275" xr16:uid="{00000000-0016-0000-0200-000044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95" xr16:uid="{00000000-0016-0000-0200-000043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29" xr16:uid="{00000000-0016-0000-0200-000042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growShrinkType="overwriteClear" connectionId="245" xr16:uid="{00000000-0016-0000-0200-000041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growShrinkType="overwriteClear" connectionId="255" xr16:uid="{00000000-0016-0000-0200-000040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growShrinkType="overwriteClear" connectionId="261" xr16:uid="{00000000-0016-0000-0200-00003F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growShrinkType="overwriteClear" connectionId="269" xr16:uid="{00000000-0016-0000-0200-00003E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growShrinkType="overwriteClear" connectionId="279" xr16:uid="{00000000-0016-0000-0200-00003D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92" xr16:uid="{00000000-0016-0000-0200-00003C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281" xr16:uid="{00000000-0016-0000-0200-00003B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251" xr16:uid="{00000000-0016-0000-0200-00003A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259" xr16:uid="{00000000-0016-0000-0200-000039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215" xr16:uid="{00000000-0016-0000-0200-000038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223" xr16:uid="{00000000-0016-0000-0200-000037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98" xr16:uid="{00000000-0016-0000-0200-000036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222" xr16:uid="{00000000-0016-0000-0200-000035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growShrinkType="overwriteClear" connectionId="239" xr16:uid="{00000000-0016-0000-0200-000034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growShrinkType="overwriteClear" connectionId="264" xr16:uid="{00000000-0016-0000-0200-000033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248" xr16:uid="{00000000-0016-0000-0200-000032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205" xr16:uid="{00000000-0016-0000-0200-000031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240" xr16:uid="{00000000-0016-0000-0200-000030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growShrinkType="overwriteClear" connectionId="243" xr16:uid="{00000000-0016-0000-0200-00002F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growShrinkType="overwriteClear" connectionId="249" xr16:uid="{00000000-0016-0000-0200-00002E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growShrinkType="overwriteClear" connectionId="258" xr16:uid="{00000000-0016-0000-0200-00002D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growShrinkType="overwriteClear" connectionId="267" xr16:uid="{00000000-0016-0000-0200-00002C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growShrinkType="overwriteClear" connectionId="273" xr16:uid="{00000000-0016-0000-0200-00002B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growShrinkType="overwriteClear" connectionId="232" xr16:uid="{00000000-0016-0000-0200-00002A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209" xr16:uid="{00000000-0016-0000-0200-000029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203" xr16:uid="{00000000-0016-0000-0200-000028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211" xr16:uid="{00000000-0016-0000-0200-000027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225" xr16:uid="{00000000-0016-0000-0200-000026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growShrinkType="overwriteClear" connectionId="277" xr16:uid="{00000000-0016-0000-0200-000025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growShrinkType="overwriteClear" connectionId="230" xr16:uid="{00000000-0016-0000-0200-000024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237" xr16:uid="{00000000-0016-0000-0200-000023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226" xr16:uid="{00000000-0016-0000-0200-000022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growShrinkType="overwriteClear" connectionId="234" xr16:uid="{00000000-0016-0000-0200-000021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96" xr16:uid="{00000000-0016-0000-0200-000020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220" xr16:uid="{00000000-0016-0000-0200-00001F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growShrinkType="overwriteClear" connectionId="246" xr16:uid="{00000000-0016-0000-0200-00001E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growShrinkType="overwriteClear" connectionId="253" xr16:uid="{00000000-0016-0000-0200-00001D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9" growShrinkType="overwriteClear" connectionId="256" xr16:uid="{00000000-0016-0000-0200-00001C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growShrinkType="overwriteClear" connectionId="262" xr16:uid="{00000000-0016-0000-0200-00001B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growShrinkType="overwriteClear" connectionId="271" xr16:uid="{00000000-0016-0000-0200-00001A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growShrinkType="overwriteClear" connectionId="265" xr16:uid="{00000000-0016-0000-0200-000019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210" xr16:uid="{00000000-0016-0000-0200-000018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growShrinkType="overwriteClear" connectionId="228" xr16:uid="{00000000-0016-0000-0200-000017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224" xr16:uid="{00000000-0016-0000-0200-000016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202" xr16:uid="{00000000-0016-0000-0200-000015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97" xr16:uid="{00000000-0016-0000-0200-000014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200" xr16:uid="{00000000-0016-0000-0200-000013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growShrinkType="overwriteClear" connectionId="231" xr16:uid="{00000000-0016-0000-0200-000012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227" xr16:uid="{00000000-0016-0000-0200-000011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204" xr16:uid="{00000000-0016-0000-0200-000010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218" xr16:uid="{00000000-0016-0000-0200-00000F00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94" xr16:uid="{00000000-0016-0000-0200-00000E00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growShrinkType="overwriteClear" connectionId="241" xr16:uid="{00000000-0016-0000-0200-00000D00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growShrinkType="overwriteClear" connectionId="244" xr16:uid="{00000000-0016-0000-0200-00000C00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growShrinkType="overwriteClear" connectionId="250" xr16:uid="{00000000-0016-0000-0200-00000B00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growShrinkType="overwriteClear" connectionId="260" xr16:uid="{00000000-0016-0000-0200-00000A00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growShrinkType="overwriteClear" connectionId="274" xr16:uid="{00000000-0016-0000-0200-00000900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growShrinkType="overwriteClear" connectionId="254" xr16:uid="{00000000-0016-0000-0200-00000800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0" growShrinkType="overwriteClear" connectionId="268" xr16:uid="{00000000-0016-0000-0200-00000700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221" xr16:uid="{00000000-0016-0000-0200-00000600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80" xr16:uid="{00000000-0016-0000-0200-00000500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growShrinkType="overwriteClear" connectionId="278" xr16:uid="{00000000-0016-0000-0200-00000400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201" xr16:uid="{00000000-0016-0000-0200-00000300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70" xr16:uid="{00000000-0016-0000-0200-00000200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212" xr16:uid="{00000000-0016-0000-0200-00000100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23" xr16:uid="{00000000-0016-0000-0200-00000000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55" xr16:uid="{00000000-0016-0000-0300-00009100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60" xr16:uid="{00000000-0016-0000-0300-00009000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69" xr16:uid="{00000000-0016-0000-0300-00008F00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66" xr16:uid="{00000000-0016-0000-0300-00008E00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9" xr16:uid="{00000000-0016-0000-0300-00008D00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30" xr16:uid="{00000000-0016-0000-0300-00008C00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22" xr16:uid="{00000000-0016-0000-0300-00008B00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36" xr16:uid="{00000000-0016-0000-0300-00008A00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42" xr16:uid="{00000000-0016-0000-0300-00008900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45" xr16:uid="{00000000-0016-0000-0300-00008800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50" xr16:uid="{00000000-0016-0000-0300-00008700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59" xr16:uid="{00000000-0016-0000-0300-00008600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65" xr16:uid="{00000000-0016-0000-0300-00008500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29" xr16:uid="{00000000-0016-0000-0300-00008400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21" xr16:uid="{00000000-0016-0000-0300-00008300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40" xr16:uid="{00000000-0016-0000-0300-00008200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54" xr16:uid="{00000000-0016-0000-0300-00008100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64" xr16:uid="{00000000-0016-0000-0300-00008000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34" xr16:uid="{00000000-0016-0000-0300-00007F00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41" xr16:uid="{00000000-0016-0000-0300-00007E00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35" xr16:uid="{00000000-0016-0000-0300-00007D00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44" xr16:uid="{00000000-0016-0000-0300-00007C00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49" xr16:uid="{00000000-0016-0000-0300-00007B00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58" xr16:uid="{00000000-0016-0000-0300-00007A00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26" xr16:uid="{00000000-0016-0000-0300-00007900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71" xr16:uid="{00000000-0016-0000-0300-00007800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31" xr16:uid="{00000000-0016-0000-0300-00007700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72" xr16:uid="{00000000-0016-0000-0300-00007600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25" xr16:uid="{00000000-0016-0000-0300-00007500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39" xr16:uid="{00000000-0016-0000-0300-00007400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48" xr16:uid="{00000000-0016-0000-0300-00007300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62" xr16:uid="{00000000-0016-0000-0300-00007200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growShrinkType="overwriteClear" connectionId="68" xr16:uid="{00000000-0016-0000-0300-00007100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52" xr16:uid="{00000000-0016-0000-0300-00007000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20" xr16:uid="{00000000-0016-0000-0300-00006F00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43" xr16:uid="{00000000-0016-0000-0300-00006E00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53" xr16:uid="{00000000-0016-0000-0300-00006D00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57" xr16:uid="{00000000-0016-0000-0300-00006C00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24" xr16:uid="{00000000-0016-0000-0300-00006B00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32" xr16:uid="{00000000-0016-0000-0300-00006A00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63" xr16:uid="{00000000-0016-0000-0300-00006900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38" xr16:uid="{00000000-0016-0000-0300-00006800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47" xr16:uid="{00000000-0016-0000-0300-00006700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56" xr16:uid="{00000000-0016-0000-0300-00006600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61" xr16:uid="{00000000-0016-0000-0300-00006500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growShrinkType="overwriteClear" connectionId="67" xr16:uid="{00000000-0016-0000-0300-00006400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8" xr16:uid="{00000000-0016-0000-0300-00006300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7" xr16:uid="{00000000-0016-0000-0300-00006200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33" xr16:uid="{00000000-0016-0000-0300-00006100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28" xr16:uid="{00000000-0016-0000-0300-00006000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37" xr16:uid="{00000000-0016-0000-0300-00005F00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51" xr16:uid="{00000000-0016-0000-0300-00005E00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27" xr16:uid="{00000000-0016-0000-0300-00005D00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46" xr16:uid="{00000000-0016-0000-0300-00005C00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78" xr16:uid="{00000000-0016-0000-0400-0000B000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75" xr16:uid="{00000000-0016-0000-0400-0000AF00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73" xr16:uid="{00000000-0016-0000-0400-0000AE00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79" xr16:uid="{00000000-0016-0000-0400-0000AD00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88" xr16:uid="{00000000-0016-0000-0400-0000AC00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92" xr16:uid="{00000000-0016-0000-0400-0000AB00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80" xr16:uid="{00000000-0016-0000-0400-0000AA00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00" xr16:uid="{00000000-0016-0000-0400-0000A900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91" xr16:uid="{00000000-0016-0000-0400-0000A800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86" xr16:uid="{00000000-0016-0000-0400-0000A700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01" xr16:uid="{00000000-0016-0000-0400-0000A600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87" xr16:uid="{00000000-0016-0000-0400-0000A500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96" xr16:uid="{00000000-0016-0000-0400-0000A400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82" xr16:uid="{00000000-0016-0000-0400-0000A300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81" xr16:uid="{00000000-0016-0000-0400-0000A200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90" xr16:uid="{00000000-0016-0000-0400-0000A100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95" xr16:uid="{00000000-0016-0000-0400-0000A000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98" xr16:uid="{00000000-0016-0000-0400-00009F00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77" xr16:uid="{00000000-0016-0000-0400-00009E00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85" xr16:uid="{00000000-0016-0000-0400-00009D00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99" xr16:uid="{00000000-0016-0000-0400-00009C00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97" xr16:uid="{00000000-0016-0000-0400-00009B00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84" xr16:uid="{00000000-0016-0000-0400-00009A00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74" xr16:uid="{00000000-0016-0000-0400-00009900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94" xr16:uid="{00000000-0016-0000-0400-00009800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76" xr16:uid="{00000000-0016-0000-0400-00009700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03" xr16:uid="{00000000-0016-0000-0400-00009600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02" xr16:uid="{00000000-0016-0000-0400-00009500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83" xr16:uid="{00000000-0016-0000-0400-00009400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89" xr16:uid="{00000000-0016-0000-0400-00009300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93" xr16:uid="{00000000-0016-0000-0400-00009200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11" xr16:uid="{00000000-0016-0000-0500-0000D400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18" xr16:uid="{00000000-0016-0000-0500-0000D300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05" xr16:uid="{00000000-0016-0000-0500-0000D200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19" xr16:uid="{00000000-0016-0000-0500-0000D100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24" xr16:uid="{00000000-0016-0000-0500-0000D000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30" xr16:uid="{00000000-0016-0000-0500-0000CF00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07" xr16:uid="{00000000-0016-0000-0500-0000CE00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69" xr16:uid="{00000000-0016-0000-0500-0000CD00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61" xr16:uid="{00000000-0016-0000-0500-0000CC00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38" xr16:uid="{00000000-0016-0000-0500-0000CB00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17" xr16:uid="{00000000-0016-0000-0500-0000CA00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23" xr16:uid="{00000000-0016-0000-0500-0000C900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28" xr16:uid="{00000000-0016-0000-0500-0000C800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04" xr16:uid="{00000000-0016-0000-0500-0000C700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08" xr16:uid="{00000000-0016-0000-0500-0000C600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36" xr16:uid="{00000000-0016-0000-0500-0000C500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09" xr16:uid="{00000000-0016-0000-0500-0000C400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22" xr16:uid="{00000000-0016-0000-0500-0000C300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27" xr16:uid="{00000000-0016-0000-0500-0000C200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14" xr16:uid="{00000000-0016-0000-0500-0000C100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06" xr16:uid="{00000000-0016-0000-0500-0000C000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26" xr16:uid="{00000000-0016-0000-0500-0000BF00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13" xr16:uid="{00000000-0016-0000-0500-0000BE00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37" xr16:uid="{00000000-0016-0000-0500-0000BD00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33" xr16:uid="{00000000-0016-0000-0500-0000BC00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21" xr16:uid="{00000000-0016-0000-0500-0000BB00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32" xr16:uid="{00000000-0016-0000-0500-0000BA00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16" xr16:uid="{00000000-0016-0000-0500-0000B900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12" xr16:uid="{00000000-0016-0000-0500-0000B800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10" xr16:uid="{00000000-0016-0000-0500-0000B700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35" xr16:uid="{00000000-0016-0000-0500-0000B600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25" xr16:uid="{00000000-0016-0000-0500-0000B500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31" xr16:uid="{00000000-0016-0000-0500-0000B400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29" xr16:uid="{00000000-0016-0000-0500-0000B300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15" xr16:uid="{00000000-0016-0000-0500-0000B200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20" xr16:uid="{00000000-0016-0000-0500-0000B100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growShrinkType="overwriteClear" connectionId="178" xr16:uid="{00000000-0016-0000-0600-00000801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growShrinkType="overwriteClear" connectionId="183" xr16:uid="{00000000-0016-0000-0600-00000701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growShrinkType="overwriteClear" connectionId="149" xr16:uid="{00000000-0016-0000-0600-00000601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growShrinkType="overwriteClear" connectionId="145" xr16:uid="{00000000-0016-0000-0600-00000501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190" xr16:uid="{00000000-0016-0000-0600-000004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growShrinkType="overwriteClear" connectionId="155" xr16:uid="{00000000-0016-0000-0600-000003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144" xr16:uid="{00000000-0016-0000-0600-000002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74" xr16:uid="{00000000-0016-0000-0600-00000101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growShrinkType="overwriteClear" connectionId="171" xr16:uid="{00000000-0016-0000-0600-00000001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growShrinkType="overwriteClear" connectionId="175" xr16:uid="{00000000-0016-0000-0600-0000FF00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growShrinkType="overwriteClear" connectionId="157" xr16:uid="{00000000-0016-0000-0600-0000FE00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growShrinkType="overwriteClear" connectionId="177" xr16:uid="{00000000-0016-0000-0600-0000FD00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growShrinkType="overwriteClear" connectionId="164" xr16:uid="{00000000-0016-0000-0600-0000FC00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growShrinkType="overwriteClear" connectionId="182" xr16:uid="{00000000-0016-0000-0600-0000FB00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growShrinkType="overwriteClear" connectionId="168" xr16:uid="{00000000-0016-0000-0600-0000FA00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85" xr16:uid="{00000000-0016-0000-0600-0000F900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growShrinkType="overwriteClear" connectionId="167" xr16:uid="{00000000-0016-0000-0600-0000F800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growShrinkType="overwriteClear" connectionId="160" xr16:uid="{00000000-0016-0000-0600-0000F700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growShrinkType="overwriteClear" connectionId="165" xr16:uid="{00000000-0016-0000-0600-0000F600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163" xr16:uid="{00000000-0016-0000-0600-0000F500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87" xr16:uid="{00000000-0016-0000-0600-0000F400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growShrinkType="overwriteClear" connectionId="176" xr16:uid="{00000000-0016-0000-0600-0000F300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growShrinkType="overwriteClear" connectionId="181" xr16:uid="{00000000-0016-0000-0600-0000F200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143" xr16:uid="{00000000-0016-0000-0600-0000F100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growShrinkType="overwriteClear" connectionId="162" xr16:uid="{00000000-0016-0000-0600-0000F000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growShrinkType="overwriteClear" connectionId="147" xr16:uid="{00000000-0016-0000-0600-0000EF00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141" xr16:uid="{00000000-0016-0000-0600-0000EE00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growShrinkType="overwriteClear" connectionId="180" xr16:uid="{00000000-0016-0000-0600-0000ED00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growShrinkType="overwriteClear" connectionId="146" xr16:uid="{00000000-0016-0000-0600-0000EC00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growShrinkType="overwriteClear" connectionId="173" xr16:uid="{00000000-0016-0000-0600-0000EB00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39" xr16:uid="{00000000-0016-0000-0600-0000EA00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growShrinkType="overwriteClear" connectionId="172" xr16:uid="{00000000-0016-0000-0600-0000E900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growShrinkType="overwriteClear" connectionId="166" xr16:uid="{00000000-0016-0000-0600-0000E800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growShrinkType="overwriteClear" connectionId="186" xr16:uid="{00000000-0016-0000-0600-0000E700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growShrinkType="overwriteClear" connectionId="158" xr16:uid="{00000000-0016-0000-0600-0000E600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growShrinkType="overwriteClear" connectionId="134" xr16:uid="{00000000-0016-0000-0600-0000E500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growShrinkType="overwriteClear" connectionId="151" xr16:uid="{00000000-0016-0000-0600-0000E400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growShrinkType="overwriteClear" connectionId="148" xr16:uid="{00000000-0016-0000-0600-0000E300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191" xr16:uid="{00000000-0016-0000-0600-0000E200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142" xr16:uid="{00000000-0016-0000-0600-0000E100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growShrinkType="overwriteClear" connectionId="179" xr16:uid="{00000000-0016-0000-0600-0000E000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growShrinkType="overwriteClear" connectionId="184" xr16:uid="{00000000-0016-0000-0600-0000DF00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152" xr16:uid="{00000000-0016-0000-0600-0000DE00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growShrinkType="overwriteClear" connectionId="159" xr16:uid="{00000000-0016-0000-0600-0000DD00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growShrinkType="overwriteClear" connectionId="154" xr16:uid="{00000000-0016-0000-0600-0000DC00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growShrinkType="overwriteClear" connectionId="140" xr16:uid="{00000000-0016-0000-0600-0000DB00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growShrinkType="overwriteClear" connectionId="153" xr16:uid="{00000000-0016-0000-0600-0000DA00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89" xr16:uid="{00000000-0016-0000-0600-0000D900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growShrinkType="overwriteClear" connectionId="150" xr16:uid="{00000000-0016-0000-0600-0000D800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88" xr16:uid="{00000000-0016-0000-0600-0000D700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growShrinkType="overwriteClear" connectionId="170" xr16:uid="{00000000-0016-0000-0600-0000D600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growShrinkType="overwriteClear" connectionId="156" xr16:uid="{00000000-0016-0000-0600-0000D500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growShrinkType="overwriteClear" connectionId="13" xr16:uid="{00000000-0016-0000-0B00-000017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growShrinkType="overwriteClear" connectionId="5" xr16:uid="{00000000-0016-0000-0B00-000016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growShrinkType="overwriteClear" connectionId="12" xr16:uid="{00000000-0016-0000-0B00-000015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growShrinkType="overwriteClear" connectionId="4" xr16:uid="{00000000-0016-0000-0B00-000014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growShrinkType="overwriteClear" connectionId="2" xr16:uid="{00000000-0016-0000-0B00-000013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growShrinkType="overwriteClear" connectionId="3" xr16:uid="{00000000-0016-0000-0B00-000012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growShrinkType="overwriteClear" connectionId="11" xr16:uid="{00000000-0016-0000-0B00-000011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growShrinkType="overwriteClear" connectionId="15" xr16:uid="{00000000-0016-0000-0B00-000010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growShrinkType="overwriteClear" connectionId="7" xr16:uid="{00000000-0016-0000-0B00-00000F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00000000-0016-0000-0B00-00000E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growShrinkType="overwriteClear" connectionId="10" xr16:uid="{00000000-0016-0000-0B00-00000D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growShrinkType="overwriteClear" connectionId="9" xr16:uid="{00000000-0016-0000-0B00-00000C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growShrinkType="overwriteClear" connectionId="14" xr16:uid="{00000000-0016-0000-0B00-00000B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growShrinkType="overwriteClear" connectionId="6" xr16:uid="{00000000-0016-0000-0B00-00000A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growShrinkType="overwriteClear" connectionId="8" xr16:uid="{00000000-0016-0000-0B00-00000901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1.x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42" Type="http://schemas.openxmlformats.org/officeDocument/2006/relationships/queryTable" Target="../queryTables/queryTable37.xml"/><Relationship Id="rId47" Type="http://schemas.openxmlformats.org/officeDocument/2006/relationships/queryTable" Target="../queryTables/queryTable42.xml"/><Relationship Id="rId50" Type="http://schemas.openxmlformats.org/officeDocument/2006/relationships/queryTable" Target="../queryTables/queryTable45.xml"/><Relationship Id="rId55" Type="http://schemas.openxmlformats.org/officeDocument/2006/relationships/queryTable" Target="../queryTables/queryTable50.xml"/><Relationship Id="rId63" Type="http://schemas.openxmlformats.org/officeDocument/2006/relationships/queryTable" Target="../queryTables/queryTable58.xml"/><Relationship Id="rId68" Type="http://schemas.openxmlformats.org/officeDocument/2006/relationships/queryTable" Target="../queryTables/queryTable63.xml"/><Relationship Id="rId76" Type="http://schemas.openxmlformats.org/officeDocument/2006/relationships/queryTable" Target="../queryTables/queryTable71.xml"/><Relationship Id="rId84" Type="http://schemas.openxmlformats.org/officeDocument/2006/relationships/queryTable" Target="../queryTables/queryTable79.xml"/><Relationship Id="rId89" Type="http://schemas.openxmlformats.org/officeDocument/2006/relationships/queryTable" Target="../queryTables/queryTable84.xml"/><Relationship Id="rId97" Type="http://schemas.openxmlformats.org/officeDocument/2006/relationships/queryTable" Target="../queryTables/queryTable92.xml"/><Relationship Id="rId7" Type="http://schemas.openxmlformats.org/officeDocument/2006/relationships/queryTable" Target="../queryTables/queryTable2.xml"/><Relationship Id="rId71" Type="http://schemas.openxmlformats.org/officeDocument/2006/relationships/queryTable" Target="../queryTables/queryTable66.xml"/><Relationship Id="rId92" Type="http://schemas.openxmlformats.org/officeDocument/2006/relationships/queryTable" Target="../queryTables/queryTable8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1.xml"/><Relationship Id="rId29" Type="http://schemas.openxmlformats.org/officeDocument/2006/relationships/queryTable" Target="../queryTables/queryTable24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45" Type="http://schemas.openxmlformats.org/officeDocument/2006/relationships/queryTable" Target="../queryTables/queryTable40.xml"/><Relationship Id="rId53" Type="http://schemas.openxmlformats.org/officeDocument/2006/relationships/queryTable" Target="../queryTables/queryTable48.xml"/><Relationship Id="rId58" Type="http://schemas.openxmlformats.org/officeDocument/2006/relationships/queryTable" Target="../queryTables/queryTable53.xml"/><Relationship Id="rId66" Type="http://schemas.openxmlformats.org/officeDocument/2006/relationships/queryTable" Target="../queryTables/queryTable61.xml"/><Relationship Id="rId74" Type="http://schemas.openxmlformats.org/officeDocument/2006/relationships/queryTable" Target="../queryTables/queryTable69.xml"/><Relationship Id="rId79" Type="http://schemas.openxmlformats.org/officeDocument/2006/relationships/queryTable" Target="../queryTables/queryTable74.xml"/><Relationship Id="rId87" Type="http://schemas.openxmlformats.org/officeDocument/2006/relationships/queryTable" Target="../queryTables/queryTable82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56.xml"/><Relationship Id="rId82" Type="http://schemas.openxmlformats.org/officeDocument/2006/relationships/queryTable" Target="../queryTables/queryTable77.xml"/><Relationship Id="rId90" Type="http://schemas.openxmlformats.org/officeDocument/2006/relationships/queryTable" Target="../queryTables/queryTable85.xml"/><Relationship Id="rId95" Type="http://schemas.openxmlformats.org/officeDocument/2006/relationships/queryTable" Target="../queryTables/queryTable90.xml"/><Relationship Id="rId19" Type="http://schemas.openxmlformats.org/officeDocument/2006/relationships/queryTable" Target="../queryTables/queryTable1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Relationship Id="rId43" Type="http://schemas.openxmlformats.org/officeDocument/2006/relationships/queryTable" Target="../queryTables/queryTable38.xml"/><Relationship Id="rId48" Type="http://schemas.openxmlformats.org/officeDocument/2006/relationships/queryTable" Target="../queryTables/queryTable43.xml"/><Relationship Id="rId56" Type="http://schemas.openxmlformats.org/officeDocument/2006/relationships/queryTable" Target="../queryTables/queryTable51.xml"/><Relationship Id="rId64" Type="http://schemas.openxmlformats.org/officeDocument/2006/relationships/queryTable" Target="../queryTables/queryTable59.xml"/><Relationship Id="rId69" Type="http://schemas.openxmlformats.org/officeDocument/2006/relationships/queryTable" Target="../queryTables/queryTable64.xml"/><Relationship Id="rId77" Type="http://schemas.openxmlformats.org/officeDocument/2006/relationships/queryTable" Target="../queryTables/queryTable72.xml"/><Relationship Id="rId8" Type="http://schemas.openxmlformats.org/officeDocument/2006/relationships/queryTable" Target="../queryTables/queryTable3.xml"/><Relationship Id="rId51" Type="http://schemas.openxmlformats.org/officeDocument/2006/relationships/queryTable" Target="../queryTables/queryTable46.xml"/><Relationship Id="rId72" Type="http://schemas.openxmlformats.org/officeDocument/2006/relationships/queryTable" Target="../queryTables/queryTable67.xml"/><Relationship Id="rId80" Type="http://schemas.openxmlformats.org/officeDocument/2006/relationships/queryTable" Target="../queryTables/queryTable75.xml"/><Relationship Id="rId85" Type="http://schemas.openxmlformats.org/officeDocument/2006/relationships/queryTable" Target="../queryTables/queryTable80.xml"/><Relationship Id="rId93" Type="http://schemas.openxmlformats.org/officeDocument/2006/relationships/queryTable" Target="../queryTables/queryTable88.xml"/><Relationship Id="rId3" Type="http://schemas.openxmlformats.org/officeDocument/2006/relationships/vmlDrawing" Target="../drawings/vmlDrawing2.v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46" Type="http://schemas.openxmlformats.org/officeDocument/2006/relationships/queryTable" Target="../queryTables/queryTable41.xml"/><Relationship Id="rId59" Type="http://schemas.openxmlformats.org/officeDocument/2006/relationships/queryTable" Target="../queryTables/queryTable54.xml"/><Relationship Id="rId67" Type="http://schemas.openxmlformats.org/officeDocument/2006/relationships/queryTable" Target="../queryTables/queryTable62.xml"/><Relationship Id="rId20" Type="http://schemas.openxmlformats.org/officeDocument/2006/relationships/queryTable" Target="../queryTables/queryTable15.xml"/><Relationship Id="rId41" Type="http://schemas.openxmlformats.org/officeDocument/2006/relationships/queryTable" Target="../queryTables/queryTable36.xml"/><Relationship Id="rId54" Type="http://schemas.openxmlformats.org/officeDocument/2006/relationships/queryTable" Target="../queryTables/queryTable49.xml"/><Relationship Id="rId62" Type="http://schemas.openxmlformats.org/officeDocument/2006/relationships/queryTable" Target="../queryTables/queryTable57.xml"/><Relationship Id="rId70" Type="http://schemas.openxmlformats.org/officeDocument/2006/relationships/queryTable" Target="../queryTables/queryTable65.xml"/><Relationship Id="rId75" Type="http://schemas.openxmlformats.org/officeDocument/2006/relationships/queryTable" Target="../queryTables/queryTable70.xml"/><Relationship Id="rId83" Type="http://schemas.openxmlformats.org/officeDocument/2006/relationships/queryTable" Target="../queryTables/queryTable78.xml"/><Relationship Id="rId88" Type="http://schemas.openxmlformats.org/officeDocument/2006/relationships/queryTable" Target="../queryTables/queryTable83.xml"/><Relationship Id="rId91" Type="http://schemas.openxmlformats.org/officeDocument/2006/relationships/queryTable" Target="../queryTables/queryTable86.xml"/><Relationship Id="rId96" Type="http://schemas.openxmlformats.org/officeDocument/2006/relationships/queryTable" Target="../queryTables/queryTable9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49" Type="http://schemas.openxmlformats.org/officeDocument/2006/relationships/queryTable" Target="../queryTables/queryTable44.xml"/><Relationship Id="rId57" Type="http://schemas.openxmlformats.org/officeDocument/2006/relationships/queryTable" Target="../queryTables/queryTable52.xml"/><Relationship Id="rId10" Type="http://schemas.openxmlformats.org/officeDocument/2006/relationships/queryTable" Target="../queryTables/queryTable5.xml"/><Relationship Id="rId31" Type="http://schemas.openxmlformats.org/officeDocument/2006/relationships/queryTable" Target="../queryTables/queryTable26.xml"/><Relationship Id="rId44" Type="http://schemas.openxmlformats.org/officeDocument/2006/relationships/queryTable" Target="../queryTables/queryTable39.xml"/><Relationship Id="rId52" Type="http://schemas.openxmlformats.org/officeDocument/2006/relationships/queryTable" Target="../queryTables/queryTable47.xml"/><Relationship Id="rId60" Type="http://schemas.openxmlformats.org/officeDocument/2006/relationships/queryTable" Target="../queryTables/queryTable55.xml"/><Relationship Id="rId65" Type="http://schemas.openxmlformats.org/officeDocument/2006/relationships/queryTable" Target="../queryTables/queryTable60.xml"/><Relationship Id="rId73" Type="http://schemas.openxmlformats.org/officeDocument/2006/relationships/queryTable" Target="../queryTables/queryTable68.xml"/><Relationship Id="rId78" Type="http://schemas.openxmlformats.org/officeDocument/2006/relationships/queryTable" Target="../queryTables/queryTable73.xml"/><Relationship Id="rId81" Type="http://schemas.openxmlformats.org/officeDocument/2006/relationships/queryTable" Target="../queryTables/queryTable76.xml"/><Relationship Id="rId86" Type="http://schemas.openxmlformats.org/officeDocument/2006/relationships/queryTable" Target="../queryTables/queryTable81.xml"/><Relationship Id="rId94" Type="http://schemas.openxmlformats.org/officeDocument/2006/relationships/queryTable" Target="../queryTables/queryTable89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4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39" Type="http://schemas.openxmlformats.org/officeDocument/2006/relationships/queryTable" Target="../queryTables/queryTable3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00.xml"/><Relationship Id="rId18" Type="http://schemas.openxmlformats.org/officeDocument/2006/relationships/queryTable" Target="../queryTables/queryTable105.xml"/><Relationship Id="rId26" Type="http://schemas.openxmlformats.org/officeDocument/2006/relationships/queryTable" Target="../queryTables/queryTable113.xml"/><Relationship Id="rId39" Type="http://schemas.openxmlformats.org/officeDocument/2006/relationships/queryTable" Target="../queryTables/queryTable126.xml"/><Relationship Id="rId21" Type="http://schemas.openxmlformats.org/officeDocument/2006/relationships/queryTable" Target="../queryTables/queryTable108.xml"/><Relationship Id="rId34" Type="http://schemas.openxmlformats.org/officeDocument/2006/relationships/queryTable" Target="../queryTables/queryTable121.xml"/><Relationship Id="rId42" Type="http://schemas.openxmlformats.org/officeDocument/2006/relationships/queryTable" Target="../queryTables/queryTable129.xml"/><Relationship Id="rId47" Type="http://schemas.openxmlformats.org/officeDocument/2006/relationships/queryTable" Target="../queryTables/queryTable134.xml"/><Relationship Id="rId50" Type="http://schemas.openxmlformats.org/officeDocument/2006/relationships/queryTable" Target="../queryTables/queryTable137.xml"/><Relationship Id="rId55" Type="http://schemas.openxmlformats.org/officeDocument/2006/relationships/queryTable" Target="../queryTables/queryTable142.xml"/><Relationship Id="rId7" Type="http://schemas.openxmlformats.org/officeDocument/2006/relationships/queryTable" Target="../queryTables/queryTable94.xml"/><Relationship Id="rId12" Type="http://schemas.openxmlformats.org/officeDocument/2006/relationships/queryTable" Target="../queryTables/queryTable99.xml"/><Relationship Id="rId17" Type="http://schemas.openxmlformats.org/officeDocument/2006/relationships/queryTable" Target="../queryTables/queryTable104.xml"/><Relationship Id="rId25" Type="http://schemas.openxmlformats.org/officeDocument/2006/relationships/queryTable" Target="../queryTables/queryTable112.xml"/><Relationship Id="rId33" Type="http://schemas.openxmlformats.org/officeDocument/2006/relationships/queryTable" Target="../queryTables/queryTable120.xml"/><Relationship Id="rId38" Type="http://schemas.openxmlformats.org/officeDocument/2006/relationships/queryTable" Target="../queryTables/queryTable125.xml"/><Relationship Id="rId46" Type="http://schemas.openxmlformats.org/officeDocument/2006/relationships/queryTable" Target="../queryTables/queryTable133.xml"/><Relationship Id="rId59" Type="http://schemas.openxmlformats.org/officeDocument/2006/relationships/queryTable" Target="../queryTables/queryTable146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03.xml"/><Relationship Id="rId20" Type="http://schemas.openxmlformats.org/officeDocument/2006/relationships/queryTable" Target="../queryTables/queryTable107.xml"/><Relationship Id="rId29" Type="http://schemas.openxmlformats.org/officeDocument/2006/relationships/queryTable" Target="../queryTables/queryTable116.xml"/><Relationship Id="rId41" Type="http://schemas.openxmlformats.org/officeDocument/2006/relationships/queryTable" Target="../queryTables/queryTable128.xml"/><Relationship Id="rId54" Type="http://schemas.openxmlformats.org/officeDocument/2006/relationships/queryTable" Target="../queryTables/queryTable14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93.xml"/><Relationship Id="rId11" Type="http://schemas.openxmlformats.org/officeDocument/2006/relationships/queryTable" Target="../queryTables/queryTable98.xml"/><Relationship Id="rId24" Type="http://schemas.openxmlformats.org/officeDocument/2006/relationships/queryTable" Target="../queryTables/queryTable111.xml"/><Relationship Id="rId32" Type="http://schemas.openxmlformats.org/officeDocument/2006/relationships/queryTable" Target="../queryTables/queryTable119.xml"/><Relationship Id="rId37" Type="http://schemas.openxmlformats.org/officeDocument/2006/relationships/queryTable" Target="../queryTables/queryTable124.xml"/><Relationship Id="rId40" Type="http://schemas.openxmlformats.org/officeDocument/2006/relationships/queryTable" Target="../queryTables/queryTable127.xml"/><Relationship Id="rId45" Type="http://schemas.openxmlformats.org/officeDocument/2006/relationships/queryTable" Target="../queryTables/queryTable132.xml"/><Relationship Id="rId53" Type="http://schemas.openxmlformats.org/officeDocument/2006/relationships/queryTable" Target="../queryTables/queryTable140.xml"/><Relationship Id="rId58" Type="http://schemas.openxmlformats.org/officeDocument/2006/relationships/queryTable" Target="../queryTables/queryTable145.xml"/><Relationship Id="rId5" Type="http://schemas.openxmlformats.org/officeDocument/2006/relationships/ctrlProp" Target="../ctrlProps/ctrlProp4.xml"/><Relationship Id="rId15" Type="http://schemas.openxmlformats.org/officeDocument/2006/relationships/queryTable" Target="../queryTables/queryTable102.xml"/><Relationship Id="rId23" Type="http://schemas.openxmlformats.org/officeDocument/2006/relationships/queryTable" Target="../queryTables/queryTable110.xml"/><Relationship Id="rId28" Type="http://schemas.openxmlformats.org/officeDocument/2006/relationships/queryTable" Target="../queryTables/queryTable115.xml"/><Relationship Id="rId36" Type="http://schemas.openxmlformats.org/officeDocument/2006/relationships/queryTable" Target="../queryTables/queryTable123.xml"/><Relationship Id="rId49" Type="http://schemas.openxmlformats.org/officeDocument/2006/relationships/queryTable" Target="../queryTables/queryTable136.xml"/><Relationship Id="rId57" Type="http://schemas.openxmlformats.org/officeDocument/2006/relationships/queryTable" Target="../queryTables/queryTable144.xml"/><Relationship Id="rId10" Type="http://schemas.openxmlformats.org/officeDocument/2006/relationships/queryTable" Target="../queryTables/queryTable97.xml"/><Relationship Id="rId19" Type="http://schemas.openxmlformats.org/officeDocument/2006/relationships/queryTable" Target="../queryTables/queryTable106.xml"/><Relationship Id="rId31" Type="http://schemas.openxmlformats.org/officeDocument/2006/relationships/queryTable" Target="../queryTables/queryTable118.xml"/><Relationship Id="rId44" Type="http://schemas.openxmlformats.org/officeDocument/2006/relationships/queryTable" Target="../queryTables/queryTable131.xml"/><Relationship Id="rId52" Type="http://schemas.openxmlformats.org/officeDocument/2006/relationships/queryTable" Target="../queryTables/queryTable139.xml"/><Relationship Id="rId4" Type="http://schemas.openxmlformats.org/officeDocument/2006/relationships/ctrlProp" Target="../ctrlProps/ctrlProp3.xml"/><Relationship Id="rId9" Type="http://schemas.openxmlformats.org/officeDocument/2006/relationships/queryTable" Target="../queryTables/queryTable96.xml"/><Relationship Id="rId14" Type="http://schemas.openxmlformats.org/officeDocument/2006/relationships/queryTable" Target="../queryTables/queryTable101.xml"/><Relationship Id="rId22" Type="http://schemas.openxmlformats.org/officeDocument/2006/relationships/queryTable" Target="../queryTables/queryTable109.xml"/><Relationship Id="rId27" Type="http://schemas.openxmlformats.org/officeDocument/2006/relationships/queryTable" Target="../queryTables/queryTable114.xml"/><Relationship Id="rId30" Type="http://schemas.openxmlformats.org/officeDocument/2006/relationships/queryTable" Target="../queryTables/queryTable117.xml"/><Relationship Id="rId35" Type="http://schemas.openxmlformats.org/officeDocument/2006/relationships/queryTable" Target="../queryTables/queryTable122.xml"/><Relationship Id="rId43" Type="http://schemas.openxmlformats.org/officeDocument/2006/relationships/queryTable" Target="../queryTables/queryTable130.xml"/><Relationship Id="rId48" Type="http://schemas.openxmlformats.org/officeDocument/2006/relationships/queryTable" Target="../queryTables/queryTable135.xml"/><Relationship Id="rId56" Type="http://schemas.openxmlformats.org/officeDocument/2006/relationships/queryTable" Target="../queryTables/queryTable143.xml"/><Relationship Id="rId8" Type="http://schemas.openxmlformats.org/officeDocument/2006/relationships/queryTable" Target="../queryTables/queryTable95.xml"/><Relationship Id="rId51" Type="http://schemas.openxmlformats.org/officeDocument/2006/relationships/queryTable" Target="../queryTables/queryTable138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50.xml"/><Relationship Id="rId13" Type="http://schemas.openxmlformats.org/officeDocument/2006/relationships/queryTable" Target="../queryTables/queryTable155.xml"/><Relationship Id="rId18" Type="http://schemas.openxmlformats.org/officeDocument/2006/relationships/queryTable" Target="../queryTables/queryTable160.xml"/><Relationship Id="rId26" Type="http://schemas.openxmlformats.org/officeDocument/2006/relationships/queryTable" Target="../queryTables/queryTable168.xml"/><Relationship Id="rId3" Type="http://schemas.openxmlformats.org/officeDocument/2006/relationships/ctrlProp" Target="../ctrlProps/ctrlProp5.xml"/><Relationship Id="rId21" Type="http://schemas.openxmlformats.org/officeDocument/2006/relationships/queryTable" Target="../queryTables/queryTable163.xml"/><Relationship Id="rId34" Type="http://schemas.openxmlformats.org/officeDocument/2006/relationships/queryTable" Target="../queryTables/queryTable176.xml"/><Relationship Id="rId7" Type="http://schemas.openxmlformats.org/officeDocument/2006/relationships/queryTable" Target="../queryTables/queryTable149.xml"/><Relationship Id="rId12" Type="http://schemas.openxmlformats.org/officeDocument/2006/relationships/queryTable" Target="../queryTables/queryTable154.xml"/><Relationship Id="rId17" Type="http://schemas.openxmlformats.org/officeDocument/2006/relationships/queryTable" Target="../queryTables/queryTable159.xml"/><Relationship Id="rId25" Type="http://schemas.openxmlformats.org/officeDocument/2006/relationships/queryTable" Target="../queryTables/queryTable167.xml"/><Relationship Id="rId33" Type="http://schemas.openxmlformats.org/officeDocument/2006/relationships/queryTable" Target="../queryTables/queryTable175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58.xml"/><Relationship Id="rId20" Type="http://schemas.openxmlformats.org/officeDocument/2006/relationships/queryTable" Target="../queryTables/queryTable162.xml"/><Relationship Id="rId29" Type="http://schemas.openxmlformats.org/officeDocument/2006/relationships/queryTable" Target="../queryTables/queryTable171.xml"/><Relationship Id="rId1" Type="http://schemas.openxmlformats.org/officeDocument/2006/relationships/drawing" Target="../drawings/drawing3.xml"/><Relationship Id="rId6" Type="http://schemas.openxmlformats.org/officeDocument/2006/relationships/queryTable" Target="../queryTables/queryTable148.xml"/><Relationship Id="rId11" Type="http://schemas.openxmlformats.org/officeDocument/2006/relationships/queryTable" Target="../queryTables/queryTable153.xml"/><Relationship Id="rId24" Type="http://schemas.openxmlformats.org/officeDocument/2006/relationships/queryTable" Target="../queryTables/queryTable166.xml"/><Relationship Id="rId32" Type="http://schemas.openxmlformats.org/officeDocument/2006/relationships/queryTable" Target="../queryTables/queryTable174.xml"/><Relationship Id="rId5" Type="http://schemas.openxmlformats.org/officeDocument/2006/relationships/queryTable" Target="../queryTables/queryTable147.xml"/><Relationship Id="rId15" Type="http://schemas.openxmlformats.org/officeDocument/2006/relationships/queryTable" Target="../queryTables/queryTable157.xml"/><Relationship Id="rId23" Type="http://schemas.openxmlformats.org/officeDocument/2006/relationships/queryTable" Target="../queryTables/queryTable165.xml"/><Relationship Id="rId28" Type="http://schemas.openxmlformats.org/officeDocument/2006/relationships/queryTable" Target="../queryTables/queryTable170.xml"/><Relationship Id="rId10" Type="http://schemas.openxmlformats.org/officeDocument/2006/relationships/queryTable" Target="../queryTables/queryTable152.xml"/><Relationship Id="rId19" Type="http://schemas.openxmlformats.org/officeDocument/2006/relationships/queryTable" Target="../queryTables/queryTable161.xml"/><Relationship Id="rId31" Type="http://schemas.openxmlformats.org/officeDocument/2006/relationships/queryTable" Target="../queryTables/queryTable173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151.xml"/><Relationship Id="rId14" Type="http://schemas.openxmlformats.org/officeDocument/2006/relationships/queryTable" Target="../queryTables/queryTable156.xml"/><Relationship Id="rId22" Type="http://schemas.openxmlformats.org/officeDocument/2006/relationships/queryTable" Target="../queryTables/queryTable164.xml"/><Relationship Id="rId27" Type="http://schemas.openxmlformats.org/officeDocument/2006/relationships/queryTable" Target="../queryTables/queryTable169.xml"/><Relationship Id="rId30" Type="http://schemas.openxmlformats.org/officeDocument/2006/relationships/queryTable" Target="../queryTables/queryTable172.xml"/><Relationship Id="rId35" Type="http://schemas.openxmlformats.org/officeDocument/2006/relationships/queryTable" Target="../queryTables/queryTable17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81.xml"/><Relationship Id="rId13" Type="http://schemas.openxmlformats.org/officeDocument/2006/relationships/queryTable" Target="../queryTables/queryTable186.xml"/><Relationship Id="rId18" Type="http://schemas.openxmlformats.org/officeDocument/2006/relationships/queryTable" Target="../queryTables/queryTable191.xml"/><Relationship Id="rId26" Type="http://schemas.openxmlformats.org/officeDocument/2006/relationships/queryTable" Target="../queryTables/queryTable199.xml"/><Relationship Id="rId39" Type="http://schemas.openxmlformats.org/officeDocument/2006/relationships/queryTable" Target="../queryTables/queryTable212.xml"/><Relationship Id="rId3" Type="http://schemas.openxmlformats.org/officeDocument/2006/relationships/ctrlProp" Target="../ctrlProps/ctrlProp7.xml"/><Relationship Id="rId21" Type="http://schemas.openxmlformats.org/officeDocument/2006/relationships/queryTable" Target="../queryTables/queryTable194.xml"/><Relationship Id="rId34" Type="http://schemas.openxmlformats.org/officeDocument/2006/relationships/queryTable" Target="../queryTables/queryTable207.xml"/><Relationship Id="rId7" Type="http://schemas.openxmlformats.org/officeDocument/2006/relationships/queryTable" Target="../queryTables/queryTable180.xml"/><Relationship Id="rId12" Type="http://schemas.openxmlformats.org/officeDocument/2006/relationships/queryTable" Target="../queryTables/queryTable185.xml"/><Relationship Id="rId17" Type="http://schemas.openxmlformats.org/officeDocument/2006/relationships/queryTable" Target="../queryTables/queryTable190.xml"/><Relationship Id="rId25" Type="http://schemas.openxmlformats.org/officeDocument/2006/relationships/queryTable" Target="../queryTables/queryTable198.xml"/><Relationship Id="rId33" Type="http://schemas.openxmlformats.org/officeDocument/2006/relationships/queryTable" Target="../queryTables/queryTable206.xml"/><Relationship Id="rId38" Type="http://schemas.openxmlformats.org/officeDocument/2006/relationships/queryTable" Target="../queryTables/queryTable211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189.xml"/><Relationship Id="rId20" Type="http://schemas.openxmlformats.org/officeDocument/2006/relationships/queryTable" Target="../queryTables/queryTable193.xml"/><Relationship Id="rId29" Type="http://schemas.openxmlformats.org/officeDocument/2006/relationships/queryTable" Target="../queryTables/queryTable202.xml"/><Relationship Id="rId1" Type="http://schemas.openxmlformats.org/officeDocument/2006/relationships/drawing" Target="../drawings/drawing4.xml"/><Relationship Id="rId6" Type="http://schemas.openxmlformats.org/officeDocument/2006/relationships/queryTable" Target="../queryTables/queryTable179.xml"/><Relationship Id="rId11" Type="http://schemas.openxmlformats.org/officeDocument/2006/relationships/queryTable" Target="../queryTables/queryTable184.xml"/><Relationship Id="rId24" Type="http://schemas.openxmlformats.org/officeDocument/2006/relationships/queryTable" Target="../queryTables/queryTable197.xml"/><Relationship Id="rId32" Type="http://schemas.openxmlformats.org/officeDocument/2006/relationships/queryTable" Target="../queryTables/queryTable205.xml"/><Relationship Id="rId37" Type="http://schemas.openxmlformats.org/officeDocument/2006/relationships/queryTable" Target="../queryTables/queryTable210.xml"/><Relationship Id="rId40" Type="http://schemas.openxmlformats.org/officeDocument/2006/relationships/queryTable" Target="../queryTables/queryTable213.xml"/><Relationship Id="rId5" Type="http://schemas.openxmlformats.org/officeDocument/2006/relationships/queryTable" Target="../queryTables/queryTable178.xml"/><Relationship Id="rId15" Type="http://schemas.openxmlformats.org/officeDocument/2006/relationships/queryTable" Target="../queryTables/queryTable188.xml"/><Relationship Id="rId23" Type="http://schemas.openxmlformats.org/officeDocument/2006/relationships/queryTable" Target="../queryTables/queryTable196.xml"/><Relationship Id="rId28" Type="http://schemas.openxmlformats.org/officeDocument/2006/relationships/queryTable" Target="../queryTables/queryTable201.xml"/><Relationship Id="rId36" Type="http://schemas.openxmlformats.org/officeDocument/2006/relationships/queryTable" Target="../queryTables/queryTable209.xml"/><Relationship Id="rId10" Type="http://schemas.openxmlformats.org/officeDocument/2006/relationships/queryTable" Target="../queryTables/queryTable183.xml"/><Relationship Id="rId19" Type="http://schemas.openxmlformats.org/officeDocument/2006/relationships/queryTable" Target="../queryTables/queryTable192.xml"/><Relationship Id="rId31" Type="http://schemas.openxmlformats.org/officeDocument/2006/relationships/queryTable" Target="../queryTables/queryTable204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182.xml"/><Relationship Id="rId14" Type="http://schemas.openxmlformats.org/officeDocument/2006/relationships/queryTable" Target="../queryTables/queryTable187.xml"/><Relationship Id="rId22" Type="http://schemas.openxmlformats.org/officeDocument/2006/relationships/queryTable" Target="../queryTables/queryTable195.xml"/><Relationship Id="rId27" Type="http://schemas.openxmlformats.org/officeDocument/2006/relationships/queryTable" Target="../queryTables/queryTable200.xml"/><Relationship Id="rId30" Type="http://schemas.openxmlformats.org/officeDocument/2006/relationships/queryTable" Target="../queryTables/queryTable203.xml"/><Relationship Id="rId35" Type="http://schemas.openxmlformats.org/officeDocument/2006/relationships/queryTable" Target="../queryTables/queryTable208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22.xml"/><Relationship Id="rId18" Type="http://schemas.openxmlformats.org/officeDocument/2006/relationships/queryTable" Target="../queryTables/queryTable227.xml"/><Relationship Id="rId26" Type="http://schemas.openxmlformats.org/officeDocument/2006/relationships/queryTable" Target="../queryTables/queryTable235.xml"/><Relationship Id="rId39" Type="http://schemas.openxmlformats.org/officeDocument/2006/relationships/queryTable" Target="../queryTables/queryTable248.xml"/><Relationship Id="rId21" Type="http://schemas.openxmlformats.org/officeDocument/2006/relationships/queryTable" Target="../queryTables/queryTable230.xml"/><Relationship Id="rId34" Type="http://schemas.openxmlformats.org/officeDocument/2006/relationships/queryTable" Target="../queryTables/queryTable243.xml"/><Relationship Id="rId42" Type="http://schemas.openxmlformats.org/officeDocument/2006/relationships/queryTable" Target="../queryTables/queryTable251.xml"/><Relationship Id="rId47" Type="http://schemas.openxmlformats.org/officeDocument/2006/relationships/queryTable" Target="../queryTables/queryTable256.xml"/><Relationship Id="rId50" Type="http://schemas.openxmlformats.org/officeDocument/2006/relationships/queryTable" Target="../queryTables/queryTable259.xml"/><Relationship Id="rId55" Type="http://schemas.openxmlformats.org/officeDocument/2006/relationships/queryTable" Target="../queryTables/queryTable264.xml"/><Relationship Id="rId7" Type="http://schemas.openxmlformats.org/officeDocument/2006/relationships/queryTable" Target="../queryTables/queryTable216.xml"/><Relationship Id="rId12" Type="http://schemas.openxmlformats.org/officeDocument/2006/relationships/queryTable" Target="../queryTables/queryTable221.xml"/><Relationship Id="rId17" Type="http://schemas.openxmlformats.org/officeDocument/2006/relationships/queryTable" Target="../queryTables/queryTable226.xml"/><Relationship Id="rId25" Type="http://schemas.openxmlformats.org/officeDocument/2006/relationships/queryTable" Target="../queryTables/queryTable234.xml"/><Relationship Id="rId33" Type="http://schemas.openxmlformats.org/officeDocument/2006/relationships/queryTable" Target="../queryTables/queryTable242.xml"/><Relationship Id="rId38" Type="http://schemas.openxmlformats.org/officeDocument/2006/relationships/queryTable" Target="../queryTables/queryTable247.xml"/><Relationship Id="rId46" Type="http://schemas.openxmlformats.org/officeDocument/2006/relationships/queryTable" Target="../queryTables/queryTable255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25.xml"/><Relationship Id="rId20" Type="http://schemas.openxmlformats.org/officeDocument/2006/relationships/queryTable" Target="../queryTables/queryTable229.xml"/><Relationship Id="rId29" Type="http://schemas.openxmlformats.org/officeDocument/2006/relationships/queryTable" Target="../queryTables/queryTable238.xml"/><Relationship Id="rId41" Type="http://schemas.openxmlformats.org/officeDocument/2006/relationships/queryTable" Target="../queryTables/queryTable250.xml"/><Relationship Id="rId54" Type="http://schemas.openxmlformats.org/officeDocument/2006/relationships/queryTable" Target="../queryTables/queryTable263.xml"/><Relationship Id="rId1" Type="http://schemas.openxmlformats.org/officeDocument/2006/relationships/drawing" Target="../drawings/drawing5.xml"/><Relationship Id="rId6" Type="http://schemas.openxmlformats.org/officeDocument/2006/relationships/queryTable" Target="../queryTables/queryTable215.xml"/><Relationship Id="rId11" Type="http://schemas.openxmlformats.org/officeDocument/2006/relationships/queryTable" Target="../queryTables/queryTable220.xml"/><Relationship Id="rId24" Type="http://schemas.openxmlformats.org/officeDocument/2006/relationships/queryTable" Target="../queryTables/queryTable233.xml"/><Relationship Id="rId32" Type="http://schemas.openxmlformats.org/officeDocument/2006/relationships/queryTable" Target="../queryTables/queryTable241.xml"/><Relationship Id="rId37" Type="http://schemas.openxmlformats.org/officeDocument/2006/relationships/queryTable" Target="../queryTables/queryTable246.xml"/><Relationship Id="rId40" Type="http://schemas.openxmlformats.org/officeDocument/2006/relationships/queryTable" Target="../queryTables/queryTable249.xml"/><Relationship Id="rId45" Type="http://schemas.openxmlformats.org/officeDocument/2006/relationships/queryTable" Target="../queryTables/queryTable254.xml"/><Relationship Id="rId53" Type="http://schemas.openxmlformats.org/officeDocument/2006/relationships/queryTable" Target="../queryTables/queryTable262.xml"/><Relationship Id="rId5" Type="http://schemas.openxmlformats.org/officeDocument/2006/relationships/queryTable" Target="../queryTables/queryTable214.xml"/><Relationship Id="rId15" Type="http://schemas.openxmlformats.org/officeDocument/2006/relationships/queryTable" Target="../queryTables/queryTable224.xml"/><Relationship Id="rId23" Type="http://schemas.openxmlformats.org/officeDocument/2006/relationships/queryTable" Target="../queryTables/queryTable232.xml"/><Relationship Id="rId28" Type="http://schemas.openxmlformats.org/officeDocument/2006/relationships/queryTable" Target="../queryTables/queryTable237.xml"/><Relationship Id="rId36" Type="http://schemas.openxmlformats.org/officeDocument/2006/relationships/queryTable" Target="../queryTables/queryTable245.xml"/><Relationship Id="rId49" Type="http://schemas.openxmlformats.org/officeDocument/2006/relationships/queryTable" Target="../queryTables/queryTable258.xml"/><Relationship Id="rId10" Type="http://schemas.openxmlformats.org/officeDocument/2006/relationships/queryTable" Target="../queryTables/queryTable219.xml"/><Relationship Id="rId19" Type="http://schemas.openxmlformats.org/officeDocument/2006/relationships/queryTable" Target="../queryTables/queryTable228.xml"/><Relationship Id="rId31" Type="http://schemas.openxmlformats.org/officeDocument/2006/relationships/queryTable" Target="../queryTables/queryTable240.xml"/><Relationship Id="rId44" Type="http://schemas.openxmlformats.org/officeDocument/2006/relationships/queryTable" Target="../queryTables/queryTable253.xml"/><Relationship Id="rId52" Type="http://schemas.openxmlformats.org/officeDocument/2006/relationships/queryTable" Target="../queryTables/queryTable261.xml"/><Relationship Id="rId4" Type="http://schemas.openxmlformats.org/officeDocument/2006/relationships/ctrlProp" Target="../ctrlProps/ctrlProp10.xml"/><Relationship Id="rId9" Type="http://schemas.openxmlformats.org/officeDocument/2006/relationships/queryTable" Target="../queryTables/queryTable218.xml"/><Relationship Id="rId14" Type="http://schemas.openxmlformats.org/officeDocument/2006/relationships/queryTable" Target="../queryTables/queryTable223.xml"/><Relationship Id="rId22" Type="http://schemas.openxmlformats.org/officeDocument/2006/relationships/queryTable" Target="../queryTables/queryTable231.xml"/><Relationship Id="rId27" Type="http://schemas.openxmlformats.org/officeDocument/2006/relationships/queryTable" Target="../queryTables/queryTable236.xml"/><Relationship Id="rId30" Type="http://schemas.openxmlformats.org/officeDocument/2006/relationships/queryTable" Target="../queryTables/queryTable239.xml"/><Relationship Id="rId35" Type="http://schemas.openxmlformats.org/officeDocument/2006/relationships/queryTable" Target="../queryTables/queryTable244.xml"/><Relationship Id="rId43" Type="http://schemas.openxmlformats.org/officeDocument/2006/relationships/queryTable" Target="../queryTables/queryTable252.xml"/><Relationship Id="rId48" Type="http://schemas.openxmlformats.org/officeDocument/2006/relationships/queryTable" Target="../queryTables/queryTable257.xml"/><Relationship Id="rId56" Type="http://schemas.openxmlformats.org/officeDocument/2006/relationships/queryTable" Target="../queryTables/queryTable265.xml"/><Relationship Id="rId8" Type="http://schemas.openxmlformats.org/officeDocument/2006/relationships/queryTable" Target="../queryTables/queryTable217.xml"/><Relationship Id="rId51" Type="http://schemas.openxmlformats.org/officeDocument/2006/relationships/queryTable" Target="../queryTables/queryTable260.xml"/><Relationship Id="rId3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67.xml"/><Relationship Id="rId13" Type="http://schemas.openxmlformats.org/officeDocument/2006/relationships/queryTable" Target="../queryTables/queryTable272.xml"/><Relationship Id="rId18" Type="http://schemas.openxmlformats.org/officeDocument/2006/relationships/queryTable" Target="../queryTables/queryTable277.xml"/><Relationship Id="rId3" Type="http://schemas.openxmlformats.org/officeDocument/2006/relationships/vmlDrawing" Target="../drawings/vmlDrawing11.vml"/><Relationship Id="rId21" Type="http://schemas.openxmlformats.org/officeDocument/2006/relationships/queryTable" Target="../queryTables/queryTable280.xml"/><Relationship Id="rId7" Type="http://schemas.openxmlformats.org/officeDocument/2006/relationships/queryTable" Target="../queryTables/queryTable266.xml"/><Relationship Id="rId12" Type="http://schemas.openxmlformats.org/officeDocument/2006/relationships/queryTable" Target="../queryTables/queryTable271.xml"/><Relationship Id="rId17" Type="http://schemas.openxmlformats.org/officeDocument/2006/relationships/queryTable" Target="../queryTables/queryTable276.xml"/><Relationship Id="rId2" Type="http://schemas.openxmlformats.org/officeDocument/2006/relationships/drawing" Target="../drawings/drawing10.xml"/><Relationship Id="rId16" Type="http://schemas.openxmlformats.org/officeDocument/2006/relationships/queryTable" Target="../queryTables/queryTable275.xml"/><Relationship Id="rId20" Type="http://schemas.openxmlformats.org/officeDocument/2006/relationships/queryTable" Target="../queryTables/queryTable27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1.xml"/><Relationship Id="rId11" Type="http://schemas.openxmlformats.org/officeDocument/2006/relationships/queryTable" Target="../queryTables/queryTable270.xml"/><Relationship Id="rId5" Type="http://schemas.openxmlformats.org/officeDocument/2006/relationships/ctrlProp" Target="../ctrlProps/ctrlProp20.xml"/><Relationship Id="rId15" Type="http://schemas.openxmlformats.org/officeDocument/2006/relationships/queryTable" Target="../queryTables/queryTable274.xml"/><Relationship Id="rId10" Type="http://schemas.openxmlformats.org/officeDocument/2006/relationships/queryTable" Target="../queryTables/queryTable269.xml"/><Relationship Id="rId19" Type="http://schemas.openxmlformats.org/officeDocument/2006/relationships/queryTable" Target="../queryTables/queryTable278.xml"/><Relationship Id="rId4" Type="http://schemas.openxmlformats.org/officeDocument/2006/relationships/ctrlProp" Target="../ctrlProps/ctrlProp19.xml"/><Relationship Id="rId9" Type="http://schemas.openxmlformats.org/officeDocument/2006/relationships/queryTable" Target="../queryTables/queryTable268.xml"/><Relationship Id="rId14" Type="http://schemas.openxmlformats.org/officeDocument/2006/relationships/queryTable" Target="../queryTables/queryTable27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08D5D-418B-4733-B7D6-D554B4E83B67}">
  <sheetPr codeName="Sheet1"/>
  <dimension ref="A1:K3"/>
  <sheetViews>
    <sheetView workbookViewId="0">
      <selection activeCell="I4" sqref="I4"/>
    </sheetView>
  </sheetViews>
  <sheetFormatPr defaultColWidth="8.81640625" defaultRowHeight="14.5" x14ac:dyDescent="0.35"/>
  <cols>
    <col min="1" max="1" width="10.54296875" style="49" bestFit="1" customWidth="1"/>
    <col min="2" max="2" width="1.36328125" style="49" customWidth="1"/>
    <col min="3" max="3" width="4.1796875" style="49" bestFit="1" customWidth="1"/>
    <col min="4" max="4" width="7" style="49" bestFit="1" customWidth="1"/>
    <col min="5" max="5" width="1.36328125" style="49" customWidth="1"/>
    <col min="6" max="6" width="8.81640625" style="49"/>
    <col min="7" max="7" width="2.90625" style="49" bestFit="1" customWidth="1"/>
    <col min="8" max="8" width="1.36328125" style="49" customWidth="1"/>
    <col min="9" max="9" width="18.1796875" style="49" bestFit="1" customWidth="1"/>
    <col min="10" max="10" width="2" style="51" bestFit="1" customWidth="1"/>
    <col min="11" max="16384" width="8.81640625" style="49"/>
  </cols>
  <sheetData>
    <row r="1" spans="1:11" x14ac:dyDescent="0.35">
      <c r="A1" s="3" t="s">
        <v>11</v>
      </c>
      <c r="B1" s="3"/>
      <c r="C1" s="49" t="s">
        <v>14</v>
      </c>
      <c r="D1" s="53" t="s">
        <v>72</v>
      </c>
      <c r="E1" s="3"/>
      <c r="F1" s="49" t="s">
        <v>15</v>
      </c>
      <c r="G1" s="53" t="s">
        <v>5</v>
      </c>
      <c r="H1" s="3"/>
      <c r="I1" s="50" t="s">
        <v>86</v>
      </c>
      <c r="J1" s="52">
        <v>2</v>
      </c>
      <c r="K1" s="3" t="s">
        <v>143</v>
      </c>
    </row>
    <row r="2" spans="1:11" x14ac:dyDescent="0.35">
      <c r="A2" s="3" t="s">
        <v>13</v>
      </c>
      <c r="B2" s="3"/>
      <c r="C2" s="49" t="s">
        <v>14</v>
      </c>
      <c r="D2" s="53" t="s">
        <v>10</v>
      </c>
      <c r="E2" s="3"/>
      <c r="H2" s="3"/>
    </row>
    <row r="3" spans="1:11" x14ac:dyDescent="0.35">
      <c r="A3" s="3" t="s">
        <v>12</v>
      </c>
      <c r="B3" s="3"/>
      <c r="C3" s="49" t="s">
        <v>14</v>
      </c>
      <c r="D3" s="53" t="s">
        <v>61</v>
      </c>
      <c r="E3" s="3"/>
      <c r="H3" s="3"/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415DD51-81A5-45EA-BAEE-D8B43D72D1B6}">
          <x14:formula1>
            <xm:f>Internal!$A$2:$A$3</xm:f>
          </x14:formula1>
          <xm:sqref>G1</xm:sqref>
        </x14:dataValidation>
        <x14:dataValidation type="list" allowBlank="1" showInputMessage="1" showErrorMessage="1" xr:uid="{C8B68B2F-7C22-4A78-893C-DDCB3D8897DF}">
          <x14:formula1>
            <xm:f>Internal!$G$2:$G$5</xm:f>
          </x14:formula1>
          <xm:sqref>J1</xm:sqref>
        </x14:dataValidation>
        <x14:dataValidation type="list" allowBlank="1" showInputMessage="1" showErrorMessage="1" xr:uid="{D8948F9F-33EB-4889-AA66-8A7E230F36BD}">
          <x14:formula1>
            <xm:f>Internal!$H$2:$H$31</xm:f>
          </x14:formula1>
          <xm:sqref>D2:D3</xm:sqref>
        </x14:dataValidation>
        <x14:dataValidation type="list" allowBlank="1" showInputMessage="1" showErrorMessage="1" xr:uid="{A80E2825-371F-4C1C-A903-FF1BA3DA9949}">
          <x14:formula1>
            <xm:f>Internal!$H$2:$H$31</xm:f>
          </x14:formula1>
          <xm:sqref>D1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EB802-58FC-4019-B2F5-E2E4833F523F}">
  <sheetPr codeName="Sheet2"/>
  <dimension ref="A1:BB40"/>
  <sheetViews>
    <sheetView topLeftCell="AT1" workbookViewId="0">
      <selection activeCell="AZ5" sqref="AZ5"/>
    </sheetView>
  </sheetViews>
  <sheetFormatPr defaultColWidth="12.1796875" defaultRowHeight="14.5" x14ac:dyDescent="0.35"/>
  <cols>
    <col min="1" max="1" width="2.81640625" style="11" bestFit="1" customWidth="1"/>
    <col min="2" max="2" width="11.54296875" style="11" bestFit="1" customWidth="1"/>
    <col min="3" max="3" width="9.54296875" style="54" bestFit="1" customWidth="1"/>
    <col min="4" max="4" width="12.1796875" style="12"/>
    <col min="5" max="6" width="12.1796875" style="12" customWidth="1"/>
    <col min="7" max="7" width="12.453125" style="12" customWidth="1"/>
    <col min="8" max="8" width="12.1796875" style="95" customWidth="1"/>
    <col min="9" max="10" width="12.453125" style="70" customWidth="1"/>
    <col min="11" max="11" width="12.1796875" style="12" customWidth="1"/>
    <col min="12" max="12" width="12.1796875" style="70"/>
    <col min="13" max="14" width="12.1796875" style="12"/>
    <col min="15" max="16" width="12.1796875" style="13"/>
    <col min="17" max="17" width="12.1796875" style="77" customWidth="1"/>
    <col min="18" max="18" width="14" style="77" bestFit="1" customWidth="1"/>
    <col min="19" max="19" width="12.1796875" style="77" customWidth="1"/>
    <col min="20" max="21" width="12.1796875" style="14"/>
    <col min="22" max="22" width="12.1796875" style="100"/>
    <col min="23" max="23" width="14" style="100" bestFit="1" customWidth="1"/>
    <col min="24" max="24" width="12.1796875" style="100"/>
    <col min="25" max="26" width="12.1796875" style="13"/>
    <col min="27" max="27" width="12.1796875" style="77"/>
    <col min="28" max="28" width="14" style="77" bestFit="1" customWidth="1"/>
    <col min="29" max="29" width="12.1796875" style="77"/>
    <col min="30" max="31" width="12.1796875" style="14"/>
    <col min="32" max="32" width="12.1796875" style="100"/>
    <col min="33" max="33" width="14" style="100" bestFit="1" customWidth="1"/>
    <col min="34" max="34" width="12.1796875" style="100"/>
    <col min="35" max="36" width="12.1796875" style="13"/>
    <col min="37" max="37" width="12.1796875" style="77"/>
    <col min="38" max="38" width="14" style="13" bestFit="1" customWidth="1"/>
    <col min="39" max="39" width="12.1796875" style="13"/>
    <col min="40" max="41" width="12.1796875" style="14"/>
    <col min="42" max="42" width="12.1796875" style="100"/>
    <col min="43" max="43" width="14" style="100" bestFit="1" customWidth="1"/>
    <col min="44" max="44" width="12.1796875" style="100"/>
    <col min="45" max="46" width="12.1796875" style="13"/>
    <col min="47" max="47" width="12.1796875" style="77"/>
    <col min="48" max="48" width="14" style="77" bestFit="1" customWidth="1"/>
    <col min="49" max="49" width="12.1796875" style="77"/>
    <col min="50" max="51" width="12.1796875" style="14"/>
    <col min="52" max="52" width="12.1796875" style="100"/>
    <col min="53" max="53" width="14" style="100" bestFit="1" customWidth="1"/>
    <col min="54" max="54" width="12.1796875" style="100"/>
    <col min="55" max="16384" width="12.1796875" style="16"/>
  </cols>
  <sheetData>
    <row r="1" spans="1:54" s="10" customFormat="1" ht="15" thickBot="1" x14ac:dyDescent="0.4">
      <c r="A1" s="6" t="s">
        <v>23</v>
      </c>
      <c r="B1" s="57" t="s">
        <v>89</v>
      </c>
      <c r="C1" s="57" t="s">
        <v>87</v>
      </c>
      <c r="D1" s="7" t="s">
        <v>51</v>
      </c>
      <c r="E1" s="7" t="s">
        <v>31</v>
      </c>
      <c r="F1" s="7"/>
      <c r="G1" s="7" t="s">
        <v>32</v>
      </c>
      <c r="H1" s="66" t="s">
        <v>154</v>
      </c>
      <c r="I1" s="66" t="s">
        <v>169</v>
      </c>
      <c r="J1" s="66" t="s">
        <v>155</v>
      </c>
      <c r="K1" s="7" t="s">
        <v>33</v>
      </c>
      <c r="L1" s="66" t="s">
        <v>170</v>
      </c>
      <c r="M1" s="66" t="s">
        <v>169</v>
      </c>
      <c r="N1" s="66" t="s">
        <v>155</v>
      </c>
      <c r="O1" s="8" t="s">
        <v>53</v>
      </c>
      <c r="P1" s="8" t="s">
        <v>46</v>
      </c>
      <c r="Q1" s="73" t="s">
        <v>160</v>
      </c>
      <c r="R1" s="73" t="s">
        <v>162</v>
      </c>
      <c r="S1" s="73" t="s">
        <v>161</v>
      </c>
      <c r="T1" s="9" t="s">
        <v>54</v>
      </c>
      <c r="U1" s="9" t="s">
        <v>16</v>
      </c>
      <c r="V1" s="99" t="s">
        <v>171</v>
      </c>
      <c r="W1" s="99" t="s">
        <v>162</v>
      </c>
      <c r="X1" s="99" t="s">
        <v>161</v>
      </c>
      <c r="Y1" s="8" t="s">
        <v>55</v>
      </c>
      <c r="Z1" s="8" t="s">
        <v>17</v>
      </c>
      <c r="AA1" s="73" t="s">
        <v>172</v>
      </c>
      <c r="AB1" s="73" t="s">
        <v>162</v>
      </c>
      <c r="AC1" s="73" t="s">
        <v>161</v>
      </c>
      <c r="AD1" s="9" t="s">
        <v>56</v>
      </c>
      <c r="AE1" s="9" t="s">
        <v>18</v>
      </c>
      <c r="AF1" s="99" t="s">
        <v>173</v>
      </c>
      <c r="AG1" s="99" t="s">
        <v>162</v>
      </c>
      <c r="AH1" s="99" t="s">
        <v>161</v>
      </c>
      <c r="AI1" s="8" t="s">
        <v>57</v>
      </c>
      <c r="AJ1" s="8" t="s">
        <v>19</v>
      </c>
      <c r="AK1" s="73" t="s">
        <v>175</v>
      </c>
      <c r="AL1" s="73" t="s">
        <v>176</v>
      </c>
      <c r="AM1" s="73" t="s">
        <v>177</v>
      </c>
      <c r="AN1" s="9" t="s">
        <v>58</v>
      </c>
      <c r="AO1" s="9" t="s">
        <v>20</v>
      </c>
      <c r="AP1" s="99" t="s">
        <v>178</v>
      </c>
      <c r="AQ1" s="99" t="s">
        <v>179</v>
      </c>
      <c r="AR1" s="99" t="s">
        <v>180</v>
      </c>
      <c r="AS1" s="8" t="s">
        <v>59</v>
      </c>
      <c r="AT1" s="8" t="s">
        <v>21</v>
      </c>
      <c r="AU1" s="73" t="s">
        <v>181</v>
      </c>
      <c r="AV1" s="73" t="s">
        <v>182</v>
      </c>
      <c r="AW1" s="73" t="s">
        <v>183</v>
      </c>
      <c r="AX1" s="9" t="s">
        <v>60</v>
      </c>
      <c r="AY1" s="9" t="s">
        <v>22</v>
      </c>
      <c r="AZ1" s="99" t="s">
        <v>184</v>
      </c>
      <c r="BA1" s="99" t="s">
        <v>185</v>
      </c>
      <c r="BB1" s="99" t="s">
        <v>186</v>
      </c>
    </row>
    <row r="2" spans="1:54" x14ac:dyDescent="0.35">
      <c r="A2" s="11">
        <v>1</v>
      </c>
      <c r="B2" s="11">
        <v>-5000</v>
      </c>
      <c r="C2" s="58">
        <v>-29475</v>
      </c>
      <c r="D2" s="12">
        <f>Voltage!L2</f>
        <v>-8.9890843</v>
      </c>
      <c r="E2" s="12">
        <f>Voltage!M2</f>
        <v>0</v>
      </c>
      <c r="G2" s="12">
        <f>Voltage!N2</f>
        <v>-29516</v>
      </c>
      <c r="H2" s="82">
        <f t="shared" ref="H2:H11" si="0">G2*H$26+H$32</f>
        <v>-8.9891553037999987</v>
      </c>
      <c r="I2" s="79">
        <f t="shared" ref="I2:I22" si="1">ABS($D2-H2)</f>
        <v>7.100379999869233E-5</v>
      </c>
      <c r="J2" s="85">
        <f t="shared" ref="J2:J22" si="2">ABS(I2/$D2)</f>
        <v>7.8988913251923032E-6</v>
      </c>
      <c r="K2" s="12">
        <f>Voltage!O2</f>
        <v>-29514</v>
      </c>
      <c r="L2" s="82">
        <f t="shared" ref="L2:L11" si="3">K2*L$26+L$32</f>
        <v>-8.9888843627000004</v>
      </c>
      <c r="M2" s="112">
        <f>ABS($D2-L2)</f>
        <v>1.9993729999967513E-4</v>
      </c>
      <c r="N2" s="85">
        <f>ABS(M2/$D2)</f>
        <v>2.2242232170375256E-5</v>
      </c>
      <c r="O2" s="61">
        <f>'Range 0'!L2*1000</f>
        <v>-99.720478999999997</v>
      </c>
      <c r="P2" s="13">
        <f>'Range 0'!M2</f>
        <v>-27334</v>
      </c>
      <c r="Q2" s="91">
        <f t="shared" ref="Q2:Q11" si="4">P2*Q$26+Q$32</f>
        <v>-99.632912786000006</v>
      </c>
      <c r="R2" s="91">
        <f t="shared" ref="R2:R22" si="5">ABS(Q2-O2)</f>
        <v>8.756621399999176E-2</v>
      </c>
      <c r="S2" s="88">
        <f t="shared" ref="S2:S22" si="6">ABS(R2/CUR_RNG_R0)</f>
        <v>8.7566213999991762E-4</v>
      </c>
      <c r="T2" s="15">
        <f>'Range 1'!L2*1000</f>
        <v>-5.0700798000000002</v>
      </c>
      <c r="U2" s="14">
        <f>'Range 1'!M2</f>
        <v>-27566</v>
      </c>
      <c r="V2" s="100">
        <f t="shared" ref="V2:V11" si="7">U2*V$26+V$32</f>
        <v>-5.0651717304000003</v>
      </c>
      <c r="W2" s="107">
        <f t="shared" ref="W2:W22" si="8">ABS(V2-T2)</f>
        <v>4.908069599999898E-3</v>
      </c>
      <c r="X2" s="118">
        <f t="shared" ref="X2:X22" si="9">ABS(W2/CUR_RNG_R1)</f>
        <v>4.9080695999998978E-5</v>
      </c>
      <c r="Y2" s="61">
        <f>'Range 2'!L2*1000</f>
        <v>-0.24560000000000001</v>
      </c>
      <c r="Z2" s="13">
        <f>'Range 2'!M2</f>
        <v>-27572</v>
      </c>
      <c r="AA2" s="77">
        <f t="shared" ref="AA2:AA11" si="10">Z2*AA$26+AA$32</f>
        <v>-0.24525331646600002</v>
      </c>
      <c r="AB2" s="91">
        <f t="shared" ref="AB2:AB22" si="11">ABS(AA2-Y2)</f>
        <v>3.4668353399999741E-4</v>
      </c>
      <c r="AC2" s="115">
        <f t="shared" ref="AC2:AC22" si="12">ABS(AB2/CUR_RNG_R2)</f>
        <v>3.4668353399999742E-5</v>
      </c>
      <c r="AD2" s="15">
        <f>'Range 3'!L2*1000</f>
        <v>-1.2699E-2</v>
      </c>
      <c r="AE2" s="14">
        <f>'Range 3'!M2</f>
        <v>-27586</v>
      </c>
      <c r="AF2" s="100">
        <f t="shared" ref="AF2:AF11" si="13">AE2*AF$26+AF$32</f>
        <v>-1.2681650513800002E-2</v>
      </c>
      <c r="AG2" s="107">
        <f t="shared" ref="AG2:AG22" si="14">ABS(AF2-AD2)</f>
        <v>1.7349486199998501E-5</v>
      </c>
      <c r="AH2" s="118">
        <f t="shared" ref="AH2:AH22" si="15">ABS(AG2/CUR_RNG_R3)</f>
        <v>1.7349486199998501E-5</v>
      </c>
      <c r="AK2" s="77">
        <f t="shared" ref="AK2:AK11" si="16">AJ2*AK$26+AK$32</f>
        <v>0</v>
      </c>
      <c r="AL2" s="91">
        <f t="shared" ref="AL2:AL22" si="17">ABS(AK2-AI2)</f>
        <v>0</v>
      </c>
      <c r="AM2" s="122">
        <f t="shared" ref="AM2:AM22" si="18">ABS(AL2/CUR_RNG_R3)</f>
        <v>0</v>
      </c>
      <c r="AP2" s="100" t="e">
        <f>AO2*AO$26+AO$32</f>
        <v>#DIV/0!</v>
      </c>
      <c r="AQ2" s="107" t="e">
        <f t="shared" ref="AQ2:AQ22" si="19">ABS(AP2-AN2)</f>
        <v>#DIV/0!</v>
      </c>
      <c r="AR2" s="118" t="e">
        <f t="shared" ref="AR2:AR22" si="20">ABS(AQ2/CUR_RNG_R3)</f>
        <v>#DIV/0!</v>
      </c>
      <c r="AU2" s="77" t="e">
        <f>AT2*AT$26+AT$32</f>
        <v>#DIV/0!</v>
      </c>
      <c r="AV2" s="91" t="e">
        <f t="shared" ref="AV2:AV22" si="21">ABS(AU2-AS2)</f>
        <v>#DIV/0!</v>
      </c>
      <c r="AW2" s="122" t="e">
        <f t="shared" ref="AW2:AW22" si="22">ABS(AV2/CUR_RNG_R3)</f>
        <v>#DIV/0!</v>
      </c>
      <c r="AZ2" s="100" t="e">
        <f>AY2*AY$26+AY$32</f>
        <v>#DIV/0!</v>
      </c>
      <c r="BA2" s="107" t="e">
        <f t="shared" ref="BA2:BA22" si="23">ABS(AZ2-AX2)</f>
        <v>#DIV/0!</v>
      </c>
      <c r="BB2" s="118" t="e">
        <f t="shared" ref="BB2:BB22" si="24">ABS(BA2/CUR_RNG_R3)</f>
        <v>#DIV/0!</v>
      </c>
    </row>
    <row r="3" spans="1:54" x14ac:dyDescent="0.35">
      <c r="A3" s="11">
        <v>2</v>
      </c>
      <c r="B3" s="11">
        <v>-4500</v>
      </c>
      <c r="C3" s="58">
        <v>-26200</v>
      </c>
      <c r="D3" s="12">
        <f>Voltage!L3</f>
        <v>-7.9895936000000001</v>
      </c>
      <c r="E3" s="12">
        <f>Voltage!M3</f>
        <v>0</v>
      </c>
      <c r="G3" s="12">
        <f>Voltage!N3</f>
        <v>-26235</v>
      </c>
      <c r="H3" s="82">
        <f t="shared" si="0"/>
        <v>-7.9896796944999995</v>
      </c>
      <c r="I3" s="79">
        <f t="shared" si="1"/>
        <v>8.6094499999411767E-5</v>
      </c>
      <c r="J3" s="85">
        <f t="shared" si="2"/>
        <v>1.077582969919919E-5</v>
      </c>
      <c r="K3" s="12">
        <f>Voltage!O3</f>
        <v>-26232</v>
      </c>
      <c r="L3" s="82">
        <f t="shared" si="3"/>
        <v>-7.9892212955000002</v>
      </c>
      <c r="M3" s="112">
        <f t="shared" ref="M3:M22" si="25">ABS($D3-L3)</f>
        <v>3.7230449999992032E-4</v>
      </c>
      <c r="N3" s="85">
        <f t="shared" ref="N3:N22" si="26">ABS(M3/$D3)</f>
        <v>4.6598678060411025E-5</v>
      </c>
      <c r="O3" s="13">
        <f>'Range 0'!L3*1000</f>
        <v>-89.724874</v>
      </c>
      <c r="P3" s="13">
        <f>'Range 0'!M3</f>
        <v>-24638</v>
      </c>
      <c r="Q3" s="91">
        <f t="shared" si="4"/>
        <v>-89.802881601999999</v>
      </c>
      <c r="R3" s="91">
        <f t="shared" si="5"/>
        <v>7.8007601999999565E-2</v>
      </c>
      <c r="S3" s="88">
        <f t="shared" si="6"/>
        <v>7.8007601999999568E-4</v>
      </c>
      <c r="T3" s="14">
        <f>'Range 1'!L3*1000</f>
        <v>-4.5621499999999999</v>
      </c>
      <c r="U3" s="14">
        <f>'Range 1'!M3</f>
        <v>-24858</v>
      </c>
      <c r="V3" s="100">
        <f t="shared" si="7"/>
        <v>-4.5674239991999999</v>
      </c>
      <c r="W3" s="107">
        <f t="shared" si="8"/>
        <v>5.2739991999999347E-3</v>
      </c>
      <c r="X3" s="118">
        <f t="shared" si="9"/>
        <v>5.2739991999999347E-5</v>
      </c>
      <c r="Y3" s="13">
        <f>'Range 2'!L3*1000</f>
        <v>-0.221</v>
      </c>
      <c r="Z3" s="13">
        <f>'Range 2'!M3</f>
        <v>-24868</v>
      </c>
      <c r="AA3" s="77">
        <f t="shared" si="10"/>
        <v>-0.22119506323400001</v>
      </c>
      <c r="AB3" s="91">
        <f t="shared" si="11"/>
        <v>1.9506323400000913E-4</v>
      </c>
      <c r="AC3" s="115">
        <f t="shared" si="12"/>
        <v>1.9506323400000914E-5</v>
      </c>
      <c r="AD3" s="14">
        <f>'Range 3'!L3*1000</f>
        <v>-1.1427E-2</v>
      </c>
      <c r="AE3" s="14">
        <f>'Range 3'!M3</f>
        <v>-24884</v>
      </c>
      <c r="AF3" s="100">
        <f t="shared" si="13"/>
        <v>-1.1439118791200001E-2</v>
      </c>
      <c r="AG3" s="107">
        <f t="shared" si="14"/>
        <v>1.2118791200001547E-5</v>
      </c>
      <c r="AH3" s="118">
        <f t="shared" si="15"/>
        <v>1.2118791200001547E-5</v>
      </c>
      <c r="AK3" s="77">
        <f t="shared" si="16"/>
        <v>0</v>
      </c>
      <c r="AL3" s="91">
        <f t="shared" si="17"/>
        <v>0</v>
      </c>
      <c r="AM3" s="122">
        <f t="shared" si="18"/>
        <v>0</v>
      </c>
      <c r="AP3" s="100" t="e">
        <f>AO3*AO$26+AO$32</f>
        <v>#DIV/0!</v>
      </c>
      <c r="AQ3" s="107" t="e">
        <f t="shared" si="19"/>
        <v>#DIV/0!</v>
      </c>
      <c r="AR3" s="118" t="e">
        <f t="shared" si="20"/>
        <v>#DIV/0!</v>
      </c>
      <c r="AU3" s="77" t="e">
        <f>AT3*AT$26+AT$32</f>
        <v>#DIV/0!</v>
      </c>
      <c r="AV3" s="91" t="e">
        <f t="shared" si="21"/>
        <v>#DIV/0!</v>
      </c>
      <c r="AW3" s="122" t="e">
        <f t="shared" si="22"/>
        <v>#DIV/0!</v>
      </c>
      <c r="AZ3" s="100" t="e">
        <f>AY3*AY$26+AY$32</f>
        <v>#DIV/0!</v>
      </c>
      <c r="BA3" s="107" t="e">
        <f t="shared" si="23"/>
        <v>#DIV/0!</v>
      </c>
      <c r="BB3" s="118" t="e">
        <f t="shared" si="24"/>
        <v>#DIV/0!</v>
      </c>
    </row>
    <row r="4" spans="1:54" x14ac:dyDescent="0.35">
      <c r="A4" s="11">
        <v>3</v>
      </c>
      <c r="B4" s="11">
        <v>-4000</v>
      </c>
      <c r="C4" s="58">
        <v>-22925</v>
      </c>
      <c r="D4" s="12">
        <f>Voltage!L4</f>
        <v>-6.9902639999999998</v>
      </c>
      <c r="E4" s="12">
        <f>Voltage!M4</f>
        <v>0</v>
      </c>
      <c r="G4" s="12">
        <f>Voltage!N4</f>
        <v>-22954</v>
      </c>
      <c r="H4" s="82">
        <f t="shared" si="0"/>
        <v>-6.9902040851999994</v>
      </c>
      <c r="I4" s="79">
        <f t="shared" si="1"/>
        <v>5.991480000044902E-5</v>
      </c>
      <c r="J4" s="85">
        <f t="shared" si="2"/>
        <v>8.5711784276601029E-6</v>
      </c>
      <c r="K4" s="12">
        <f>Voltage!O4</f>
        <v>-22952</v>
      </c>
      <c r="L4" s="82">
        <f t="shared" si="3"/>
        <v>-6.9901674075000004</v>
      </c>
      <c r="M4" s="112">
        <f t="shared" si="25"/>
        <v>9.6592499999381687E-5</v>
      </c>
      <c r="N4" s="85">
        <f t="shared" si="26"/>
        <v>1.3818147640687345E-5</v>
      </c>
      <c r="O4" s="13">
        <f>'Range 0'!L4*1000</f>
        <v>-79.720193999999992</v>
      </c>
      <c r="P4" s="13">
        <f>'Range 0'!M4</f>
        <v>-21899</v>
      </c>
      <c r="Q4" s="91">
        <f t="shared" si="4"/>
        <v>-79.816065796000004</v>
      </c>
      <c r="R4" s="91">
        <f t="shared" si="5"/>
        <v>9.58717960000115E-2</v>
      </c>
      <c r="S4" s="88">
        <f t="shared" si="6"/>
        <v>9.5871796000011498E-4</v>
      </c>
      <c r="T4" s="14">
        <f>'Range 1'!L4*1000</f>
        <v>-4.0537960000000002</v>
      </c>
      <c r="U4" s="14">
        <f>'Range 1'!M4</f>
        <v>-22097</v>
      </c>
      <c r="V4" s="100">
        <f t="shared" si="7"/>
        <v>-4.0599345288000004</v>
      </c>
      <c r="W4" s="107">
        <f t="shared" si="8"/>
        <v>6.1385288000002092E-3</v>
      </c>
      <c r="X4" s="118">
        <f t="shared" si="9"/>
        <v>6.1385288000002098E-5</v>
      </c>
      <c r="Y4" s="13">
        <f>'Range 2'!L4*1000</f>
        <v>-0.19639999999999999</v>
      </c>
      <c r="Z4" s="13">
        <f>'Range 2'!M4</f>
        <v>-22106</v>
      </c>
      <c r="AA4" s="77">
        <f t="shared" si="10"/>
        <v>-0.19662076758800001</v>
      </c>
      <c r="AB4" s="91">
        <f t="shared" si="11"/>
        <v>2.2076758800002039E-4</v>
      </c>
      <c r="AC4" s="115">
        <f t="shared" si="12"/>
        <v>2.2076758800002039E-5</v>
      </c>
      <c r="AD4" s="14">
        <f>'Range 3'!L4*1000</f>
        <v>-1.0155000000000001E-2</v>
      </c>
      <c r="AE4" s="14">
        <f>'Range 3'!M4</f>
        <v>-22123</v>
      </c>
      <c r="AF4" s="100">
        <f t="shared" si="13"/>
        <v>-1.0169455546900002E-2</v>
      </c>
      <c r="AG4" s="107">
        <f t="shared" si="14"/>
        <v>1.4455546900001004E-5</v>
      </c>
      <c r="AH4" s="118">
        <f t="shared" si="15"/>
        <v>1.4455546900001004E-5</v>
      </c>
      <c r="AK4" s="77">
        <f t="shared" si="16"/>
        <v>0</v>
      </c>
      <c r="AL4" s="91">
        <f t="shared" si="17"/>
        <v>0</v>
      </c>
      <c r="AM4" s="122">
        <f t="shared" si="18"/>
        <v>0</v>
      </c>
      <c r="AP4" s="100" t="e">
        <f>AO4*AO$26+AO$32</f>
        <v>#DIV/0!</v>
      </c>
      <c r="AQ4" s="107" t="e">
        <f t="shared" si="19"/>
        <v>#DIV/0!</v>
      </c>
      <c r="AR4" s="118" t="e">
        <f t="shared" si="20"/>
        <v>#DIV/0!</v>
      </c>
      <c r="AU4" s="77" t="e">
        <f>AT4*AT$26+AT$32</f>
        <v>#DIV/0!</v>
      </c>
      <c r="AV4" s="91" t="e">
        <f t="shared" si="21"/>
        <v>#DIV/0!</v>
      </c>
      <c r="AW4" s="122" t="e">
        <f t="shared" si="22"/>
        <v>#DIV/0!</v>
      </c>
      <c r="AZ4" s="100" t="e">
        <f>AY4*AY$26+AY$32</f>
        <v>#DIV/0!</v>
      </c>
      <c r="BA4" s="107" t="e">
        <f t="shared" si="23"/>
        <v>#DIV/0!</v>
      </c>
      <c r="BB4" s="118" t="e">
        <f t="shared" si="24"/>
        <v>#DIV/0!</v>
      </c>
    </row>
    <row r="5" spans="1:54" x14ac:dyDescent="0.35">
      <c r="A5" s="11">
        <v>4</v>
      </c>
      <c r="B5" s="11">
        <v>-3500</v>
      </c>
      <c r="C5" s="58">
        <v>-19650</v>
      </c>
      <c r="D5" s="12">
        <f>Voltage!L5</f>
        <v>-5.9910588999999996</v>
      </c>
      <c r="E5" s="12">
        <f>Voltage!M5</f>
        <v>0</v>
      </c>
      <c r="G5" s="12">
        <f>Voltage!N5</f>
        <v>-19674</v>
      </c>
      <c r="H5" s="82">
        <f t="shared" si="0"/>
        <v>-5.9910331011999993</v>
      </c>
      <c r="I5" s="79">
        <f t="shared" si="1"/>
        <v>2.5798800000309541E-5</v>
      </c>
      <c r="J5" s="85">
        <f t="shared" si="2"/>
        <v>4.3062170529335878E-6</v>
      </c>
      <c r="K5" s="12">
        <f>Voltage!O5</f>
        <v>-19671</v>
      </c>
      <c r="L5" s="82">
        <f t="shared" si="3"/>
        <v>-5.9908089299</v>
      </c>
      <c r="M5" s="112">
        <f t="shared" si="25"/>
        <v>2.4997009999960795E-4</v>
      </c>
      <c r="N5" s="85">
        <f t="shared" si="26"/>
        <v>4.172385953334693E-5</v>
      </c>
      <c r="O5" s="13">
        <f>'Range 0'!L5*1000</f>
        <v>-69.732602999999997</v>
      </c>
      <c r="P5" s="13">
        <f>'Range 0'!M5</f>
        <v>-19157</v>
      </c>
      <c r="Q5" s="91">
        <f t="shared" si="4"/>
        <v>-69.818311527999995</v>
      </c>
      <c r="R5" s="91">
        <f t="shared" si="5"/>
        <v>8.5708527999997841E-2</v>
      </c>
      <c r="S5" s="88">
        <f t="shared" si="6"/>
        <v>8.5708527999997844E-4</v>
      </c>
      <c r="T5" s="14">
        <f>'Range 1'!L5*1000</f>
        <v>-3.5461904</v>
      </c>
      <c r="U5" s="14">
        <f>'Range 1'!M5</f>
        <v>-19332</v>
      </c>
      <c r="V5" s="100">
        <f t="shared" si="7"/>
        <v>-3.5517098327999999</v>
      </c>
      <c r="W5" s="107">
        <f t="shared" si="8"/>
        <v>5.5194327999998904E-3</v>
      </c>
      <c r="X5" s="118">
        <f t="shared" si="9"/>
        <v>5.5194327999998907E-5</v>
      </c>
      <c r="Y5" s="13">
        <f>'Range 2'!L5*1000</f>
        <v>-0.17174</v>
      </c>
      <c r="Z5" s="13">
        <f>'Range 2'!M5</f>
        <v>-19341</v>
      </c>
      <c r="AA5" s="77">
        <f t="shared" si="10"/>
        <v>-0.17201978009300001</v>
      </c>
      <c r="AB5" s="91">
        <f t="shared" si="11"/>
        <v>2.7978009300000384E-4</v>
      </c>
      <c r="AC5" s="115">
        <f t="shared" si="12"/>
        <v>2.7978009300000384E-5</v>
      </c>
      <c r="AD5" s="14">
        <f>'Range 3'!L5*1000</f>
        <v>-8.8839999999999995E-3</v>
      </c>
      <c r="AE5" s="14">
        <f>'Range 3'!M5</f>
        <v>-19356</v>
      </c>
      <c r="AF5" s="100">
        <f t="shared" si="13"/>
        <v>-8.8970331648000004E-3</v>
      </c>
      <c r="AG5" s="107">
        <f t="shared" si="14"/>
        <v>1.3033164800000871E-5</v>
      </c>
      <c r="AH5" s="118">
        <f t="shared" si="15"/>
        <v>1.3033164800000871E-5</v>
      </c>
      <c r="AK5" s="77">
        <f t="shared" si="16"/>
        <v>0</v>
      </c>
      <c r="AL5" s="91">
        <f t="shared" si="17"/>
        <v>0</v>
      </c>
      <c r="AM5" s="122">
        <f t="shared" si="18"/>
        <v>0</v>
      </c>
      <c r="AP5" s="100" t="e">
        <f>AO5*AO$26+AO$32</f>
        <v>#DIV/0!</v>
      </c>
      <c r="AQ5" s="107" t="e">
        <f t="shared" si="19"/>
        <v>#DIV/0!</v>
      </c>
      <c r="AR5" s="118" t="e">
        <f t="shared" si="20"/>
        <v>#DIV/0!</v>
      </c>
      <c r="AU5" s="77" t="e">
        <f>AT5*AT$26+AT$32</f>
        <v>#DIV/0!</v>
      </c>
      <c r="AV5" s="91" t="e">
        <f t="shared" si="21"/>
        <v>#DIV/0!</v>
      </c>
      <c r="AW5" s="122" t="e">
        <f t="shared" si="22"/>
        <v>#DIV/0!</v>
      </c>
      <c r="AZ5" s="100" t="e">
        <f>AY5*AY$26+AY$32</f>
        <v>#DIV/0!</v>
      </c>
      <c r="BA5" s="107" t="e">
        <f t="shared" si="23"/>
        <v>#DIV/0!</v>
      </c>
      <c r="BB5" s="118" t="e">
        <f t="shared" si="24"/>
        <v>#DIV/0!</v>
      </c>
    </row>
    <row r="6" spans="1:54" x14ac:dyDescent="0.35">
      <c r="A6" s="11">
        <v>5</v>
      </c>
      <c r="B6" s="11">
        <v>-3000</v>
      </c>
      <c r="C6" s="58">
        <v>-16375</v>
      </c>
      <c r="D6" s="12">
        <f>Voltage!L6</f>
        <v>-4.9918193000000004</v>
      </c>
      <c r="E6" s="12">
        <f>Voltage!M6</f>
        <v>0</v>
      </c>
      <c r="G6" s="12">
        <f>Voltage!N6</f>
        <v>-16394</v>
      </c>
      <c r="H6" s="82">
        <f t="shared" si="0"/>
        <v>-4.9918621171999993</v>
      </c>
      <c r="I6" s="79">
        <f t="shared" si="1"/>
        <v>4.2817199998879119E-5</v>
      </c>
      <c r="J6" s="85">
        <f t="shared" si="2"/>
        <v>8.5774739480011058E-6</v>
      </c>
      <c r="K6" s="12">
        <f>Voltage!O6</f>
        <v>-16391</v>
      </c>
      <c r="L6" s="82">
        <f t="shared" si="3"/>
        <v>-4.9917550419000003</v>
      </c>
      <c r="M6" s="112">
        <f t="shared" si="25"/>
        <v>6.4258100000103013E-5</v>
      </c>
      <c r="N6" s="85">
        <f t="shared" si="26"/>
        <v>1.2872681509144975E-5</v>
      </c>
      <c r="O6" s="13">
        <f>'Range 0'!L6*1000</f>
        <v>-59.716387000000005</v>
      </c>
      <c r="P6" s="13">
        <f>'Range 0'!M6</f>
        <v>-16406</v>
      </c>
      <c r="Q6" s="91">
        <f t="shared" si="4"/>
        <v>-59.787741873999998</v>
      </c>
      <c r="R6" s="91">
        <f t="shared" si="5"/>
        <v>7.1354873999993629E-2</v>
      </c>
      <c r="S6" s="88">
        <f t="shared" si="6"/>
        <v>7.1354873999993627E-4</v>
      </c>
      <c r="T6" s="14">
        <f>'Range 1'!L6*1000</f>
        <v>-3.0372775000000001</v>
      </c>
      <c r="U6" s="14">
        <f>'Range 1'!M6</f>
        <v>-16558</v>
      </c>
      <c r="V6" s="100">
        <f t="shared" si="7"/>
        <v>-3.0418308791999999</v>
      </c>
      <c r="W6" s="107">
        <f t="shared" si="8"/>
        <v>4.5533791999998741E-3</v>
      </c>
      <c r="X6" s="118">
        <f t="shared" si="9"/>
        <v>4.5533791999998739E-5</v>
      </c>
      <c r="Y6" s="13">
        <f>'Range 2'!L6*1000</f>
        <v>-0.14713999999999999</v>
      </c>
      <c r="Z6" s="13">
        <f>'Range 2'!M6</f>
        <v>-16565</v>
      </c>
      <c r="AA6" s="77">
        <f t="shared" si="10"/>
        <v>-0.14732092248500001</v>
      </c>
      <c r="AB6" s="91">
        <f t="shared" si="11"/>
        <v>1.809224850000124E-4</v>
      </c>
      <c r="AC6" s="115">
        <f t="shared" si="12"/>
        <v>1.8092248500001239E-5</v>
      </c>
      <c r="AD6" s="14">
        <f>'Range 3'!L6*1000</f>
        <v>-7.6099999999999996E-3</v>
      </c>
      <c r="AE6" s="14">
        <f>'Range 3'!M6</f>
        <v>-16582</v>
      </c>
      <c r="AF6" s="100">
        <f t="shared" si="13"/>
        <v>-7.6213917886000003E-3</v>
      </c>
      <c r="AG6" s="107">
        <f t="shared" si="14"/>
        <v>1.1391788600000757E-5</v>
      </c>
      <c r="AH6" s="118">
        <f t="shared" si="15"/>
        <v>1.1391788600000757E-5</v>
      </c>
      <c r="AK6" s="77">
        <f t="shared" si="16"/>
        <v>0</v>
      </c>
      <c r="AL6" s="91">
        <f t="shared" si="17"/>
        <v>0</v>
      </c>
      <c r="AM6" s="122">
        <f t="shared" si="18"/>
        <v>0</v>
      </c>
      <c r="AP6" s="100" t="e">
        <f>AO6*AO$26+AO$32</f>
        <v>#DIV/0!</v>
      </c>
      <c r="AQ6" s="107" t="e">
        <f t="shared" si="19"/>
        <v>#DIV/0!</v>
      </c>
      <c r="AR6" s="118" t="e">
        <f t="shared" si="20"/>
        <v>#DIV/0!</v>
      </c>
      <c r="AU6" s="77" t="e">
        <f>AT6*AT$26+AT$32</f>
        <v>#DIV/0!</v>
      </c>
      <c r="AV6" s="91" t="e">
        <f t="shared" si="21"/>
        <v>#DIV/0!</v>
      </c>
      <c r="AW6" s="122" t="e">
        <f t="shared" si="22"/>
        <v>#DIV/0!</v>
      </c>
      <c r="AZ6" s="100" t="e">
        <f>AY6*AY$26+AY$32</f>
        <v>#DIV/0!</v>
      </c>
      <c r="BA6" s="107" t="e">
        <f t="shared" si="23"/>
        <v>#DIV/0!</v>
      </c>
      <c r="BB6" s="118" t="e">
        <f t="shared" si="24"/>
        <v>#DIV/0!</v>
      </c>
    </row>
    <row r="7" spans="1:54" x14ac:dyDescent="0.35">
      <c r="A7" s="11">
        <v>6</v>
      </c>
      <c r="B7" s="11">
        <v>-2500</v>
      </c>
      <c r="C7" s="58">
        <v>-13100</v>
      </c>
      <c r="D7" s="12">
        <f>Voltage!L7</f>
        <v>-3.9918192000000001</v>
      </c>
      <c r="E7" s="12">
        <f>Voltage!M7</f>
        <v>0</v>
      </c>
      <c r="G7" s="12">
        <f>Voltage!N7</f>
        <v>-13111</v>
      </c>
      <c r="H7" s="82">
        <f t="shared" si="0"/>
        <v>-3.9917772572999999</v>
      </c>
      <c r="I7" s="79">
        <f t="shared" si="1"/>
        <v>4.1942700000241473E-5</v>
      </c>
      <c r="J7" s="85">
        <f t="shared" si="2"/>
        <v>1.0507164252389355E-5</v>
      </c>
      <c r="K7" s="12">
        <f>Voltage!O7</f>
        <v>-13107</v>
      </c>
      <c r="L7" s="82">
        <f t="shared" si="3"/>
        <v>-3.9914827955000001</v>
      </c>
      <c r="M7" s="112">
        <f t="shared" si="25"/>
        <v>3.3640450000005373E-4</v>
      </c>
      <c r="N7" s="85">
        <f t="shared" si="26"/>
        <v>8.4273481123607437E-5</v>
      </c>
      <c r="O7" s="13">
        <f>'Range 0'!L7*1000</f>
        <v>-49.714798999999999</v>
      </c>
      <c r="P7" s="13">
        <f>'Range 0'!M7</f>
        <v>-13658</v>
      </c>
      <c r="Q7" s="91">
        <f t="shared" si="4"/>
        <v>-49.768110682</v>
      </c>
      <c r="R7" s="91">
        <f t="shared" si="5"/>
        <v>5.331168200000036E-2</v>
      </c>
      <c r="S7" s="88">
        <f t="shared" si="6"/>
        <v>5.3311682000000359E-4</v>
      </c>
      <c r="T7" s="14">
        <f>'Range 1'!L7*1000</f>
        <v>-2.5289838000000002</v>
      </c>
      <c r="U7" s="14">
        <f>'Range 1'!M7</f>
        <v>-13787</v>
      </c>
      <c r="V7" s="100">
        <f t="shared" si="7"/>
        <v>-2.5325033447999998</v>
      </c>
      <c r="W7" s="107">
        <f t="shared" si="8"/>
        <v>3.5195447999996077E-3</v>
      </c>
      <c r="X7" s="118">
        <f t="shared" si="9"/>
        <v>3.519544799999608E-5</v>
      </c>
      <c r="Y7" s="13">
        <f>'Range 2'!L7*1000</f>
        <v>-0.12252000000000002</v>
      </c>
      <c r="Z7" s="13">
        <f>'Range 2'!M7</f>
        <v>-13793</v>
      </c>
      <c r="AA7" s="77">
        <f t="shared" si="10"/>
        <v>-0.122657654009</v>
      </c>
      <c r="AB7" s="91">
        <f t="shared" si="11"/>
        <v>1.3765400899998226E-4</v>
      </c>
      <c r="AC7" s="115">
        <f t="shared" si="12"/>
        <v>1.3765400899998226E-5</v>
      </c>
      <c r="AD7" s="14">
        <f>'Range 3'!L7*1000</f>
        <v>-6.3379999999999999E-3</v>
      </c>
      <c r="AE7" s="14">
        <f>'Range 3'!M7</f>
        <v>-13808</v>
      </c>
      <c r="AF7" s="100">
        <f t="shared" si="13"/>
        <v>-6.3457504124000003E-3</v>
      </c>
      <c r="AG7" s="107">
        <f t="shared" si="14"/>
        <v>7.7504124000003782E-6</v>
      </c>
      <c r="AH7" s="118">
        <f t="shared" si="15"/>
        <v>7.7504124000003782E-6</v>
      </c>
      <c r="AK7" s="77">
        <f t="shared" si="16"/>
        <v>0</v>
      </c>
      <c r="AL7" s="91">
        <f t="shared" si="17"/>
        <v>0</v>
      </c>
      <c r="AM7" s="122">
        <f t="shared" si="18"/>
        <v>0</v>
      </c>
      <c r="AP7" s="100" t="e">
        <f>AO7*AO$26+AO$32</f>
        <v>#DIV/0!</v>
      </c>
      <c r="AQ7" s="107" t="e">
        <f t="shared" si="19"/>
        <v>#DIV/0!</v>
      </c>
      <c r="AR7" s="118" t="e">
        <f t="shared" si="20"/>
        <v>#DIV/0!</v>
      </c>
      <c r="AU7" s="77" t="e">
        <f>AT7*AT$26+AT$32</f>
        <v>#DIV/0!</v>
      </c>
      <c r="AV7" s="91" t="e">
        <f t="shared" si="21"/>
        <v>#DIV/0!</v>
      </c>
      <c r="AW7" s="122" t="e">
        <f t="shared" si="22"/>
        <v>#DIV/0!</v>
      </c>
      <c r="AZ7" s="100" t="e">
        <f>AY7*AY$26+AY$32</f>
        <v>#DIV/0!</v>
      </c>
      <c r="BA7" s="107" t="e">
        <f t="shared" si="23"/>
        <v>#DIV/0!</v>
      </c>
      <c r="BB7" s="118" t="e">
        <f t="shared" si="24"/>
        <v>#DIV/0!</v>
      </c>
    </row>
    <row r="8" spans="1:54" x14ac:dyDescent="0.35">
      <c r="A8" s="11">
        <v>7</v>
      </c>
      <c r="B8" s="11">
        <v>-2000</v>
      </c>
      <c r="C8" s="58">
        <v>-9825</v>
      </c>
      <c r="D8" s="12">
        <f>Voltage!L8</f>
        <v>-2.9916529000000001</v>
      </c>
      <c r="E8" s="12">
        <f>Voltage!M8</f>
        <v>0</v>
      </c>
      <c r="G8" s="12">
        <f>Voltage!N8</f>
        <v>-9828</v>
      </c>
      <c r="H8" s="82">
        <f t="shared" si="0"/>
        <v>-2.9916923974</v>
      </c>
      <c r="I8" s="79">
        <f t="shared" si="1"/>
        <v>3.9497399999977034E-5</v>
      </c>
      <c r="J8" s="85">
        <f t="shared" si="2"/>
        <v>1.3202534291320037E-5</v>
      </c>
      <c r="K8" s="12">
        <f>Voltage!O8</f>
        <v>-9823</v>
      </c>
      <c r="L8" s="82">
        <f t="shared" si="3"/>
        <v>-2.9912105490999998</v>
      </c>
      <c r="M8" s="112">
        <f t="shared" si="25"/>
        <v>4.4235090000022126E-4</v>
      </c>
      <c r="N8" s="85">
        <f t="shared" si="26"/>
        <v>1.4786170548067968E-4</v>
      </c>
      <c r="O8" s="13">
        <f>'Range 0'!L8*1000</f>
        <v>-39.712110000000003</v>
      </c>
      <c r="P8" s="13">
        <f>'Range 0'!M8</f>
        <v>-10910</v>
      </c>
      <c r="Q8" s="91">
        <f t="shared" si="4"/>
        <v>-39.748479490000001</v>
      </c>
      <c r="R8" s="91">
        <f t="shared" si="5"/>
        <v>3.636948999999845E-2</v>
      </c>
      <c r="S8" s="88">
        <f t="shared" si="6"/>
        <v>3.636948999999845E-4</v>
      </c>
      <c r="T8" s="14">
        <f>'Range 1'!L8*1000</f>
        <v>-2.0207533999999998</v>
      </c>
      <c r="U8" s="14">
        <f>'Range 1'!M8</f>
        <v>-11016</v>
      </c>
      <c r="V8" s="100">
        <f t="shared" si="7"/>
        <v>-2.0231758104000002</v>
      </c>
      <c r="W8" s="107">
        <f t="shared" si="8"/>
        <v>2.4224104000003521E-3</v>
      </c>
      <c r="X8" s="118">
        <f t="shared" si="9"/>
        <v>2.4224104000003522E-5</v>
      </c>
      <c r="Y8" s="13">
        <f>'Range 2'!L8*1000</f>
        <v>-9.7900000000000001E-2</v>
      </c>
      <c r="Z8" s="13">
        <f>'Range 2'!M8</f>
        <v>-11021</v>
      </c>
      <c r="AA8" s="77">
        <f t="shared" si="10"/>
        <v>-9.7994385532999995E-2</v>
      </c>
      <c r="AB8" s="91">
        <f t="shared" si="11"/>
        <v>9.4385532999993749E-5</v>
      </c>
      <c r="AC8" s="115">
        <f t="shared" si="12"/>
        <v>9.4385532999993742E-6</v>
      </c>
      <c r="AD8" s="14">
        <f>'Range 3'!L8*1000</f>
        <v>-5.0650000000000001E-3</v>
      </c>
      <c r="AE8" s="14">
        <f>'Range 3'!M8</f>
        <v>-11037</v>
      </c>
      <c r="AF8" s="100">
        <f t="shared" si="13"/>
        <v>-5.0714886051000004E-3</v>
      </c>
      <c r="AG8" s="107">
        <f t="shared" si="14"/>
        <v>6.4886051000002942E-6</v>
      </c>
      <c r="AH8" s="118">
        <f t="shared" si="15"/>
        <v>6.4886051000002942E-6</v>
      </c>
      <c r="AK8" s="77">
        <f t="shared" si="16"/>
        <v>0</v>
      </c>
      <c r="AL8" s="91">
        <f t="shared" si="17"/>
        <v>0</v>
      </c>
      <c r="AM8" s="122">
        <f t="shared" si="18"/>
        <v>0</v>
      </c>
      <c r="AP8" s="100" t="e">
        <f>AO8*AO$26+AO$32</f>
        <v>#DIV/0!</v>
      </c>
      <c r="AQ8" s="107" t="e">
        <f t="shared" si="19"/>
        <v>#DIV/0!</v>
      </c>
      <c r="AR8" s="118" t="e">
        <f t="shared" si="20"/>
        <v>#DIV/0!</v>
      </c>
      <c r="AU8" s="77" t="e">
        <f>AT8*AT$26+AT$32</f>
        <v>#DIV/0!</v>
      </c>
      <c r="AV8" s="91" t="e">
        <f t="shared" si="21"/>
        <v>#DIV/0!</v>
      </c>
      <c r="AW8" s="122" t="e">
        <f t="shared" si="22"/>
        <v>#DIV/0!</v>
      </c>
      <c r="AZ8" s="100" t="e">
        <f>AY8*AY$26+AY$32</f>
        <v>#DIV/0!</v>
      </c>
      <c r="BA8" s="107" t="e">
        <f t="shared" si="23"/>
        <v>#DIV/0!</v>
      </c>
      <c r="BB8" s="118" t="e">
        <f t="shared" si="24"/>
        <v>#DIV/0!</v>
      </c>
    </row>
    <row r="9" spans="1:54" x14ac:dyDescent="0.35">
      <c r="A9" s="11">
        <v>8</v>
      </c>
      <c r="B9" s="11">
        <v>-1500</v>
      </c>
      <c r="C9" s="58">
        <v>-6550</v>
      </c>
      <c r="D9" s="12">
        <f>Voltage!L9</f>
        <v>-1.9915749</v>
      </c>
      <c r="E9" s="12">
        <f>Voltage!M9</f>
        <v>0</v>
      </c>
      <c r="G9" s="12">
        <f>Voltage!N9</f>
        <v>-6545</v>
      </c>
      <c r="H9" s="82">
        <f t="shared" si="0"/>
        <v>-1.9916075375</v>
      </c>
      <c r="I9" s="79">
        <f t="shared" si="1"/>
        <v>3.2637499999932373E-5</v>
      </c>
      <c r="J9" s="85">
        <f t="shared" si="2"/>
        <v>1.6387784360976015E-5</v>
      </c>
      <c r="K9" s="12">
        <f>Voltage!O9</f>
        <v>-6540</v>
      </c>
      <c r="L9" s="82">
        <f t="shared" si="3"/>
        <v>-1.9912428923000001</v>
      </c>
      <c r="M9" s="112">
        <f t="shared" si="25"/>
        <v>3.3200769999996993E-4</v>
      </c>
      <c r="N9" s="85">
        <f t="shared" si="26"/>
        <v>1.6670610781445875E-4</v>
      </c>
      <c r="O9" s="13">
        <f>'Range 0'!L9*1000</f>
        <v>-29.725241999999998</v>
      </c>
      <c r="P9" s="13">
        <f>'Range 0'!M9</f>
        <v>-8167</v>
      </c>
      <c r="Q9" s="91">
        <f t="shared" si="4"/>
        <v>-29.747079067999998</v>
      </c>
      <c r="R9" s="91">
        <f t="shared" si="5"/>
        <v>2.183706799999996E-2</v>
      </c>
      <c r="S9" s="88">
        <f t="shared" si="6"/>
        <v>2.183706799999996E-4</v>
      </c>
      <c r="T9" s="14">
        <f>'Range 1'!L9*1000</f>
        <v>-1.513355</v>
      </c>
      <c r="U9" s="14">
        <f>'Range 1'!M9</f>
        <v>-8250</v>
      </c>
      <c r="V9" s="100">
        <f t="shared" si="7"/>
        <v>-1.5147673080000001</v>
      </c>
      <c r="W9" s="107">
        <f t="shared" si="8"/>
        <v>1.4123080000001398E-3</v>
      </c>
      <c r="X9" s="118">
        <f t="shared" si="9"/>
        <v>1.4123080000001398E-5</v>
      </c>
      <c r="Y9" s="13">
        <f>'Range 2'!L9*1000</f>
        <v>-7.331E-2</v>
      </c>
      <c r="Z9" s="13">
        <f>'Range 2'!M9</f>
        <v>-8254</v>
      </c>
      <c r="AA9" s="77">
        <f t="shared" si="10"/>
        <v>-7.3375603472000006E-2</v>
      </c>
      <c r="AB9" s="91">
        <f t="shared" si="11"/>
        <v>6.5603472000005936E-5</v>
      </c>
      <c r="AC9" s="115">
        <f t="shared" si="12"/>
        <v>6.5603472000005936E-6</v>
      </c>
      <c r="AD9" s="14">
        <f>'Range 3'!L9*1000</f>
        <v>-3.7950000000000002E-3</v>
      </c>
      <c r="AE9" s="14">
        <f>'Range 3'!M9</f>
        <v>-8270</v>
      </c>
      <c r="AF9" s="100">
        <f t="shared" si="13"/>
        <v>-3.7990662229999998E-3</v>
      </c>
      <c r="AG9" s="107">
        <f t="shared" si="14"/>
        <v>4.0662229999995948E-6</v>
      </c>
      <c r="AH9" s="118">
        <f t="shared" si="15"/>
        <v>4.0662229999995948E-6</v>
      </c>
      <c r="AK9" s="77">
        <f t="shared" si="16"/>
        <v>0</v>
      </c>
      <c r="AL9" s="91">
        <f t="shared" si="17"/>
        <v>0</v>
      </c>
      <c r="AM9" s="122">
        <f t="shared" si="18"/>
        <v>0</v>
      </c>
      <c r="AP9" s="100" t="e">
        <f>AO9*AO$26+AO$32</f>
        <v>#DIV/0!</v>
      </c>
      <c r="AQ9" s="107" t="e">
        <f t="shared" si="19"/>
        <v>#DIV/0!</v>
      </c>
      <c r="AR9" s="118" t="e">
        <f t="shared" si="20"/>
        <v>#DIV/0!</v>
      </c>
      <c r="AU9" s="77" t="e">
        <f>AT9*AT$26+AT$32</f>
        <v>#DIV/0!</v>
      </c>
      <c r="AV9" s="91" t="e">
        <f t="shared" si="21"/>
        <v>#DIV/0!</v>
      </c>
      <c r="AW9" s="122" t="e">
        <f t="shared" si="22"/>
        <v>#DIV/0!</v>
      </c>
      <c r="AZ9" s="100" t="e">
        <f>AY9*AY$26+AY$32</f>
        <v>#DIV/0!</v>
      </c>
      <c r="BA9" s="107" t="e">
        <f t="shared" si="23"/>
        <v>#DIV/0!</v>
      </c>
      <c r="BB9" s="118" t="e">
        <f t="shared" si="24"/>
        <v>#DIV/0!</v>
      </c>
    </row>
    <row r="10" spans="1:54" x14ac:dyDescent="0.35">
      <c r="A10" s="11">
        <v>9</v>
      </c>
      <c r="B10" s="11">
        <v>-1000</v>
      </c>
      <c r="C10" s="58">
        <v>-3275</v>
      </c>
      <c r="D10" s="12">
        <f>Voltage!L10</f>
        <v>-0.99213311000000004</v>
      </c>
      <c r="E10" s="12">
        <f>Voltage!M10</f>
        <v>0</v>
      </c>
      <c r="G10" s="12">
        <f>Voltage!N10</f>
        <v>-3264</v>
      </c>
      <c r="H10" s="82">
        <f t="shared" si="0"/>
        <v>-0.99213192819999996</v>
      </c>
      <c r="I10" s="79">
        <f t="shared" si="1"/>
        <v>1.1818000000829443E-6</v>
      </c>
      <c r="J10" s="85">
        <f t="shared" si="2"/>
        <v>1.1911708098149696E-6</v>
      </c>
      <c r="K10" s="12">
        <f>Voltage!O10</f>
        <v>-3259</v>
      </c>
      <c r="L10" s="82">
        <f t="shared" si="3"/>
        <v>-0.99188441470000011</v>
      </c>
      <c r="M10" s="112">
        <f t="shared" si="25"/>
        <v>2.4869529999993478E-4</v>
      </c>
      <c r="N10" s="85">
        <f t="shared" si="26"/>
        <v>2.5066727185421193E-4</v>
      </c>
      <c r="O10" s="13">
        <f>'Range 0'!L10*1000</f>
        <v>-19.715685000000001</v>
      </c>
      <c r="P10" s="13">
        <f>'Range 0'!M10</f>
        <v>-5418</v>
      </c>
      <c r="Q10" s="91">
        <f t="shared" si="4"/>
        <v>-19.723801722000001</v>
      </c>
      <c r="R10" s="91">
        <f t="shared" si="5"/>
        <v>8.1167220000004647E-3</v>
      </c>
      <c r="S10" s="88">
        <f t="shared" si="6"/>
        <v>8.1167220000004641E-5</v>
      </c>
      <c r="T10" s="14">
        <f>'Range 1'!L10*1000</f>
        <v>-1.0047941</v>
      </c>
      <c r="U10" s="14">
        <f>'Range 1'!M10</f>
        <v>-5478</v>
      </c>
      <c r="V10" s="100">
        <f t="shared" si="7"/>
        <v>-1.0052559672000001</v>
      </c>
      <c r="W10" s="107">
        <f t="shared" si="8"/>
        <v>4.6186720000007675E-4</v>
      </c>
      <c r="X10" s="118">
        <f t="shared" si="9"/>
        <v>4.6186720000007678E-6</v>
      </c>
      <c r="Y10" s="13">
        <f>'Range 2'!L10*1000</f>
        <v>-4.8680000000000001E-2</v>
      </c>
      <c r="Z10" s="13">
        <f>'Range 2'!M10</f>
        <v>-5481</v>
      </c>
      <c r="AA10" s="77">
        <f t="shared" si="10"/>
        <v>-4.8703437713000008E-2</v>
      </c>
      <c r="AB10" s="91">
        <f t="shared" si="11"/>
        <v>2.343771300000741E-5</v>
      </c>
      <c r="AC10" s="115">
        <f t="shared" si="12"/>
        <v>2.3437713000007411E-6</v>
      </c>
      <c r="AD10" s="14">
        <f>'Range 3'!L10*1000</f>
        <v>-2.5220000000000004E-3</v>
      </c>
      <c r="AE10" s="14">
        <f>'Range 3'!M10</f>
        <v>-5497</v>
      </c>
      <c r="AF10" s="100">
        <f t="shared" si="13"/>
        <v>-2.5238847030999998E-3</v>
      </c>
      <c r="AG10" s="107">
        <f t="shared" si="14"/>
        <v>1.8847030999994026E-6</v>
      </c>
      <c r="AH10" s="118">
        <f t="shared" si="15"/>
        <v>1.8847030999994026E-6</v>
      </c>
      <c r="AK10" s="77">
        <f t="shared" si="16"/>
        <v>0</v>
      </c>
      <c r="AL10" s="91">
        <f t="shared" si="17"/>
        <v>0</v>
      </c>
      <c r="AM10" s="122">
        <f t="shared" si="18"/>
        <v>0</v>
      </c>
      <c r="AP10" s="100" t="e">
        <f>AO10*AO$26+AO$32</f>
        <v>#DIV/0!</v>
      </c>
      <c r="AQ10" s="107" t="e">
        <f t="shared" si="19"/>
        <v>#DIV/0!</v>
      </c>
      <c r="AR10" s="118" t="e">
        <f t="shared" si="20"/>
        <v>#DIV/0!</v>
      </c>
      <c r="AU10" s="77" t="e">
        <f>AT10*AT$26+AT$32</f>
        <v>#DIV/0!</v>
      </c>
      <c r="AV10" s="91" t="e">
        <f t="shared" si="21"/>
        <v>#DIV/0!</v>
      </c>
      <c r="AW10" s="122" t="e">
        <f t="shared" si="22"/>
        <v>#DIV/0!</v>
      </c>
      <c r="AZ10" s="100" t="e">
        <f>AY10*AY$26+AY$32</f>
        <v>#DIV/0!</v>
      </c>
      <c r="BA10" s="107" t="e">
        <f t="shared" si="23"/>
        <v>#DIV/0!</v>
      </c>
      <c r="BB10" s="118" t="e">
        <f t="shared" si="24"/>
        <v>#DIV/0!</v>
      </c>
    </row>
    <row r="11" spans="1:54" x14ac:dyDescent="0.35">
      <c r="A11" s="11">
        <v>10</v>
      </c>
      <c r="B11" s="11">
        <v>-500</v>
      </c>
      <c r="C11" s="58">
        <v>-1500</v>
      </c>
      <c r="D11" s="12">
        <f>Voltage!L11</f>
        <v>-0.45055634999999999</v>
      </c>
      <c r="E11" s="12">
        <f>Voltage!M11</f>
        <v>0</v>
      </c>
      <c r="G11" s="12">
        <f>Voltage!N11</f>
        <v>-1486</v>
      </c>
      <c r="H11" s="82">
        <f t="shared" si="0"/>
        <v>-0.45050814480000001</v>
      </c>
      <c r="I11" s="79">
        <f t="shared" si="1"/>
        <v>4.8205199999984405E-5</v>
      </c>
      <c r="J11" s="85">
        <f t="shared" si="2"/>
        <v>1.0699039088004066E-4</v>
      </c>
      <c r="K11" s="12">
        <f>Voltage!O11</f>
        <v>-1481</v>
      </c>
      <c r="L11" s="82">
        <f t="shared" si="3"/>
        <v>-0.45032410589999999</v>
      </c>
      <c r="M11" s="112">
        <f t="shared" si="25"/>
        <v>2.3224410000000084E-4</v>
      </c>
      <c r="N11" s="85">
        <f t="shared" si="26"/>
        <v>5.1546071873141024E-4</v>
      </c>
      <c r="O11" s="13">
        <f>'Range 0'!L11*1000</f>
        <v>-9.7277536999999992</v>
      </c>
      <c r="P11" s="13">
        <f>'Range 0'!M11</f>
        <v>-2675</v>
      </c>
      <c r="Q11" s="91">
        <f t="shared" si="4"/>
        <v>-9.7224012999999996</v>
      </c>
      <c r="R11" s="91">
        <f t="shared" si="5"/>
        <v>5.3523999999995908E-3</v>
      </c>
      <c r="S11" s="88">
        <f t="shared" si="6"/>
        <v>5.3523999999995905E-5</v>
      </c>
      <c r="T11" s="14">
        <f>'Range 1'!L11*1000</f>
        <v>-0.49728649999999996</v>
      </c>
      <c r="U11" s="14">
        <f>'Range 1'!M11</f>
        <v>-2712</v>
      </c>
      <c r="V11" s="100">
        <f t="shared" si="7"/>
        <v>-0.49684746480000003</v>
      </c>
      <c r="W11" s="107">
        <f t="shared" si="8"/>
        <v>4.3903519999993756E-4</v>
      </c>
      <c r="X11" s="118">
        <f t="shared" si="9"/>
        <v>4.3903519999993756E-6</v>
      </c>
      <c r="Y11" s="13">
        <f>'Range 2'!L11*1000</f>
        <v>-2.409E-2</v>
      </c>
      <c r="Z11" s="13">
        <f>'Range 2'!M11</f>
        <v>-2714</v>
      </c>
      <c r="AA11" s="77">
        <f t="shared" si="10"/>
        <v>-2.4084655651999999E-2</v>
      </c>
      <c r="AB11" s="91">
        <f t="shared" si="11"/>
        <v>5.34434800000122E-6</v>
      </c>
      <c r="AC11" s="115">
        <f t="shared" si="12"/>
        <v>5.3443480000012202E-7</v>
      </c>
      <c r="AD11" s="14">
        <f>'Range 3'!L11*1000</f>
        <v>-1.2512999999999999E-3</v>
      </c>
      <c r="AE11" s="14">
        <f>'Range 3'!M11</f>
        <v>-2730</v>
      </c>
      <c r="AF11" s="100">
        <f t="shared" si="13"/>
        <v>-1.2514623210000001E-3</v>
      </c>
      <c r="AG11" s="107">
        <f t="shared" si="14"/>
        <v>1.6232100000018387E-7</v>
      </c>
      <c r="AH11" s="118">
        <f t="shared" si="15"/>
        <v>1.6232100000018387E-7</v>
      </c>
      <c r="AK11" s="77">
        <f t="shared" si="16"/>
        <v>0</v>
      </c>
      <c r="AL11" s="91">
        <f t="shared" si="17"/>
        <v>0</v>
      </c>
      <c r="AM11" s="122">
        <f t="shared" si="18"/>
        <v>0</v>
      </c>
      <c r="AP11" s="100" t="e">
        <f>AO11*AO$26+AO$32</f>
        <v>#DIV/0!</v>
      </c>
      <c r="AQ11" s="107" t="e">
        <f t="shared" si="19"/>
        <v>#DIV/0!</v>
      </c>
      <c r="AR11" s="118" t="e">
        <f t="shared" si="20"/>
        <v>#DIV/0!</v>
      </c>
      <c r="AU11" s="77" t="e">
        <f>AT11*AT$26+AT$32</f>
        <v>#DIV/0!</v>
      </c>
      <c r="AV11" s="91" t="e">
        <f t="shared" si="21"/>
        <v>#DIV/0!</v>
      </c>
      <c r="AW11" s="122" t="e">
        <f t="shared" si="22"/>
        <v>#DIV/0!</v>
      </c>
      <c r="AZ11" s="100" t="e">
        <f>AY11*AY$26+AY$32</f>
        <v>#DIV/0!</v>
      </c>
      <c r="BA11" s="107" t="e">
        <f t="shared" si="23"/>
        <v>#DIV/0!</v>
      </c>
      <c r="BB11" s="118" t="e">
        <f t="shared" si="24"/>
        <v>#DIV/0!</v>
      </c>
    </row>
    <row r="12" spans="1:54" s="21" customFormat="1" x14ac:dyDescent="0.35">
      <c r="A12" s="17">
        <v>11</v>
      </c>
      <c r="B12" s="17">
        <v>0</v>
      </c>
      <c r="C12" s="59">
        <v>0</v>
      </c>
      <c r="D12" s="18">
        <f>Voltage!L12</f>
        <v>7.0045810000000002E-3</v>
      </c>
      <c r="E12" s="18">
        <f>Voltage!M12</f>
        <v>0</v>
      </c>
      <c r="F12" s="18"/>
      <c r="G12" s="18">
        <f>Voltage!N12</f>
        <v>15</v>
      </c>
      <c r="H12" s="83">
        <f>H32+IF(G12&gt;0,G12*H29,G12*H26)</f>
        <v>6.7344304999999993E-3</v>
      </c>
      <c r="I12" s="80">
        <f t="shared" si="1"/>
        <v>2.7015050000000086E-4</v>
      </c>
      <c r="J12" s="86">
        <f t="shared" si="2"/>
        <v>3.8567688773961051E-2</v>
      </c>
      <c r="K12" s="18">
        <f>Voltage!O12</f>
        <v>20</v>
      </c>
      <c r="L12" s="83">
        <f>L32+IF(K12&gt;0,K12*L29,K12*L26)</f>
        <v>6.8648837000000002E-3</v>
      </c>
      <c r="M12" s="113">
        <f t="shared" si="25"/>
        <v>1.3969729999999993E-4</v>
      </c>
      <c r="N12" s="86">
        <f t="shared" si="26"/>
        <v>1.9943705412215223E-2</v>
      </c>
      <c r="O12" s="19">
        <f>'Range 0'!L12*1000</f>
        <v>0.26288119999999998</v>
      </c>
      <c r="P12" s="19">
        <f>'Range 0'!M12</f>
        <v>70</v>
      </c>
      <c r="Q12" s="92">
        <f>Q32+IF(P12&gt;0,P12*Q29,P12*Q26)</f>
        <v>0.28629143000000001</v>
      </c>
      <c r="R12" s="92">
        <f t="shared" si="5"/>
        <v>2.3410230000000032E-2</v>
      </c>
      <c r="S12" s="89">
        <f t="shared" si="6"/>
        <v>2.3410230000000032E-4</v>
      </c>
      <c r="T12" s="20">
        <f>'Range 1'!L12*1000</f>
        <v>1.03558E-2</v>
      </c>
      <c r="U12" s="20">
        <f>'Range 1'!M12</f>
        <v>55</v>
      </c>
      <c r="V12" s="101">
        <f>V32+IF(U12&gt;0,U12*V29,U12*V26)</f>
        <v>1.1744844000000001E-2</v>
      </c>
      <c r="W12" s="108">
        <f t="shared" si="8"/>
        <v>1.3890440000000007E-3</v>
      </c>
      <c r="X12" s="119">
        <f t="shared" si="9"/>
        <v>1.3890440000000008E-5</v>
      </c>
      <c r="Y12" s="19">
        <f>'Range 2'!L12*1000</f>
        <v>5.0520000000000003E-4</v>
      </c>
      <c r="Z12" s="19">
        <f>'Range 2'!M12</f>
        <v>55</v>
      </c>
      <c r="AA12" s="96">
        <f>AA32+IF(Z12&gt;0,Z12*AA29,Z12*AA26)</f>
        <v>5.5192097500000002E-4</v>
      </c>
      <c r="AB12" s="92">
        <f t="shared" si="11"/>
        <v>4.6720974999999994E-5</v>
      </c>
      <c r="AC12" s="116">
        <f t="shared" si="12"/>
        <v>4.6720974999999995E-6</v>
      </c>
      <c r="AD12" s="20">
        <f>'Range 3'!L12*1000</f>
        <v>1.9280000000000002E-5</v>
      </c>
      <c r="AE12" s="20">
        <f>'Range 3'!M12</f>
        <v>39</v>
      </c>
      <c r="AF12" s="101">
        <f>AF32+IF(AE12&gt;0,AE12*AF29,AE12*AF26)</f>
        <v>2.1879773700000001E-5</v>
      </c>
      <c r="AG12" s="108">
        <f t="shared" si="14"/>
        <v>2.5997736999999991E-6</v>
      </c>
      <c r="AH12" s="119">
        <f t="shared" si="15"/>
        <v>2.5997736999999991E-6</v>
      </c>
      <c r="AI12" s="19"/>
      <c r="AJ12" s="19"/>
      <c r="AK12" s="96">
        <f>AK32+IF(AJ12&gt;0,AJ12*AK29,AJ12*AK26)</f>
        <v>0</v>
      </c>
      <c r="AL12" s="92">
        <f t="shared" si="17"/>
        <v>0</v>
      </c>
      <c r="AM12" s="123">
        <f t="shared" si="18"/>
        <v>0</v>
      </c>
      <c r="AN12" s="20"/>
      <c r="AO12" s="20"/>
      <c r="AP12" s="101" t="e">
        <f>AO32+IF(AO12&gt;0,AO12*AO29,AO12*AO26)</f>
        <v>#DIV/0!</v>
      </c>
      <c r="AQ12" s="108" t="e">
        <f t="shared" si="19"/>
        <v>#DIV/0!</v>
      </c>
      <c r="AR12" s="119" t="e">
        <f t="shared" si="20"/>
        <v>#DIV/0!</v>
      </c>
      <c r="AS12" s="19"/>
      <c r="AT12" s="19"/>
      <c r="AU12" s="96" t="e">
        <f>AT32+IF(AT12&gt;0,AT12*AT29,AT12*AT26)</f>
        <v>#DIV/0!</v>
      </c>
      <c r="AV12" s="92" t="e">
        <f t="shared" si="21"/>
        <v>#DIV/0!</v>
      </c>
      <c r="AW12" s="123" t="e">
        <f t="shared" si="22"/>
        <v>#DIV/0!</v>
      </c>
      <c r="AX12" s="20"/>
      <c r="AY12" s="20"/>
      <c r="AZ12" s="101" t="e">
        <f>AY32+IF(AY12&gt;0,AY12*AY29,AY12*AY26)</f>
        <v>#DIV/0!</v>
      </c>
      <c r="BA12" s="108" t="e">
        <f t="shared" si="23"/>
        <v>#DIV/0!</v>
      </c>
      <c r="BB12" s="119" t="e">
        <f t="shared" si="24"/>
        <v>#DIV/0!</v>
      </c>
    </row>
    <row r="13" spans="1:54" x14ac:dyDescent="0.35">
      <c r="A13" s="11">
        <v>12</v>
      </c>
      <c r="B13" s="11">
        <v>500</v>
      </c>
      <c r="C13" s="58">
        <v>1500</v>
      </c>
      <c r="D13" s="12">
        <f>Voltage!L13</f>
        <v>0.46487732999999998</v>
      </c>
      <c r="E13" s="12">
        <f>Voltage!M13</f>
        <v>0</v>
      </c>
      <c r="G13" s="12">
        <f>Voltage!N13</f>
        <v>1519</v>
      </c>
      <c r="H13" s="82">
        <f t="shared" ref="H13:H22" si="27">G13*H$29+H$32</f>
        <v>0.46489088169999992</v>
      </c>
      <c r="I13" s="79">
        <f t="shared" si="1"/>
        <v>1.3551699999947431E-5</v>
      </c>
      <c r="J13" s="85">
        <f t="shared" si="2"/>
        <v>2.9151131116562366E-5</v>
      </c>
      <c r="K13" s="12">
        <f>Voltage!O13</f>
        <v>1523</v>
      </c>
      <c r="L13" s="82">
        <f t="shared" ref="L13:L22" si="28">K13*L$29+L$32</f>
        <v>0.46466305250000001</v>
      </c>
      <c r="M13" s="112">
        <f t="shared" si="25"/>
        <v>2.1427749999997081E-4</v>
      </c>
      <c r="N13" s="85">
        <f t="shared" si="26"/>
        <v>4.609334251682499E-4</v>
      </c>
      <c r="O13" s="13">
        <f>'Range 0'!L13*1000</f>
        <v>10.272584</v>
      </c>
      <c r="P13" s="13">
        <f>'Range 0'!M13</f>
        <v>2814</v>
      </c>
      <c r="Q13" s="91">
        <f t="shared" ref="Q13:Q22" si="29">P13*Q$29+Q$32</f>
        <v>10.291338006</v>
      </c>
      <c r="R13" s="91">
        <f t="shared" si="5"/>
        <v>1.875400599999999E-2</v>
      </c>
      <c r="S13" s="88">
        <f t="shared" si="6"/>
        <v>1.8754005999999991E-4</v>
      </c>
      <c r="T13" s="14">
        <f>'Range 1'!L13*1000</f>
        <v>0.51884339999999995</v>
      </c>
      <c r="U13" s="14">
        <f>'Range 1'!M13</f>
        <v>2821</v>
      </c>
      <c r="V13" s="100">
        <f t="shared" ref="V13:V22" si="30">U13*V$29+V$32</f>
        <v>0.52015334639999999</v>
      </c>
      <c r="W13" s="107">
        <f t="shared" si="8"/>
        <v>1.3099464000000394E-3</v>
      </c>
      <c r="X13" s="118">
        <f t="shared" si="9"/>
        <v>1.3099464000000393E-5</v>
      </c>
      <c r="Y13" s="13">
        <f>'Range 2'!L13*1000</f>
        <v>2.5139999999999999E-2</v>
      </c>
      <c r="Z13" s="13">
        <f>'Range 2'!M13</f>
        <v>2824</v>
      </c>
      <c r="AA13" s="77">
        <f t="shared" ref="AA13:AA22" si="31">Z13*AA$29+AA$32</f>
        <v>2.5188497602000003E-2</v>
      </c>
      <c r="AB13" s="91">
        <f t="shared" si="11"/>
        <v>4.8497602000003442E-5</v>
      </c>
      <c r="AC13" s="115">
        <f t="shared" si="12"/>
        <v>4.8497602000003441E-6</v>
      </c>
      <c r="AD13" s="14">
        <f>'Range 3'!L13*1000</f>
        <v>1.2936E-3</v>
      </c>
      <c r="AE13" s="14">
        <f>'Range 3'!M13</f>
        <v>2809</v>
      </c>
      <c r="AF13" s="100">
        <f t="shared" ref="AF13:AF22" si="32">AE13*AF$29+AF$32</f>
        <v>1.2956817247E-3</v>
      </c>
      <c r="AG13" s="107">
        <f t="shared" si="14"/>
        <v>2.0817247000000112E-6</v>
      </c>
      <c r="AH13" s="118">
        <f t="shared" si="15"/>
        <v>2.0817247000000112E-6</v>
      </c>
      <c r="AK13" s="77">
        <f t="shared" ref="AK13:AK22" si="33">AJ13*AK$29+AK$32</f>
        <v>0</v>
      </c>
      <c r="AL13" s="91">
        <f t="shared" si="17"/>
        <v>0</v>
      </c>
      <c r="AM13" s="122">
        <f t="shared" si="18"/>
        <v>0</v>
      </c>
      <c r="AP13" s="100" t="e">
        <f>AO13*AO$29+AO$32</f>
        <v>#DIV/0!</v>
      </c>
      <c r="AQ13" s="107" t="e">
        <f t="shared" si="19"/>
        <v>#DIV/0!</v>
      </c>
      <c r="AR13" s="118" t="e">
        <f t="shared" si="20"/>
        <v>#DIV/0!</v>
      </c>
      <c r="AU13" s="77" t="e">
        <f>AT13*AT$29+AT$32</f>
        <v>#DIV/0!</v>
      </c>
      <c r="AV13" s="91" t="e">
        <f t="shared" si="21"/>
        <v>#DIV/0!</v>
      </c>
      <c r="AW13" s="122" t="e">
        <f t="shared" si="22"/>
        <v>#DIV/0!</v>
      </c>
      <c r="AZ13" s="100" t="e">
        <f>AY13*AY$29+AY$32</f>
        <v>#DIV/0!</v>
      </c>
      <c r="BA13" s="107" t="e">
        <f t="shared" si="23"/>
        <v>#DIV/0!</v>
      </c>
      <c r="BB13" s="118" t="e">
        <f t="shared" si="24"/>
        <v>#DIV/0!</v>
      </c>
    </row>
    <row r="14" spans="1:54" x14ac:dyDescent="0.35">
      <c r="A14" s="11">
        <v>13</v>
      </c>
      <c r="B14" s="11">
        <v>1000</v>
      </c>
      <c r="C14" s="58">
        <v>3275</v>
      </c>
      <c r="D14" s="12">
        <f>Voltage!L14</f>
        <v>1.0063853</v>
      </c>
      <c r="E14" s="12">
        <f>Voltage!M14</f>
        <v>0</v>
      </c>
      <c r="G14" s="12">
        <f>Voltage!N14</f>
        <v>3297</v>
      </c>
      <c r="H14" s="82">
        <f t="shared" si="27"/>
        <v>1.0065146650999999</v>
      </c>
      <c r="I14" s="79">
        <f t="shared" si="1"/>
        <v>1.2936509999983414E-4</v>
      </c>
      <c r="J14" s="85">
        <f t="shared" si="2"/>
        <v>1.285443060424612E-4</v>
      </c>
      <c r="K14" s="12">
        <f>Voltage!O14</f>
        <v>3300</v>
      </c>
      <c r="L14" s="82">
        <f t="shared" si="28"/>
        <v>1.0059187717</v>
      </c>
      <c r="M14" s="112">
        <f t="shared" si="25"/>
        <v>4.6652830000004641E-4</v>
      </c>
      <c r="N14" s="85">
        <f t="shared" si="26"/>
        <v>4.63568277477867E-4</v>
      </c>
      <c r="O14" s="13">
        <f>'Range 0'!L14*1000</f>
        <v>20.254004999999999</v>
      </c>
      <c r="P14" s="13">
        <f>'Range 0'!M14</f>
        <v>5555</v>
      </c>
      <c r="Q14" s="91">
        <f t="shared" si="29"/>
        <v>20.28544612</v>
      </c>
      <c r="R14" s="91">
        <f t="shared" si="5"/>
        <v>3.1441120000000211E-2</v>
      </c>
      <c r="S14" s="88">
        <f t="shared" si="6"/>
        <v>3.1441120000000214E-4</v>
      </c>
      <c r="T14" s="14">
        <f>'Range 1'!L14*1000</f>
        <v>1.0260646</v>
      </c>
      <c r="U14" s="14">
        <f>'Range 1'!M14</f>
        <v>5584</v>
      </c>
      <c r="V14" s="100">
        <f t="shared" si="30"/>
        <v>1.0280104295999999</v>
      </c>
      <c r="W14" s="107">
        <f t="shared" si="8"/>
        <v>1.9458295999998931E-3</v>
      </c>
      <c r="X14" s="118">
        <f t="shared" si="9"/>
        <v>1.9458295999998931E-5</v>
      </c>
      <c r="Y14" s="13">
        <f>'Range 2'!L14*1000</f>
        <v>4.9709999999999997E-2</v>
      </c>
      <c r="Z14" s="13">
        <f>'Range 2'!M14</f>
        <v>5588</v>
      </c>
      <c r="AA14" s="77">
        <f t="shared" si="31"/>
        <v>4.9780587814E-2</v>
      </c>
      <c r="AB14" s="91">
        <f t="shared" si="11"/>
        <v>7.0587814000003246E-5</v>
      </c>
      <c r="AC14" s="115">
        <f t="shared" si="12"/>
        <v>7.0587814000003248E-6</v>
      </c>
      <c r="AD14" s="14">
        <f>'Range 3'!L14*1000</f>
        <v>2.5600000000000002E-3</v>
      </c>
      <c r="AE14" s="14">
        <f>'Range 3'!M14</f>
        <v>5572</v>
      </c>
      <c r="AF14" s="100">
        <f t="shared" si="32"/>
        <v>2.5662646816000004E-3</v>
      </c>
      <c r="AG14" s="107">
        <f t="shared" si="14"/>
        <v>6.2646816000001479E-6</v>
      </c>
      <c r="AH14" s="118">
        <f t="shared" si="15"/>
        <v>6.2646816000001479E-6</v>
      </c>
      <c r="AK14" s="77">
        <f t="shared" si="33"/>
        <v>0</v>
      </c>
      <c r="AL14" s="91">
        <f t="shared" si="17"/>
        <v>0</v>
      </c>
      <c r="AM14" s="122">
        <f t="shared" si="18"/>
        <v>0</v>
      </c>
      <c r="AP14" s="100" t="e">
        <f>AO14*AO$29+AO$32</f>
        <v>#DIV/0!</v>
      </c>
      <c r="AQ14" s="107" t="e">
        <f t="shared" si="19"/>
        <v>#DIV/0!</v>
      </c>
      <c r="AR14" s="118" t="e">
        <f t="shared" si="20"/>
        <v>#DIV/0!</v>
      </c>
      <c r="AU14" s="77" t="e">
        <f>AT14*AT$29+AT$32</f>
        <v>#DIV/0!</v>
      </c>
      <c r="AV14" s="91" t="e">
        <f t="shared" si="21"/>
        <v>#DIV/0!</v>
      </c>
      <c r="AW14" s="122" t="e">
        <f t="shared" si="22"/>
        <v>#DIV/0!</v>
      </c>
      <c r="AZ14" s="100" t="e">
        <f>AY14*AY$29+AY$32</f>
        <v>#DIV/0!</v>
      </c>
      <c r="BA14" s="107" t="e">
        <f t="shared" si="23"/>
        <v>#DIV/0!</v>
      </c>
      <c r="BB14" s="118" t="e">
        <f t="shared" si="24"/>
        <v>#DIV/0!</v>
      </c>
    </row>
    <row r="15" spans="1:54" x14ac:dyDescent="0.35">
      <c r="A15" s="11">
        <v>14</v>
      </c>
      <c r="B15" s="11">
        <v>1500</v>
      </c>
      <c r="C15" s="58">
        <v>6550</v>
      </c>
      <c r="D15" s="12">
        <f>Voltage!L15</f>
        <v>2.0061460000000002</v>
      </c>
      <c r="E15" s="12">
        <f>Voltage!M15</f>
        <v>0</v>
      </c>
      <c r="G15" s="12">
        <f>Voltage!N15</f>
        <v>6579</v>
      </c>
      <c r="H15" s="82">
        <f t="shared" si="27"/>
        <v>2.0062948996999999</v>
      </c>
      <c r="I15" s="79">
        <f t="shared" si="1"/>
        <v>1.4889969999964947E-4</v>
      </c>
      <c r="J15" s="85">
        <f t="shared" si="2"/>
        <v>7.4221766511335394E-5</v>
      </c>
      <c r="K15" s="12">
        <f>Voltage!O15</f>
        <v>6583</v>
      </c>
      <c r="L15" s="82">
        <f t="shared" si="28"/>
        <v>2.0058864285000002</v>
      </c>
      <c r="M15" s="112">
        <f t="shared" si="25"/>
        <v>2.5957149999999984E-4</v>
      </c>
      <c r="N15" s="85">
        <f t="shared" si="26"/>
        <v>1.2938814024502694E-4</v>
      </c>
      <c r="O15" s="13">
        <f>'Range 0'!L15*1000</f>
        <v>30.274878000000001</v>
      </c>
      <c r="P15" s="13">
        <f>'Range 0'!M15</f>
        <v>8305</v>
      </c>
      <c r="Q15" s="91">
        <f t="shared" si="29"/>
        <v>30.312369620000002</v>
      </c>
      <c r="R15" s="91">
        <f t="shared" si="5"/>
        <v>3.7491620000000836E-2</v>
      </c>
      <c r="S15" s="88">
        <f t="shared" si="6"/>
        <v>3.7491620000000835E-4</v>
      </c>
      <c r="T15" s="14">
        <f>'Range 1'!L15*1000</f>
        <v>1.5351212000000001</v>
      </c>
      <c r="U15" s="14">
        <f>'Range 1'!M15</f>
        <v>8358</v>
      </c>
      <c r="V15" s="100">
        <f t="shared" si="30"/>
        <v>1.5378893832</v>
      </c>
      <c r="W15" s="107">
        <f t="shared" si="8"/>
        <v>2.7681831999999407E-3</v>
      </c>
      <c r="X15" s="118">
        <f t="shared" si="9"/>
        <v>2.7681831999999408E-5</v>
      </c>
      <c r="Y15" s="13">
        <f>'Range 2'!L15*1000</f>
        <v>7.4369999999999992E-2</v>
      </c>
      <c r="Z15" s="13">
        <f>'Range 2'!M15</f>
        <v>8362</v>
      </c>
      <c r="AA15" s="77">
        <f t="shared" si="31"/>
        <v>7.4461650856000011E-2</v>
      </c>
      <c r="AB15" s="91">
        <f t="shared" si="11"/>
        <v>9.1650856000019543E-5</v>
      </c>
      <c r="AC15" s="115">
        <f t="shared" si="12"/>
        <v>9.1650856000019549E-6</v>
      </c>
      <c r="AD15" s="14">
        <f>'Range 3'!L15*1000</f>
        <v>3.8349999999999999E-3</v>
      </c>
      <c r="AE15" s="14">
        <f>'Range 3'!M15</f>
        <v>8347</v>
      </c>
      <c r="AF15" s="100">
        <f t="shared" si="32"/>
        <v>3.8423659141000005E-3</v>
      </c>
      <c r="AG15" s="107">
        <f t="shared" si="14"/>
        <v>7.3659141000006166E-6</v>
      </c>
      <c r="AH15" s="118">
        <f t="shared" si="15"/>
        <v>7.3659141000006166E-6</v>
      </c>
      <c r="AK15" s="77">
        <f t="shared" si="33"/>
        <v>0</v>
      </c>
      <c r="AL15" s="91">
        <f t="shared" si="17"/>
        <v>0</v>
      </c>
      <c r="AM15" s="122">
        <f t="shared" si="18"/>
        <v>0</v>
      </c>
      <c r="AP15" s="100" t="e">
        <f>AO15*AO$29+AO$32</f>
        <v>#DIV/0!</v>
      </c>
      <c r="AQ15" s="107" t="e">
        <f t="shared" si="19"/>
        <v>#DIV/0!</v>
      </c>
      <c r="AR15" s="118" t="e">
        <f t="shared" si="20"/>
        <v>#DIV/0!</v>
      </c>
      <c r="AU15" s="77" t="e">
        <f>AT15*AT$29+AT$32</f>
        <v>#DIV/0!</v>
      </c>
      <c r="AV15" s="91" t="e">
        <f t="shared" si="21"/>
        <v>#DIV/0!</v>
      </c>
      <c r="AW15" s="122" t="e">
        <f t="shared" si="22"/>
        <v>#DIV/0!</v>
      </c>
      <c r="AZ15" s="100" t="e">
        <f>AY15*AY$29+AY$32</f>
        <v>#DIV/0!</v>
      </c>
      <c r="BA15" s="107" t="e">
        <f t="shared" si="23"/>
        <v>#DIV/0!</v>
      </c>
      <c r="BB15" s="118" t="e">
        <f t="shared" si="24"/>
        <v>#DIV/0!</v>
      </c>
    </row>
    <row r="16" spans="1:54" x14ac:dyDescent="0.35">
      <c r="A16" s="11">
        <v>15</v>
      </c>
      <c r="B16" s="11">
        <v>2000</v>
      </c>
      <c r="C16" s="58">
        <v>9825</v>
      </c>
      <c r="D16" s="12">
        <f>Voltage!L16</f>
        <v>3.0062281999999998</v>
      </c>
      <c r="E16" s="12">
        <f>Voltage!M16</f>
        <v>0</v>
      </c>
      <c r="G16" s="12">
        <f>Voltage!N16</f>
        <v>9862</v>
      </c>
      <c r="H16" s="82">
        <f t="shared" si="27"/>
        <v>3.0063797595999997</v>
      </c>
      <c r="I16" s="79">
        <f t="shared" si="1"/>
        <v>1.5155959999990642E-4</v>
      </c>
      <c r="J16" s="85">
        <f t="shared" si="2"/>
        <v>5.0415201347624389E-5</v>
      </c>
      <c r="K16" s="12">
        <f>Voltage!O16</f>
        <v>9867</v>
      </c>
      <c r="L16" s="82">
        <f t="shared" si="28"/>
        <v>3.0061586749000004</v>
      </c>
      <c r="M16" s="112">
        <f t="shared" si="25"/>
        <v>6.9525099999356854E-5</v>
      </c>
      <c r="N16" s="85">
        <f t="shared" si="26"/>
        <v>2.3127020097595006E-5</v>
      </c>
      <c r="O16" s="13">
        <f>'Range 0'!L16*1000</f>
        <v>40.262371000000002</v>
      </c>
      <c r="P16" s="13">
        <f>'Range 0'!M16</f>
        <v>11047</v>
      </c>
      <c r="Q16" s="91">
        <f t="shared" si="29"/>
        <v>40.310123888</v>
      </c>
      <c r="R16" s="91">
        <f t="shared" si="5"/>
        <v>4.7752887999997995E-2</v>
      </c>
      <c r="S16" s="88">
        <f t="shared" si="6"/>
        <v>4.7752887999997996E-4</v>
      </c>
      <c r="T16" s="14">
        <f>'Range 1'!L16*1000</f>
        <v>2.0426321999999999</v>
      </c>
      <c r="U16" s="14">
        <f>'Range 1'!M16</f>
        <v>11122</v>
      </c>
      <c r="V16" s="100">
        <f t="shared" si="30"/>
        <v>2.0459302728000002</v>
      </c>
      <c r="W16" s="107">
        <f t="shared" si="8"/>
        <v>3.2980728000002735E-3</v>
      </c>
      <c r="X16" s="118">
        <f t="shared" si="9"/>
        <v>3.2980728000002735E-5</v>
      </c>
      <c r="Y16" s="13">
        <f>'Range 2'!L16*1000</f>
        <v>9.8960000000000006E-2</v>
      </c>
      <c r="Z16" s="13">
        <f>'Range 2'!M16</f>
        <v>11127</v>
      </c>
      <c r="AA16" s="77">
        <f t="shared" si="31"/>
        <v>9.9062638351000015E-2</v>
      </c>
      <c r="AB16" s="91">
        <f t="shared" si="11"/>
        <v>1.0263835100000895E-4</v>
      </c>
      <c r="AC16" s="115">
        <f t="shared" si="12"/>
        <v>1.0263835100000895E-5</v>
      </c>
      <c r="AD16" s="14">
        <f>'Range 3'!L16*1000</f>
        <v>5.1050000000000002E-3</v>
      </c>
      <c r="AE16" s="14">
        <f>'Range 3'!M16</f>
        <v>11112</v>
      </c>
      <c r="AF16" s="100">
        <f t="shared" si="32"/>
        <v>5.1138685836000005E-3</v>
      </c>
      <c r="AG16" s="107">
        <f t="shared" si="14"/>
        <v>8.8685836000003404E-6</v>
      </c>
      <c r="AH16" s="118">
        <f t="shared" si="15"/>
        <v>8.8685836000003404E-6</v>
      </c>
      <c r="AK16" s="77">
        <f t="shared" si="33"/>
        <v>0</v>
      </c>
      <c r="AL16" s="91">
        <f t="shared" si="17"/>
        <v>0</v>
      </c>
      <c r="AM16" s="122">
        <f t="shared" si="18"/>
        <v>0</v>
      </c>
      <c r="AP16" s="100" t="e">
        <f>AO16*AO$29+AO$32</f>
        <v>#DIV/0!</v>
      </c>
      <c r="AQ16" s="107" t="e">
        <f t="shared" si="19"/>
        <v>#DIV/0!</v>
      </c>
      <c r="AR16" s="118" t="e">
        <f t="shared" si="20"/>
        <v>#DIV/0!</v>
      </c>
      <c r="AU16" s="77" t="e">
        <f>AT16*AT$29+AT$32</f>
        <v>#DIV/0!</v>
      </c>
      <c r="AV16" s="91" t="e">
        <f t="shared" si="21"/>
        <v>#DIV/0!</v>
      </c>
      <c r="AW16" s="122" t="e">
        <f t="shared" si="22"/>
        <v>#DIV/0!</v>
      </c>
      <c r="AZ16" s="100" t="e">
        <f>AY16*AY$29+AY$32</f>
        <v>#DIV/0!</v>
      </c>
      <c r="BA16" s="107" t="e">
        <f t="shared" si="23"/>
        <v>#DIV/0!</v>
      </c>
      <c r="BB16" s="118" t="e">
        <f t="shared" si="24"/>
        <v>#DIV/0!</v>
      </c>
    </row>
    <row r="17" spans="1:54" x14ac:dyDescent="0.35">
      <c r="A17" s="11">
        <v>16</v>
      </c>
      <c r="B17" s="11">
        <v>2500</v>
      </c>
      <c r="C17" s="58">
        <v>13100</v>
      </c>
      <c r="D17" s="12">
        <f>Voltage!L17</f>
        <v>4.0057304</v>
      </c>
      <c r="E17" s="12">
        <f>Voltage!M17</f>
        <v>0</v>
      </c>
      <c r="G17" s="12">
        <f>Voltage!N17</f>
        <v>13142</v>
      </c>
      <c r="H17" s="82">
        <f t="shared" si="27"/>
        <v>4.0055507436000006</v>
      </c>
      <c r="I17" s="79">
        <f t="shared" si="1"/>
        <v>1.7965639999939498E-4</v>
      </c>
      <c r="J17" s="85">
        <f t="shared" si="2"/>
        <v>4.4849848107450009E-5</v>
      </c>
      <c r="K17" s="12">
        <f>Voltage!O17</f>
        <v>13148</v>
      </c>
      <c r="L17" s="82">
        <f t="shared" si="28"/>
        <v>4.0055171525000004</v>
      </c>
      <c r="M17" s="112">
        <f t="shared" si="25"/>
        <v>2.1324749999962478E-4</v>
      </c>
      <c r="N17" s="85">
        <f t="shared" si="26"/>
        <v>5.3235609665499401E-5</v>
      </c>
      <c r="O17" s="13">
        <f>'Range 0'!L17*1000</f>
        <v>50.275182999999998</v>
      </c>
      <c r="P17" s="13">
        <f>'Range 0'!M17</f>
        <v>13795</v>
      </c>
      <c r="Q17" s="91">
        <f t="shared" si="29"/>
        <v>50.329755079999998</v>
      </c>
      <c r="R17" s="91">
        <f t="shared" si="5"/>
        <v>5.4572079999999801E-2</v>
      </c>
      <c r="S17" s="88">
        <f t="shared" si="6"/>
        <v>5.4572079999999797E-4</v>
      </c>
      <c r="T17" s="14">
        <f>'Range 1'!L17*1000</f>
        <v>2.5513463999999999</v>
      </c>
      <c r="U17" s="14">
        <f>'Range 1'!M17</f>
        <v>13893</v>
      </c>
      <c r="V17" s="100">
        <f t="shared" si="30"/>
        <v>2.5552578072000003</v>
      </c>
      <c r="W17" s="107">
        <f t="shared" si="8"/>
        <v>3.911407200000383E-3</v>
      </c>
      <c r="X17" s="118">
        <f t="shared" si="9"/>
        <v>3.9114072000003831E-5</v>
      </c>
      <c r="Y17" s="13">
        <f>'Range 2'!L17*1000</f>
        <v>0.1236</v>
      </c>
      <c r="Z17" s="13">
        <f>'Range 2'!M17</f>
        <v>13900</v>
      </c>
      <c r="AA17" s="77">
        <f t="shared" si="31"/>
        <v>0.12373480411000001</v>
      </c>
      <c r="AB17" s="91">
        <f t="shared" si="11"/>
        <v>1.3480411000001136E-4</v>
      </c>
      <c r="AC17" s="115">
        <f t="shared" si="12"/>
        <v>1.3480411000001136E-5</v>
      </c>
      <c r="AD17" s="14">
        <f>'Range 3'!L17*1000</f>
        <v>6.3790000000000001E-3</v>
      </c>
      <c r="AE17" s="14">
        <f>'Range 3'!M17</f>
        <v>13884</v>
      </c>
      <c r="AF17" s="100">
        <f t="shared" si="32"/>
        <v>6.3885902472000005E-3</v>
      </c>
      <c r="AG17" s="107">
        <f t="shared" si="14"/>
        <v>9.5902472000003458E-6</v>
      </c>
      <c r="AH17" s="118">
        <f t="shared" si="15"/>
        <v>9.5902472000003458E-6</v>
      </c>
      <c r="AK17" s="77">
        <f t="shared" si="33"/>
        <v>0</v>
      </c>
      <c r="AL17" s="91">
        <f t="shared" si="17"/>
        <v>0</v>
      </c>
      <c r="AM17" s="122">
        <f t="shared" si="18"/>
        <v>0</v>
      </c>
      <c r="AP17" s="100" t="e">
        <f>AO17*AO$29+AO$32</f>
        <v>#DIV/0!</v>
      </c>
      <c r="AQ17" s="107" t="e">
        <f t="shared" si="19"/>
        <v>#DIV/0!</v>
      </c>
      <c r="AR17" s="118" t="e">
        <f t="shared" si="20"/>
        <v>#DIV/0!</v>
      </c>
      <c r="AU17" s="77" t="e">
        <f>AT17*AT$29+AT$32</f>
        <v>#DIV/0!</v>
      </c>
      <c r="AV17" s="91" t="e">
        <f t="shared" si="21"/>
        <v>#DIV/0!</v>
      </c>
      <c r="AW17" s="122" t="e">
        <f t="shared" si="22"/>
        <v>#DIV/0!</v>
      </c>
      <c r="AZ17" s="100" t="e">
        <f>AY17*AY$29+AY$32</f>
        <v>#DIV/0!</v>
      </c>
      <c r="BA17" s="107" t="e">
        <f t="shared" si="23"/>
        <v>#DIV/0!</v>
      </c>
      <c r="BB17" s="118" t="e">
        <f t="shared" si="24"/>
        <v>#DIV/0!</v>
      </c>
    </row>
    <row r="18" spans="1:54" x14ac:dyDescent="0.35">
      <c r="A18" s="11">
        <v>17</v>
      </c>
      <c r="B18" s="11">
        <v>3000</v>
      </c>
      <c r="C18" s="58">
        <v>16375</v>
      </c>
      <c r="D18" s="12">
        <f>Voltage!L18</f>
        <v>5.0051576000000004</v>
      </c>
      <c r="E18" s="12">
        <f>Voltage!M18</f>
        <v>0</v>
      </c>
      <c r="G18" s="12">
        <f>Voltage!N18</f>
        <v>16424</v>
      </c>
      <c r="H18" s="82">
        <f t="shared" si="27"/>
        <v>5.0053309781999999</v>
      </c>
      <c r="I18" s="79">
        <f t="shared" si="1"/>
        <v>1.7337819999951876E-4</v>
      </c>
      <c r="J18" s="85">
        <f t="shared" si="2"/>
        <v>3.4639908241754217E-5</v>
      </c>
      <c r="K18" s="12">
        <f>Voltage!O18</f>
        <v>16429</v>
      </c>
      <c r="L18" s="82">
        <f t="shared" si="28"/>
        <v>5.0048756300999999</v>
      </c>
      <c r="M18" s="112">
        <f t="shared" si="25"/>
        <v>2.8196990000051159E-4</v>
      </c>
      <c r="N18" s="85">
        <f t="shared" si="26"/>
        <v>5.6335868425104447E-5</v>
      </c>
      <c r="O18" s="13">
        <f>'Range 0'!L18*1000</f>
        <v>60.264309000000004</v>
      </c>
      <c r="P18" s="13">
        <f>'Range 0'!M18</f>
        <v>16536</v>
      </c>
      <c r="Q18" s="91">
        <f t="shared" si="29"/>
        <v>60.323863193999998</v>
      </c>
      <c r="R18" s="91">
        <f t="shared" si="5"/>
        <v>5.9554193999993288E-2</v>
      </c>
      <c r="S18" s="88">
        <f t="shared" si="6"/>
        <v>5.9554193999993292E-4</v>
      </c>
      <c r="T18" s="14">
        <f>'Range 1'!L18*1000</f>
        <v>3.0589566000000001</v>
      </c>
      <c r="U18" s="14">
        <f>'Range 1'!M18</f>
        <v>16657</v>
      </c>
      <c r="V18" s="100">
        <f t="shared" si="30"/>
        <v>3.0632986968000004</v>
      </c>
      <c r="W18" s="107">
        <f t="shared" si="8"/>
        <v>4.3420968000003057E-3</v>
      </c>
      <c r="X18" s="118">
        <f t="shared" si="9"/>
        <v>4.3420968000003058E-5</v>
      </c>
      <c r="Y18" s="13">
        <f>'Range 2'!L18*1000</f>
        <v>0.1482</v>
      </c>
      <c r="Z18" s="13">
        <f>'Range 2'!M18</f>
        <v>16665</v>
      </c>
      <c r="AA18" s="77">
        <f t="shared" si="31"/>
        <v>0.14833579160499999</v>
      </c>
      <c r="AB18" s="91">
        <f t="shared" si="11"/>
        <v>1.3579160499999077E-4</v>
      </c>
      <c r="AC18" s="115">
        <f t="shared" si="12"/>
        <v>1.3579160499999077E-5</v>
      </c>
      <c r="AD18" s="14">
        <f>'Range 3'!L18*1000</f>
        <v>7.6499999999999997E-3</v>
      </c>
      <c r="AE18" s="14">
        <f>'Range 3'!M18</f>
        <v>16649</v>
      </c>
      <c r="AF18" s="100">
        <f t="shared" si="32"/>
        <v>7.6600929167000001E-3</v>
      </c>
      <c r="AG18" s="107">
        <f t="shared" si="14"/>
        <v>1.0092916700000371E-5</v>
      </c>
      <c r="AH18" s="118">
        <f t="shared" si="15"/>
        <v>1.0092916700000371E-5</v>
      </c>
      <c r="AK18" s="77">
        <f t="shared" si="33"/>
        <v>0</v>
      </c>
      <c r="AL18" s="91">
        <f t="shared" si="17"/>
        <v>0</v>
      </c>
      <c r="AM18" s="122">
        <f t="shared" si="18"/>
        <v>0</v>
      </c>
      <c r="AP18" s="100" t="e">
        <f>AO18*AO$29+AO$32</f>
        <v>#DIV/0!</v>
      </c>
      <c r="AQ18" s="107" t="e">
        <f t="shared" si="19"/>
        <v>#DIV/0!</v>
      </c>
      <c r="AR18" s="118" t="e">
        <f t="shared" si="20"/>
        <v>#DIV/0!</v>
      </c>
      <c r="AU18" s="77" t="e">
        <f>AT18*AT$29+AT$32</f>
        <v>#DIV/0!</v>
      </c>
      <c r="AV18" s="91" t="e">
        <f t="shared" si="21"/>
        <v>#DIV/0!</v>
      </c>
      <c r="AW18" s="122" t="e">
        <f t="shared" si="22"/>
        <v>#DIV/0!</v>
      </c>
      <c r="AZ18" s="100" t="e">
        <f>AY18*AY$29+AY$32</f>
        <v>#DIV/0!</v>
      </c>
      <c r="BA18" s="107" t="e">
        <f t="shared" si="23"/>
        <v>#DIV/0!</v>
      </c>
      <c r="BB18" s="118" t="e">
        <f t="shared" si="24"/>
        <v>#DIV/0!</v>
      </c>
    </row>
    <row r="19" spans="1:54" x14ac:dyDescent="0.35">
      <c r="A19" s="11">
        <v>18</v>
      </c>
      <c r="B19" s="11">
        <v>3500</v>
      </c>
      <c r="C19" s="58">
        <v>19650</v>
      </c>
      <c r="D19" s="12">
        <f>Voltage!L19</f>
        <v>6.0045596999999997</v>
      </c>
      <c r="E19" s="12">
        <f>Voltage!M19</f>
        <v>0</v>
      </c>
      <c r="G19" s="12">
        <f>Voltage!N19</f>
        <v>19704</v>
      </c>
      <c r="H19" s="82">
        <f t="shared" si="27"/>
        <v>6.0045019622</v>
      </c>
      <c r="I19" s="79">
        <f t="shared" si="1"/>
        <v>5.7737799999735273E-5</v>
      </c>
      <c r="J19" s="85">
        <f t="shared" si="2"/>
        <v>9.6156592463782602E-6</v>
      </c>
      <c r="K19" s="12">
        <f>Voltage!O19</f>
        <v>19710</v>
      </c>
      <c r="L19" s="82">
        <f t="shared" si="28"/>
        <v>6.0042341077000003</v>
      </c>
      <c r="M19" s="112">
        <f t="shared" si="25"/>
        <v>3.2559229999939987E-4</v>
      </c>
      <c r="N19" s="85">
        <f t="shared" si="26"/>
        <v>5.4224175670932189E-5</v>
      </c>
      <c r="O19" s="13">
        <f>'Range 0'!L19*1000</f>
        <v>70.277332000000001</v>
      </c>
      <c r="P19" s="13">
        <f>'Range 0'!M19</f>
        <v>19285</v>
      </c>
      <c r="Q19" s="91">
        <f t="shared" si="29"/>
        <v>70.347140539999998</v>
      </c>
      <c r="R19" s="91">
        <f t="shared" si="5"/>
        <v>6.980853999999681E-2</v>
      </c>
      <c r="S19" s="88">
        <f t="shared" si="6"/>
        <v>6.9808539999996813E-4</v>
      </c>
      <c r="T19" s="14">
        <f>'Range 1'!L19*1000</f>
        <v>3.5677294000000002</v>
      </c>
      <c r="U19" s="14">
        <f>'Range 1'!M19</f>
        <v>19428</v>
      </c>
      <c r="V19" s="100">
        <f t="shared" si="30"/>
        <v>3.5726262312000001</v>
      </c>
      <c r="W19" s="107">
        <f t="shared" si="8"/>
        <v>4.8968311999999514E-3</v>
      </c>
      <c r="X19" s="118">
        <f t="shared" si="9"/>
        <v>4.8968311999999515E-5</v>
      </c>
      <c r="Y19" s="13">
        <f>'Range 2'!L19*1000</f>
        <v>0.17285</v>
      </c>
      <c r="Z19" s="13">
        <f>'Range 2'!M19</f>
        <v>19437</v>
      </c>
      <c r="AA19" s="77">
        <f t="shared" si="31"/>
        <v>0.17299906008099999</v>
      </c>
      <c r="AB19" s="91">
        <f t="shared" si="11"/>
        <v>1.4906008099999091E-4</v>
      </c>
      <c r="AC19" s="115">
        <f t="shared" si="12"/>
        <v>1.4906008099999091E-5</v>
      </c>
      <c r="AD19" s="14">
        <f>'Range 3'!L19*1000</f>
        <v>8.9230000000000004E-3</v>
      </c>
      <c r="AE19" s="14">
        <f>'Range 3'!M19</f>
        <v>19422</v>
      </c>
      <c r="AF19" s="100">
        <f t="shared" si="32"/>
        <v>8.9352744365999992E-3</v>
      </c>
      <c r="AG19" s="107">
        <f t="shared" si="14"/>
        <v>1.2274436599998828E-5</v>
      </c>
      <c r="AH19" s="118">
        <f t="shared" si="15"/>
        <v>1.2274436599998828E-5</v>
      </c>
      <c r="AK19" s="77">
        <f t="shared" si="33"/>
        <v>0</v>
      </c>
      <c r="AL19" s="91">
        <f t="shared" si="17"/>
        <v>0</v>
      </c>
      <c r="AM19" s="122">
        <f t="shared" si="18"/>
        <v>0</v>
      </c>
      <c r="AP19" s="100" t="e">
        <f>AO19*AO$29+AO$32</f>
        <v>#DIV/0!</v>
      </c>
      <c r="AQ19" s="107" t="e">
        <f t="shared" si="19"/>
        <v>#DIV/0!</v>
      </c>
      <c r="AR19" s="118" t="e">
        <f t="shared" si="20"/>
        <v>#DIV/0!</v>
      </c>
      <c r="AU19" s="77" t="e">
        <f>AT19*AT$29+AT$32</f>
        <v>#DIV/0!</v>
      </c>
      <c r="AV19" s="91" t="e">
        <f t="shared" si="21"/>
        <v>#DIV/0!</v>
      </c>
      <c r="AW19" s="122" t="e">
        <f t="shared" si="22"/>
        <v>#DIV/0!</v>
      </c>
      <c r="AZ19" s="100" t="e">
        <f>AY19*AY$29+AY$32</f>
        <v>#DIV/0!</v>
      </c>
      <c r="BA19" s="107" t="e">
        <f t="shared" si="23"/>
        <v>#DIV/0!</v>
      </c>
      <c r="BB19" s="118" t="e">
        <f t="shared" si="24"/>
        <v>#DIV/0!</v>
      </c>
    </row>
    <row r="20" spans="1:54" x14ac:dyDescent="0.35">
      <c r="A20" s="11">
        <v>19</v>
      </c>
      <c r="B20" s="11">
        <v>4000</v>
      </c>
      <c r="C20" s="58">
        <v>22925</v>
      </c>
      <c r="D20" s="12">
        <f>Voltage!L20</f>
        <v>7.0037216999999998</v>
      </c>
      <c r="E20" s="12">
        <f>Voltage!M20</f>
        <v>0</v>
      </c>
      <c r="G20" s="12">
        <f>Voltage!N20</f>
        <v>22984</v>
      </c>
      <c r="H20" s="82">
        <f t="shared" si="27"/>
        <v>7.0036729462</v>
      </c>
      <c r="I20" s="79">
        <f t="shared" si="1"/>
        <v>4.8753799999801117E-5</v>
      </c>
      <c r="J20" s="85">
        <f t="shared" si="2"/>
        <v>6.9611275387771501E-6</v>
      </c>
      <c r="K20" s="12">
        <f>Voltage!O20</f>
        <v>22991</v>
      </c>
      <c r="L20" s="82">
        <f t="shared" si="28"/>
        <v>7.0035925853000007</v>
      </c>
      <c r="M20" s="112">
        <f t="shared" si="25"/>
        <v>1.2911469999909997E-4</v>
      </c>
      <c r="N20" s="85">
        <f t="shared" si="26"/>
        <v>1.8435155697163121E-5</v>
      </c>
      <c r="O20" s="13">
        <f>'Range 0'!L20*1000</f>
        <v>80.266279999999995</v>
      </c>
      <c r="P20" s="13">
        <f>'Range 0'!M20</f>
        <v>22026</v>
      </c>
      <c r="Q20" s="91">
        <f t="shared" si="29"/>
        <v>80.341248653999997</v>
      </c>
      <c r="R20" s="91">
        <f t="shared" si="5"/>
        <v>7.4968654000002743E-2</v>
      </c>
      <c r="S20" s="88">
        <f t="shared" si="6"/>
        <v>7.4968654000002739E-4</v>
      </c>
      <c r="T20" s="14">
        <f>'Range 1'!L20*1000</f>
        <v>4.0752124999999992</v>
      </c>
      <c r="U20" s="14">
        <f>'Range 1'!M20</f>
        <v>22192</v>
      </c>
      <c r="V20" s="100">
        <f t="shared" si="30"/>
        <v>4.0806671208000003</v>
      </c>
      <c r="W20" s="107">
        <f t="shared" si="8"/>
        <v>5.454620800001031E-3</v>
      </c>
      <c r="X20" s="118">
        <f t="shared" si="9"/>
        <v>5.4546208000010312E-5</v>
      </c>
      <c r="Y20" s="13">
        <f>'Range 2'!L20*1000</f>
        <v>0.19744</v>
      </c>
      <c r="Z20" s="13">
        <f>'Range 2'!M20</f>
        <v>22202</v>
      </c>
      <c r="AA20" s="77">
        <f t="shared" si="31"/>
        <v>0.197600047576</v>
      </c>
      <c r="AB20" s="91">
        <f t="shared" si="11"/>
        <v>1.600475759999942E-4</v>
      </c>
      <c r="AC20" s="115">
        <f t="shared" si="12"/>
        <v>1.6004757599999419E-5</v>
      </c>
      <c r="AD20" s="14">
        <f>'Range 3'!L20*1000</f>
        <v>1.0194E-2</v>
      </c>
      <c r="AE20" s="14">
        <f>'Range 3'!M20</f>
        <v>22186</v>
      </c>
      <c r="AF20" s="100">
        <f t="shared" si="32"/>
        <v>1.02063172498E-2</v>
      </c>
      <c r="AG20" s="107">
        <f t="shared" si="14"/>
        <v>1.2317249799999666E-5</v>
      </c>
      <c r="AH20" s="118">
        <f t="shared" si="15"/>
        <v>1.2317249799999666E-5</v>
      </c>
      <c r="AK20" s="77">
        <f t="shared" si="33"/>
        <v>0</v>
      </c>
      <c r="AL20" s="91">
        <f t="shared" si="17"/>
        <v>0</v>
      </c>
      <c r="AM20" s="122">
        <f t="shared" si="18"/>
        <v>0</v>
      </c>
      <c r="AP20" s="100" t="e">
        <f>AO20*AO$29+AO$32</f>
        <v>#DIV/0!</v>
      </c>
      <c r="AQ20" s="107" t="e">
        <f t="shared" si="19"/>
        <v>#DIV/0!</v>
      </c>
      <c r="AR20" s="118" t="e">
        <f t="shared" si="20"/>
        <v>#DIV/0!</v>
      </c>
      <c r="AU20" s="77" t="e">
        <f>AT20*AT$29+AT$32</f>
        <v>#DIV/0!</v>
      </c>
      <c r="AV20" s="91" t="e">
        <f t="shared" si="21"/>
        <v>#DIV/0!</v>
      </c>
      <c r="AW20" s="122" t="e">
        <f t="shared" si="22"/>
        <v>#DIV/0!</v>
      </c>
      <c r="AZ20" s="100" t="e">
        <f>AY20*AY$29+AY$32</f>
        <v>#DIV/0!</v>
      </c>
      <c r="BA20" s="107" t="e">
        <f t="shared" si="23"/>
        <v>#DIV/0!</v>
      </c>
      <c r="BB20" s="118" t="e">
        <f t="shared" si="24"/>
        <v>#DIV/0!</v>
      </c>
    </row>
    <row r="21" spans="1:54" x14ac:dyDescent="0.35">
      <c r="A21" s="11">
        <v>20</v>
      </c>
      <c r="B21" s="11">
        <v>4500</v>
      </c>
      <c r="C21" s="58">
        <v>26200</v>
      </c>
      <c r="D21" s="12">
        <f>Voltage!L21</f>
        <v>8.0028170999999997</v>
      </c>
      <c r="E21" s="12">
        <f>Voltage!M21</f>
        <v>0</v>
      </c>
      <c r="G21" s="12">
        <f>Voltage!N21</f>
        <v>26264</v>
      </c>
      <c r="H21" s="82">
        <f t="shared" si="27"/>
        <v>8.0028439301999992</v>
      </c>
      <c r="I21" s="79">
        <f t="shared" si="1"/>
        <v>2.6830199999494653E-5</v>
      </c>
      <c r="J21" s="85">
        <f t="shared" si="2"/>
        <v>3.3525944257172458E-6</v>
      </c>
      <c r="K21" s="12">
        <f>Voltage!O21</f>
        <v>26271</v>
      </c>
      <c r="L21" s="82">
        <f t="shared" si="28"/>
        <v>8.0026464732999987</v>
      </c>
      <c r="M21" s="112">
        <f t="shared" si="25"/>
        <v>1.7062670000100866E-4</v>
      </c>
      <c r="N21" s="85">
        <f t="shared" si="26"/>
        <v>2.1320829636479967E-5</v>
      </c>
      <c r="O21" s="13">
        <f>'Range 0'!L21*1000</f>
        <v>90.278975000000003</v>
      </c>
      <c r="P21" s="13">
        <f>'Range 0'!M21</f>
        <v>24766</v>
      </c>
      <c r="Q21" s="91">
        <f t="shared" si="29"/>
        <v>90.331710614000002</v>
      </c>
      <c r="R21" s="91">
        <f t="shared" si="5"/>
        <v>5.2735613999999487E-2</v>
      </c>
      <c r="S21" s="88">
        <f t="shared" si="6"/>
        <v>5.2735613999999487E-4</v>
      </c>
      <c r="T21" s="14">
        <f>'Range 1'!L21*1000</f>
        <v>4.5840869</v>
      </c>
      <c r="U21" s="14">
        <f>'Range 1'!M21</f>
        <v>24953</v>
      </c>
      <c r="V21" s="100">
        <f t="shared" si="30"/>
        <v>4.5881565912000006</v>
      </c>
      <c r="W21" s="107">
        <f t="shared" si="8"/>
        <v>4.0696912000006691E-3</v>
      </c>
      <c r="X21" s="118">
        <f t="shared" si="9"/>
        <v>4.0696912000006688E-5</v>
      </c>
      <c r="Y21" s="13">
        <f>'Range 2'!L21*1000</f>
        <v>0.22189999999999999</v>
      </c>
      <c r="Z21" s="13">
        <f>'Range 2'!M21</f>
        <v>24963</v>
      </c>
      <c r="AA21" s="77">
        <f t="shared" si="31"/>
        <v>0.22216544593900001</v>
      </c>
      <c r="AB21" s="91">
        <f t="shared" si="11"/>
        <v>2.6544593900001967E-4</v>
      </c>
      <c r="AC21" s="115">
        <f t="shared" si="12"/>
        <v>2.6544593900001967E-5</v>
      </c>
      <c r="AD21" s="14">
        <f>'Range 3'!L21*1000</f>
        <v>1.1467999999999999E-2</v>
      </c>
      <c r="AE21" s="14">
        <f>'Range 3'!M21</f>
        <v>24947</v>
      </c>
      <c r="AF21" s="100">
        <f t="shared" si="32"/>
        <v>1.1475980494099999E-2</v>
      </c>
      <c r="AG21" s="107">
        <f t="shared" si="14"/>
        <v>7.9804940999999435E-6</v>
      </c>
      <c r="AH21" s="118">
        <f t="shared" si="15"/>
        <v>7.9804940999999435E-6</v>
      </c>
      <c r="AK21" s="77">
        <f t="shared" si="33"/>
        <v>0</v>
      </c>
      <c r="AL21" s="91">
        <f t="shared" si="17"/>
        <v>0</v>
      </c>
      <c r="AM21" s="122">
        <f t="shared" si="18"/>
        <v>0</v>
      </c>
      <c r="AP21" s="100" t="e">
        <f>AO21*AO$29+AO$32</f>
        <v>#DIV/0!</v>
      </c>
      <c r="AQ21" s="107" t="e">
        <f t="shared" si="19"/>
        <v>#DIV/0!</v>
      </c>
      <c r="AR21" s="118" t="e">
        <f t="shared" si="20"/>
        <v>#DIV/0!</v>
      </c>
      <c r="AU21" s="77" t="e">
        <f>AT21*AT$29+AT$32</f>
        <v>#DIV/0!</v>
      </c>
      <c r="AV21" s="91" t="e">
        <f t="shared" si="21"/>
        <v>#DIV/0!</v>
      </c>
      <c r="AW21" s="122" t="e">
        <f t="shared" si="22"/>
        <v>#DIV/0!</v>
      </c>
      <c r="AZ21" s="100" t="e">
        <f>AY21*AY$29+AY$32</f>
        <v>#DIV/0!</v>
      </c>
      <c r="BA21" s="107" t="e">
        <f t="shared" si="23"/>
        <v>#DIV/0!</v>
      </c>
      <c r="BB21" s="118" t="e">
        <f t="shared" si="24"/>
        <v>#DIV/0!</v>
      </c>
    </row>
    <row r="22" spans="1:54" s="26" customFormat="1" x14ac:dyDescent="0.35">
      <c r="A22" s="22">
        <v>21</v>
      </c>
      <c r="B22" s="22">
        <v>5000</v>
      </c>
      <c r="C22" s="60">
        <v>29475</v>
      </c>
      <c r="D22" s="23">
        <f>Voltage!L22</f>
        <v>9.0022085999999994</v>
      </c>
      <c r="E22" s="23">
        <f>Voltage!M22</f>
        <v>0</v>
      </c>
      <c r="F22" s="23"/>
      <c r="G22" s="23">
        <f>Voltage!N22</f>
        <v>29544</v>
      </c>
      <c r="H22" s="84">
        <f t="shared" si="27"/>
        <v>9.0020149142000001</v>
      </c>
      <c r="I22" s="81">
        <f t="shared" si="1"/>
        <v>1.9368579999934354E-4</v>
      </c>
      <c r="J22" s="87">
        <f t="shared" si="2"/>
        <v>2.1515364573905068E-5</v>
      </c>
      <c r="K22" s="23">
        <f>Voltage!O22</f>
        <v>29552</v>
      </c>
      <c r="L22" s="84">
        <f t="shared" si="28"/>
        <v>9.0020049509</v>
      </c>
      <c r="M22" s="114">
        <f t="shared" si="25"/>
        <v>2.0364909999948111E-4</v>
      </c>
      <c r="N22" s="87">
        <f t="shared" si="26"/>
        <v>2.262212630792416E-5</v>
      </c>
      <c r="O22" s="24">
        <f>'Range 0'!L22*1000</f>
        <v>100.2283</v>
      </c>
      <c r="P22" s="24">
        <f>'Range 0'!M22</f>
        <v>27451</v>
      </c>
      <c r="Q22" s="93">
        <f t="shared" si="29"/>
        <v>100.12163410399999</v>
      </c>
      <c r="R22" s="93">
        <f t="shared" si="5"/>
        <v>0.10666589600000975</v>
      </c>
      <c r="S22" s="90">
        <f t="shared" si="6"/>
        <v>1.0666589600000975E-3</v>
      </c>
      <c r="T22" s="25">
        <f>'Range 1'!L22*1000</f>
        <v>5.0915022000000008</v>
      </c>
      <c r="U22" s="25">
        <f>'Range 1'!M22</f>
        <v>27651</v>
      </c>
      <c r="V22" s="102">
        <f t="shared" si="30"/>
        <v>5.0840662584</v>
      </c>
      <c r="W22" s="109">
        <f t="shared" si="8"/>
        <v>7.4359416000007172E-3</v>
      </c>
      <c r="X22" s="120">
        <f t="shared" si="9"/>
        <v>7.4359416000007171E-5</v>
      </c>
      <c r="Y22" s="24">
        <f>'Range 2'!L22*1000</f>
        <v>0.24649999999999997</v>
      </c>
      <c r="Z22" s="24">
        <f>'Range 2'!M22</f>
        <v>27657</v>
      </c>
      <c r="AA22" s="97">
        <f t="shared" si="31"/>
        <v>0.246134726341</v>
      </c>
      <c r="AB22" s="93">
        <f t="shared" si="11"/>
        <v>3.65273658999965E-4</v>
      </c>
      <c r="AC22" s="117">
        <f t="shared" si="12"/>
        <v>3.6527365899996497E-5</v>
      </c>
      <c r="AD22" s="25">
        <f>'Range 3'!L22*1000</f>
        <v>1.2738000000000001E-2</v>
      </c>
      <c r="AE22" s="25">
        <f>'Range 3'!M22</f>
        <v>27641</v>
      </c>
      <c r="AF22" s="102">
        <f t="shared" si="32"/>
        <v>1.2714833366299999E-2</v>
      </c>
      <c r="AG22" s="109">
        <f t="shared" si="14"/>
        <v>2.3166633700002007E-5</v>
      </c>
      <c r="AH22" s="120">
        <f t="shared" si="15"/>
        <v>2.3166633700002007E-5</v>
      </c>
      <c r="AI22" s="24"/>
      <c r="AJ22" s="24"/>
      <c r="AK22" s="97">
        <f t="shared" si="33"/>
        <v>0</v>
      </c>
      <c r="AL22" s="93">
        <f t="shared" si="17"/>
        <v>0</v>
      </c>
      <c r="AM22" s="124">
        <f t="shared" si="18"/>
        <v>0</v>
      </c>
      <c r="AN22" s="25"/>
      <c r="AO22" s="25"/>
      <c r="AP22" s="102" t="e">
        <f>AO22*AO$29+AO$32</f>
        <v>#DIV/0!</v>
      </c>
      <c r="AQ22" s="109" t="e">
        <f t="shared" si="19"/>
        <v>#DIV/0!</v>
      </c>
      <c r="AR22" s="120" t="e">
        <f t="shared" si="20"/>
        <v>#DIV/0!</v>
      </c>
      <c r="AS22" s="24"/>
      <c r="AT22" s="24"/>
      <c r="AU22" s="97" t="e">
        <f>AT22*AT$29+AT$32</f>
        <v>#DIV/0!</v>
      </c>
      <c r="AV22" s="93" t="e">
        <f t="shared" si="21"/>
        <v>#DIV/0!</v>
      </c>
      <c r="AW22" s="124" t="e">
        <f t="shared" si="22"/>
        <v>#DIV/0!</v>
      </c>
      <c r="AX22" s="25"/>
      <c r="AY22" s="25"/>
      <c r="AZ22" s="102" t="e">
        <f>AY22*AY$29+AY$32</f>
        <v>#DIV/0!</v>
      </c>
      <c r="BA22" s="109" t="e">
        <f t="shared" si="23"/>
        <v>#DIV/0!</v>
      </c>
      <c r="BB22" s="120" t="e">
        <f t="shared" si="24"/>
        <v>#DIV/0!</v>
      </c>
    </row>
    <row r="23" spans="1:54" s="30" customFormat="1" x14ac:dyDescent="0.35">
      <c r="A23" s="11"/>
      <c r="B23" s="11"/>
      <c r="C23" s="54"/>
      <c r="D23" s="27" t="str">
        <f>Voltage!B1</f>
        <v>hp34401a</v>
      </c>
      <c r="E23" s="27"/>
      <c r="F23" s="27"/>
      <c r="G23" s="27"/>
      <c r="H23" s="27"/>
      <c r="I23" s="67"/>
      <c r="J23" s="67"/>
      <c r="K23" s="27"/>
      <c r="L23" s="67"/>
      <c r="M23" s="27"/>
      <c r="N23" s="27"/>
      <c r="O23" s="28" t="str">
        <f>'Range 0'!B1</f>
        <v>hp34401a</v>
      </c>
      <c r="P23" s="28"/>
      <c r="Q23" s="74"/>
      <c r="R23" s="74"/>
      <c r="S23" s="74"/>
      <c r="T23" s="29" t="str">
        <f>'Range 1'!B1</f>
        <v>hp34401a</v>
      </c>
      <c r="U23" s="29"/>
      <c r="V23" s="103"/>
      <c r="W23" s="103"/>
      <c r="X23" s="103"/>
      <c r="Y23" s="28" t="str">
        <f>'Range 2'!$B$1</f>
        <v>keithley485</v>
      </c>
      <c r="Z23" s="28"/>
      <c r="AA23" s="74"/>
      <c r="AB23" s="74"/>
      <c r="AC23" s="74"/>
      <c r="AD23" s="29" t="str">
        <f>'Range 3'!$B$1</f>
        <v>keithley485</v>
      </c>
      <c r="AE23" s="29"/>
      <c r="AF23" s="103"/>
      <c r="AG23" s="103"/>
      <c r="AH23" s="103"/>
      <c r="AI23" s="28" t="str">
        <f>'Range 4'!$B$1</f>
        <v>hp34401a</v>
      </c>
      <c r="AJ23" s="28"/>
      <c r="AK23" s="74"/>
      <c r="AL23" s="28"/>
      <c r="AM23" s="28"/>
      <c r="AN23" s="29" t="str">
        <f>'Range 5'!$B$1</f>
        <v>hp34401a</v>
      </c>
      <c r="AO23" s="29"/>
      <c r="AP23" s="103"/>
      <c r="AQ23" s="103"/>
      <c r="AR23" s="103"/>
      <c r="AS23" s="28" t="str">
        <f>'Range 6'!$B$1</f>
        <v>hp34401a</v>
      </c>
      <c r="AT23" s="28"/>
      <c r="AU23" s="74"/>
      <c r="AV23" s="74"/>
      <c r="AW23" s="74"/>
      <c r="AX23" s="29" t="str">
        <f>'Range 7'!$B$1</f>
        <v>hp34401a</v>
      </c>
      <c r="AY23" s="29"/>
      <c r="AZ23" s="103"/>
      <c r="BA23" s="103"/>
      <c r="BB23" s="103"/>
    </row>
    <row r="24" spans="1:54" s="30" customFormat="1" x14ac:dyDescent="0.35">
      <c r="A24" s="11"/>
      <c r="B24" s="11"/>
      <c r="C24" s="54"/>
      <c r="D24" s="27"/>
      <c r="E24" s="27"/>
      <c r="F24" s="27"/>
      <c r="G24" s="27"/>
      <c r="H24" s="27"/>
      <c r="I24" s="67"/>
      <c r="J24" s="67"/>
      <c r="K24" s="27"/>
      <c r="L24" s="67"/>
      <c r="M24" s="27"/>
      <c r="N24" s="27"/>
      <c r="O24" s="28"/>
      <c r="P24" s="28"/>
      <c r="Q24" s="74"/>
      <c r="R24" s="74"/>
      <c r="S24" s="74"/>
      <c r="T24" s="29"/>
      <c r="U24" s="29"/>
      <c r="V24" s="103"/>
      <c r="W24" s="103"/>
      <c r="X24" s="103"/>
      <c r="Y24" s="28"/>
      <c r="Z24" s="28"/>
      <c r="AA24" s="74"/>
      <c r="AB24" s="74"/>
      <c r="AC24" s="74"/>
      <c r="AD24" s="29"/>
      <c r="AE24" s="29"/>
      <c r="AF24" s="103"/>
      <c r="AG24" s="103"/>
      <c r="AH24" s="103"/>
      <c r="AI24" s="28"/>
      <c r="AJ24" s="28"/>
      <c r="AK24" s="74"/>
      <c r="AL24" s="28"/>
      <c r="AM24" s="28"/>
      <c r="AN24" s="29"/>
      <c r="AO24" s="29"/>
      <c r="AP24" s="103"/>
      <c r="AQ24" s="103"/>
      <c r="AR24" s="103"/>
      <c r="AS24" s="28"/>
      <c r="AT24" s="28"/>
      <c r="AU24" s="74"/>
      <c r="AV24" s="74"/>
      <c r="AW24" s="74"/>
      <c r="AX24" s="29"/>
      <c r="AY24" s="29"/>
      <c r="AZ24" s="103"/>
      <c r="BA24" s="103"/>
      <c r="BB24" s="103"/>
    </row>
    <row r="25" spans="1:54" s="35" customFormat="1" x14ac:dyDescent="0.35">
      <c r="A25" s="31"/>
      <c r="B25" s="31"/>
      <c r="C25" s="55"/>
      <c r="D25" s="32" t="s">
        <v>26</v>
      </c>
      <c r="E25" s="32" t="s">
        <v>35</v>
      </c>
      <c r="F25" s="68" t="s">
        <v>35</v>
      </c>
      <c r="G25" s="32" t="s">
        <v>38</v>
      </c>
      <c r="H25" s="68" t="s">
        <v>38</v>
      </c>
      <c r="I25" s="32"/>
      <c r="J25" s="32"/>
      <c r="K25" s="32" t="s">
        <v>41</v>
      </c>
      <c r="L25" s="68" t="s">
        <v>41</v>
      </c>
      <c r="M25" s="32"/>
      <c r="N25" s="32"/>
      <c r="O25" s="33" t="s">
        <v>29</v>
      </c>
      <c r="P25" s="33" t="s">
        <v>44</v>
      </c>
      <c r="Q25" s="75" t="s">
        <v>44</v>
      </c>
      <c r="R25" s="33"/>
      <c r="S25" s="75"/>
      <c r="T25" s="34" t="s">
        <v>29</v>
      </c>
      <c r="U25" s="34" t="s">
        <v>44</v>
      </c>
      <c r="V25" s="104" t="s">
        <v>44</v>
      </c>
      <c r="W25" s="34"/>
      <c r="X25" s="104"/>
      <c r="Y25" s="33" t="s">
        <v>29</v>
      </c>
      <c r="Z25" s="33" t="s">
        <v>44</v>
      </c>
      <c r="AA25" s="75" t="s">
        <v>44</v>
      </c>
      <c r="AB25" s="33"/>
      <c r="AC25" s="75"/>
      <c r="AD25" s="34" t="s">
        <v>29</v>
      </c>
      <c r="AE25" s="34" t="s">
        <v>44</v>
      </c>
      <c r="AF25" s="104" t="s">
        <v>44</v>
      </c>
      <c r="AG25" s="34"/>
      <c r="AH25" s="104"/>
      <c r="AI25" s="33" t="s">
        <v>29</v>
      </c>
      <c r="AJ25" s="33" t="s">
        <v>44</v>
      </c>
      <c r="AK25" s="75" t="s">
        <v>44</v>
      </c>
      <c r="AL25" s="33"/>
      <c r="AM25" s="33"/>
      <c r="AN25" s="34" t="s">
        <v>29</v>
      </c>
      <c r="AO25" s="34" t="s">
        <v>44</v>
      </c>
      <c r="AP25" s="104" t="s">
        <v>44</v>
      </c>
      <c r="AQ25" s="104"/>
      <c r="AR25" s="104"/>
      <c r="AS25" s="33" t="s">
        <v>29</v>
      </c>
      <c r="AT25" s="33" t="s">
        <v>44</v>
      </c>
      <c r="AU25" s="75" t="s">
        <v>44</v>
      </c>
      <c r="AV25" s="75"/>
      <c r="AW25" s="75"/>
      <c r="AX25" s="34" t="s">
        <v>29</v>
      </c>
      <c r="AY25" s="34" t="s">
        <v>44</v>
      </c>
      <c r="AZ25" s="104" t="s">
        <v>44</v>
      </c>
      <c r="BA25" s="104"/>
      <c r="BB25" s="104"/>
    </row>
    <row r="26" spans="1:54" s="30" customFormat="1" x14ac:dyDescent="0.35">
      <c r="A26" s="11"/>
      <c r="B26" s="11"/>
      <c r="C26" s="54"/>
      <c r="D26" s="27">
        <f>SLOPE($C2:$C12,D2:D12)</f>
        <v>3276.1975137004815</v>
      </c>
      <c r="E26" s="27" t="e">
        <f>SLOPE($D2:$D12,E2:E12)</f>
        <v>#DIV/0!</v>
      </c>
      <c r="F26" s="67">
        <f>Calibrate!C13</f>
        <v>0</v>
      </c>
      <c r="G26" s="27">
        <f>SLOPE($D2:$D12,G2:G12)</f>
        <v>3.0462701712312499E-4</v>
      </c>
      <c r="H26" s="67">
        <f>Calibrate!C16</f>
        <v>3.0462529999999999E-4</v>
      </c>
      <c r="I26" s="27"/>
      <c r="J26" s="27"/>
      <c r="K26" s="27">
        <f t="shared" ref="K26" si="34">SLOPE($D2:$D12,K2:K12)</f>
        <v>3.0459242737934249E-4</v>
      </c>
      <c r="L26" s="67">
        <f>Calibrate!C19</f>
        <v>3.0458960000000001E-4</v>
      </c>
      <c r="M26" s="27"/>
      <c r="N26" s="27"/>
      <c r="O26" s="28">
        <f>SLOPE($B2:$B12,O2:O12)</f>
        <v>50.002824414658676</v>
      </c>
      <c r="P26" s="28">
        <f>SLOPE(O2:O12,P2:P12)</f>
        <v>3.6446910844040109E-3</v>
      </c>
      <c r="Q26" s="74">
        <f>Calibrate!C29</f>
        <v>3.646154E-3</v>
      </c>
      <c r="R26" s="28"/>
      <c r="S26" s="74"/>
      <c r="T26" s="29">
        <f>SLOPE($B2:$B12,T2:T12)</f>
        <v>984.06114430148091</v>
      </c>
      <c r="U26" s="29">
        <f>SLOPE(T2:T12,U2:U12)</f>
        <v>1.8369846440772632E-4</v>
      </c>
      <c r="V26" s="103">
        <f>Calibrate!C30</f>
        <v>1.8380640000000001E-4</v>
      </c>
      <c r="W26" s="29"/>
      <c r="X26" s="103"/>
      <c r="Y26" s="28">
        <f>SLOPE($B2:$B12,Y2:Y12)</f>
        <v>20314.497071509144</v>
      </c>
      <c r="Z26" s="28">
        <f>SLOPE(Y2:Y12,Z2:Z12)</f>
        <v>8.8959014934287215E-6</v>
      </c>
      <c r="AA26" s="74">
        <f>Calibrate!C31</f>
        <v>8.8972830000000005E-6</v>
      </c>
      <c r="AB26" s="28"/>
      <c r="AC26" s="74"/>
      <c r="AD26" s="29">
        <f>SLOPE($B2:$B12,AD2:AD12)</f>
        <v>393092.41343231086</v>
      </c>
      <c r="AE26" s="29">
        <f>SLOPE(AD2:AD12,AE2:AE12)</f>
        <v>4.5974040556828176E-7</v>
      </c>
      <c r="AF26" s="103">
        <f>Calibrate!C32</f>
        <v>4.5985630000000001E-7</v>
      </c>
      <c r="AG26" s="29"/>
      <c r="AH26" s="103"/>
      <c r="AI26" s="28" t="e">
        <f>SLOPE($B2:$B12,AJ2:AJ12)</f>
        <v>#DIV/0!</v>
      </c>
      <c r="AJ26" s="28" t="e">
        <f>SLOPE(AI2:AI12,AJ2:AJ12)</f>
        <v>#DIV/0!</v>
      </c>
      <c r="AK26" s="74">
        <f>Calibrate!C33</f>
        <v>0</v>
      </c>
      <c r="AL26" s="28"/>
      <c r="AM26" s="28"/>
      <c r="AN26" s="29" t="e">
        <f>SLOPE($B2:$B12,AO2:AO12)</f>
        <v>#DIV/0!</v>
      </c>
      <c r="AO26" s="29" t="e">
        <v>#DIV/0!</v>
      </c>
      <c r="AP26" s="103">
        <f>Calibrate!C34</f>
        <v>0</v>
      </c>
      <c r="AQ26" s="103"/>
      <c r="AR26" s="103"/>
      <c r="AS26" s="28" t="e">
        <f>SLOPE($B2:$B12,AT2:AT12)</f>
        <v>#DIV/0!</v>
      </c>
      <c r="AT26" s="28" t="e">
        <f>SLOPE(AS2:AS12,AT2:AT12)</f>
        <v>#DIV/0!</v>
      </c>
      <c r="AU26" s="74">
        <f>Calibrate!C35</f>
        <v>0</v>
      </c>
      <c r="AV26" s="74"/>
      <c r="AW26" s="74"/>
      <c r="AX26" s="29" t="e">
        <f>SLOPE($B2:$B12,AY2:AY12)</f>
        <v>#DIV/0!</v>
      </c>
      <c r="AY26" s="29" t="e">
        <f>SLOPE(AX2:AX12,AY2:AY12)</f>
        <v>#DIV/0!</v>
      </c>
      <c r="AZ26" s="103">
        <f>Calibrate!C36</f>
        <v>0</v>
      </c>
      <c r="BA26" s="103"/>
      <c r="BB26" s="103"/>
    </row>
    <row r="27" spans="1:54" s="30" customFormat="1" x14ac:dyDescent="0.35">
      <c r="A27" s="11"/>
      <c r="B27" s="11"/>
      <c r="C27" s="54"/>
      <c r="D27" s="27"/>
      <c r="E27" s="27"/>
      <c r="F27" s="67"/>
      <c r="G27" s="27"/>
      <c r="H27" s="67"/>
      <c r="I27" s="27"/>
      <c r="J27" s="27"/>
      <c r="K27" s="27"/>
      <c r="L27" s="67"/>
      <c r="M27" s="27"/>
      <c r="N27" s="27"/>
      <c r="O27" s="28"/>
      <c r="P27" s="28"/>
      <c r="Q27" s="74"/>
      <c r="R27" s="28"/>
      <c r="S27" s="74"/>
      <c r="T27" s="29"/>
      <c r="U27" s="29"/>
      <c r="V27" s="103"/>
      <c r="W27" s="29"/>
      <c r="X27" s="103"/>
      <c r="Y27" s="28"/>
      <c r="Z27" s="28"/>
      <c r="AA27" s="74"/>
      <c r="AB27" s="28"/>
      <c r="AC27" s="74"/>
      <c r="AD27" s="29"/>
      <c r="AE27" s="29"/>
      <c r="AF27" s="103"/>
      <c r="AG27" s="29"/>
      <c r="AH27" s="103"/>
      <c r="AI27" s="28"/>
      <c r="AJ27" s="28"/>
      <c r="AK27" s="74"/>
      <c r="AL27" s="28"/>
      <c r="AM27" s="28"/>
      <c r="AN27" s="29"/>
      <c r="AO27" s="29"/>
      <c r="AP27" s="103"/>
      <c r="AQ27" s="103"/>
      <c r="AR27" s="103"/>
      <c r="AS27" s="28"/>
      <c r="AT27" s="28"/>
      <c r="AU27" s="74"/>
      <c r="AV27" s="74"/>
      <c r="AW27" s="74"/>
      <c r="AX27" s="29"/>
      <c r="AY27" s="29"/>
      <c r="AZ27" s="103"/>
      <c r="BA27" s="103"/>
      <c r="BB27" s="103"/>
    </row>
    <row r="28" spans="1:54" s="35" customFormat="1" x14ac:dyDescent="0.35">
      <c r="A28" s="31"/>
      <c r="B28" s="31"/>
      <c r="C28" s="55"/>
      <c r="D28" s="32" t="s">
        <v>25</v>
      </c>
      <c r="E28" s="32" t="s">
        <v>34</v>
      </c>
      <c r="F28" s="68" t="s">
        <v>34</v>
      </c>
      <c r="G28" s="32" t="s">
        <v>37</v>
      </c>
      <c r="H28" s="68" t="s">
        <v>37</v>
      </c>
      <c r="I28" s="32"/>
      <c r="J28" s="32"/>
      <c r="K28" s="32" t="s">
        <v>40</v>
      </c>
      <c r="L28" s="68" t="s">
        <v>40</v>
      </c>
      <c r="M28" s="32"/>
      <c r="N28" s="32"/>
      <c r="O28" s="33" t="s">
        <v>28</v>
      </c>
      <c r="P28" s="33" t="s">
        <v>43</v>
      </c>
      <c r="Q28" s="75" t="s">
        <v>43</v>
      </c>
      <c r="R28" s="33"/>
      <c r="S28" s="75"/>
      <c r="T28" s="34" t="s">
        <v>28</v>
      </c>
      <c r="U28" s="34" t="s">
        <v>43</v>
      </c>
      <c r="V28" s="104" t="s">
        <v>43</v>
      </c>
      <c r="W28" s="34"/>
      <c r="X28" s="104"/>
      <c r="Y28" s="33" t="s">
        <v>28</v>
      </c>
      <c r="Z28" s="33" t="s">
        <v>43</v>
      </c>
      <c r="AA28" s="75" t="s">
        <v>43</v>
      </c>
      <c r="AB28" s="33"/>
      <c r="AC28" s="75"/>
      <c r="AD28" s="34" t="s">
        <v>28</v>
      </c>
      <c r="AE28" s="34" t="s">
        <v>43</v>
      </c>
      <c r="AF28" s="104" t="s">
        <v>43</v>
      </c>
      <c r="AG28" s="34"/>
      <c r="AH28" s="104"/>
      <c r="AI28" s="33" t="s">
        <v>28</v>
      </c>
      <c r="AJ28" s="33" t="s">
        <v>43</v>
      </c>
      <c r="AK28" s="75" t="s">
        <v>43</v>
      </c>
      <c r="AL28" s="33"/>
      <c r="AM28" s="33"/>
      <c r="AN28" s="34" t="s">
        <v>28</v>
      </c>
      <c r="AO28" s="34" t="s">
        <v>43</v>
      </c>
      <c r="AP28" s="104" t="s">
        <v>43</v>
      </c>
      <c r="AQ28" s="104"/>
      <c r="AR28" s="104"/>
      <c r="AS28" s="33" t="s">
        <v>28</v>
      </c>
      <c r="AT28" s="33" t="s">
        <v>43</v>
      </c>
      <c r="AU28" s="75" t="s">
        <v>43</v>
      </c>
      <c r="AV28" s="75"/>
      <c r="AW28" s="75"/>
      <c r="AX28" s="34" t="s">
        <v>28</v>
      </c>
      <c r="AY28" s="34" t="s">
        <v>43</v>
      </c>
      <c r="AZ28" s="104" t="s">
        <v>43</v>
      </c>
      <c r="BA28" s="104"/>
      <c r="BB28" s="104"/>
    </row>
    <row r="29" spans="1:54" s="30" customFormat="1" x14ac:dyDescent="0.35">
      <c r="A29" s="11"/>
      <c r="B29" s="11"/>
      <c r="C29" s="54"/>
      <c r="D29" s="27">
        <f>SLOPE($C12:$C22,D12:D22)</f>
        <v>3276.6753648899098</v>
      </c>
      <c r="E29" s="27" t="e">
        <f>SLOPE($D12:$D22,E12:E22)</f>
        <v>#DIV/0!</v>
      </c>
      <c r="F29" s="67">
        <f>Calibrate!C12</f>
        <v>0</v>
      </c>
      <c r="G29" s="27">
        <f>SLOPE($D12:$D22,G12:G22)</f>
        <v>3.0462761628662326E-4</v>
      </c>
      <c r="H29" s="67">
        <f>Calibrate!C15</f>
        <v>3.0462529999999999E-4</v>
      </c>
      <c r="I29" s="27"/>
      <c r="J29" s="27"/>
      <c r="K29" s="27">
        <f t="shared" ref="K29" si="35">SLOPE($D12:$D22,K12:K22)</f>
        <v>3.0458768164851535E-4</v>
      </c>
      <c r="L29" s="67">
        <f>Calibrate!C18</f>
        <v>3.0458960000000001E-4</v>
      </c>
      <c r="M29" s="27"/>
      <c r="N29" s="27"/>
      <c r="O29" s="28">
        <f>SLOPE($B12:$B22,O12:O22)</f>
        <v>50.004703717265343</v>
      </c>
      <c r="P29" s="28">
        <f>SLOPE(O12:O22,P12:P22)</f>
        <v>3.6471636091682099E-3</v>
      </c>
      <c r="Q29" s="74">
        <f>Calibrate!C21</f>
        <v>3.646154E-3</v>
      </c>
      <c r="R29" s="28"/>
      <c r="S29" s="74"/>
      <c r="T29" s="29">
        <f>SLOPE($B12:$B22,T12:T22)</f>
        <v>983.97563397179385</v>
      </c>
      <c r="U29" s="29">
        <f>SLOPE(T12:T22,U12:U22)</f>
        <v>1.8386235940101236E-4</v>
      </c>
      <c r="V29" s="103">
        <f>Calibrate!C22</f>
        <v>1.8380640000000001E-4</v>
      </c>
      <c r="W29" s="29"/>
      <c r="X29" s="103"/>
      <c r="Y29" s="28">
        <f>SLOPE($B12:$B22,Y12:Y22)</f>
        <v>20322.160223531839</v>
      </c>
      <c r="Z29" s="28">
        <f>SLOPE(Y12:Y22,Z12:Z22)</f>
        <v>8.8997960463609539E-6</v>
      </c>
      <c r="AA29" s="74">
        <f>Calibrate!C23</f>
        <v>8.8972830000000005E-6</v>
      </c>
      <c r="AB29" s="28"/>
      <c r="AC29" s="74"/>
      <c r="AD29" s="29">
        <f>SLOPE($B12:$B22,AD12:AD22)</f>
        <v>393098.0072366661</v>
      </c>
      <c r="AE29" s="29">
        <f>SLOPE(AD12:AD22,AE12:AE22)</f>
        <v>4.6010393013128033E-7</v>
      </c>
      <c r="AF29" s="103">
        <f>Calibrate!C24</f>
        <v>4.5985630000000001E-7</v>
      </c>
      <c r="AG29" s="29"/>
      <c r="AH29" s="103"/>
      <c r="AI29" s="28" t="e">
        <f>SLOPE($B12:$B22,AJ12:AJ22)</f>
        <v>#DIV/0!</v>
      </c>
      <c r="AJ29" s="28" t="e">
        <f>SLOPE(AI12:AI22,AJ12:AJ22)</f>
        <v>#DIV/0!</v>
      </c>
      <c r="AK29" s="74">
        <f>Calibrate!C25</f>
        <v>0</v>
      </c>
      <c r="AL29" s="28"/>
      <c r="AM29" s="28"/>
      <c r="AN29" s="29" t="e">
        <f>SLOPE($B12:$B22,AO12:AO22)</f>
        <v>#DIV/0!</v>
      </c>
      <c r="AO29" s="29" t="e">
        <v>#DIV/0!</v>
      </c>
      <c r="AP29" s="103">
        <f>Calibrate!C26</f>
        <v>0</v>
      </c>
      <c r="AQ29" s="103"/>
      <c r="AR29" s="103"/>
      <c r="AS29" s="28" t="e">
        <f>SLOPE($B12:$B22,AT12:AT22)</f>
        <v>#DIV/0!</v>
      </c>
      <c r="AT29" s="28" t="e">
        <f>SLOPE(AS12:AS22,AT12:AT22)</f>
        <v>#DIV/0!</v>
      </c>
      <c r="AU29" s="74">
        <f>Calibrate!C27</f>
        <v>0</v>
      </c>
      <c r="AV29" s="74"/>
      <c r="AW29" s="74"/>
      <c r="AX29" s="29" t="e">
        <f>SLOPE($B12:$B22,AY12:AY22)</f>
        <v>#DIV/0!</v>
      </c>
      <c r="AY29" s="29" t="e">
        <f>SLOPE(AX12:AX22,AY12:AY22)</f>
        <v>#DIV/0!</v>
      </c>
      <c r="AZ29" s="103">
        <f>Calibrate!C28</f>
        <v>0</v>
      </c>
      <c r="BA29" s="103"/>
      <c r="BB29" s="103"/>
    </row>
    <row r="30" spans="1:54" s="30" customFormat="1" x14ac:dyDescent="0.35">
      <c r="A30" s="11"/>
      <c r="B30" s="11"/>
      <c r="C30" s="54"/>
      <c r="D30" s="27"/>
      <c r="E30" s="27"/>
      <c r="F30" s="67"/>
      <c r="G30" s="27"/>
      <c r="H30" s="67"/>
      <c r="I30" s="27"/>
      <c r="J30" s="27"/>
      <c r="K30" s="27"/>
      <c r="L30" s="67"/>
      <c r="M30" s="27"/>
      <c r="N30" s="27"/>
      <c r="O30" s="28"/>
      <c r="P30" s="28"/>
      <c r="Q30" s="74"/>
      <c r="R30" s="28"/>
      <c r="S30" s="74"/>
      <c r="T30" s="29"/>
      <c r="U30" s="29"/>
      <c r="V30" s="103"/>
      <c r="W30" s="29"/>
      <c r="X30" s="103"/>
      <c r="Y30" s="28"/>
      <c r="Z30" s="28"/>
      <c r="AA30" s="74"/>
      <c r="AB30" s="28"/>
      <c r="AC30" s="74"/>
      <c r="AD30" s="29"/>
      <c r="AE30" s="29"/>
      <c r="AF30" s="103"/>
      <c r="AG30" s="29"/>
      <c r="AH30" s="103"/>
      <c r="AI30" s="28"/>
      <c r="AJ30" s="28"/>
      <c r="AK30" s="74"/>
      <c r="AL30" s="28"/>
      <c r="AM30" s="28"/>
      <c r="AN30" s="29"/>
      <c r="AO30" s="29"/>
      <c r="AP30" s="103"/>
      <c r="AQ30" s="103"/>
      <c r="AR30" s="103"/>
      <c r="AS30" s="28"/>
      <c r="AT30" s="28"/>
      <c r="AU30" s="74"/>
      <c r="AV30" s="74"/>
      <c r="AW30" s="74"/>
      <c r="AX30" s="29"/>
      <c r="AY30" s="29"/>
      <c r="AZ30" s="103"/>
      <c r="BA30" s="103"/>
      <c r="BB30" s="103"/>
    </row>
    <row r="31" spans="1:54" s="35" customFormat="1" x14ac:dyDescent="0.35">
      <c r="A31" s="31"/>
      <c r="B31" s="31"/>
      <c r="C31" s="55"/>
      <c r="D31" s="32" t="s">
        <v>27</v>
      </c>
      <c r="E31" s="32" t="s">
        <v>36</v>
      </c>
      <c r="F31" s="68" t="s">
        <v>36</v>
      </c>
      <c r="G31" s="32" t="s">
        <v>39</v>
      </c>
      <c r="H31" s="68" t="s">
        <v>39</v>
      </c>
      <c r="I31" s="32"/>
      <c r="J31" s="32"/>
      <c r="K31" s="32" t="s">
        <v>42</v>
      </c>
      <c r="L31" s="68" t="s">
        <v>42</v>
      </c>
      <c r="M31" s="32"/>
      <c r="N31" s="32"/>
      <c r="O31" s="33" t="s">
        <v>30</v>
      </c>
      <c r="P31" s="33" t="s">
        <v>45</v>
      </c>
      <c r="Q31" s="75" t="s">
        <v>45</v>
      </c>
      <c r="R31" s="33"/>
      <c r="S31" s="75"/>
      <c r="T31" s="34" t="s">
        <v>30</v>
      </c>
      <c r="U31" s="34" t="s">
        <v>45</v>
      </c>
      <c r="V31" s="104" t="s">
        <v>45</v>
      </c>
      <c r="W31" s="34"/>
      <c r="X31" s="104"/>
      <c r="Y31" s="33" t="s">
        <v>30</v>
      </c>
      <c r="Z31" s="33" t="s">
        <v>45</v>
      </c>
      <c r="AA31" s="75" t="s">
        <v>45</v>
      </c>
      <c r="AB31" s="33"/>
      <c r="AC31" s="75"/>
      <c r="AD31" s="34" t="s">
        <v>30</v>
      </c>
      <c r="AE31" s="34" t="s">
        <v>45</v>
      </c>
      <c r="AF31" s="104" t="s">
        <v>45</v>
      </c>
      <c r="AG31" s="34"/>
      <c r="AH31" s="104"/>
      <c r="AI31" s="33" t="s">
        <v>30</v>
      </c>
      <c r="AJ31" s="33" t="s">
        <v>45</v>
      </c>
      <c r="AK31" s="75" t="s">
        <v>45</v>
      </c>
      <c r="AL31" s="33"/>
      <c r="AM31" s="33"/>
      <c r="AN31" s="34" t="s">
        <v>30</v>
      </c>
      <c r="AO31" s="34" t="s">
        <v>45</v>
      </c>
      <c r="AP31" s="104" t="s">
        <v>45</v>
      </c>
      <c r="AQ31" s="104"/>
      <c r="AR31" s="104"/>
      <c r="AS31" s="33" t="s">
        <v>30</v>
      </c>
      <c r="AT31" s="33" t="s">
        <v>45</v>
      </c>
      <c r="AU31" s="75" t="s">
        <v>45</v>
      </c>
      <c r="AV31" s="75"/>
      <c r="AW31" s="75"/>
      <c r="AX31" s="34" t="s">
        <v>30</v>
      </c>
      <c r="AY31" s="34" t="s">
        <v>45</v>
      </c>
      <c r="AZ31" s="104" t="s">
        <v>45</v>
      </c>
      <c r="BA31" s="104"/>
      <c r="BB31" s="104"/>
    </row>
    <row r="32" spans="1:54" s="30" customFormat="1" x14ac:dyDescent="0.35">
      <c r="A32" s="11"/>
      <c r="B32" s="11"/>
      <c r="C32" s="54"/>
      <c r="D32" s="27">
        <f>INTERCEPT($C2:$C22,D2:D22)</f>
        <v>-22.666491679097124</v>
      </c>
      <c r="E32" s="27" t="e">
        <f>INTERCEPT($D2:$D22,E2:E22)</f>
        <v>#DIV/0!</v>
      </c>
      <c r="F32" s="67">
        <f>Calibrate!C14</f>
        <v>0</v>
      </c>
      <c r="G32" s="27">
        <f t="shared" ref="G32:K32" si="36">INTERCEPT($D2:$D22,G2:G22)</f>
        <v>2.1746399821255214E-3</v>
      </c>
      <c r="H32" s="67">
        <f>Calibrate!C17</f>
        <v>2.1650509999999999E-3</v>
      </c>
      <c r="I32" s="27"/>
      <c r="J32" s="27"/>
      <c r="K32" s="27">
        <f t="shared" si="36"/>
        <v>7.6806189551789032E-4</v>
      </c>
      <c r="L32" s="67">
        <f>Calibrate!C20</f>
        <v>7.7309169999999997E-4</v>
      </c>
      <c r="M32" s="27"/>
      <c r="N32" s="27"/>
      <c r="O32" s="28">
        <f>INTERCEPT($B2:$B22,O2:O22)</f>
        <v>-13.589516739546035</v>
      </c>
      <c r="P32" s="28">
        <f>INTERCEPT(O2:O22,P2:P22)</f>
        <v>3.0880641246771867E-2</v>
      </c>
      <c r="Q32" s="74">
        <f>Calibrate!C37</f>
        <v>3.1060649999999999E-2</v>
      </c>
      <c r="R32" s="28"/>
      <c r="S32" s="74"/>
      <c r="T32" s="29">
        <f>INTERCEPT($B2:$B22,T2:T22)</f>
        <v>-10.646391178523222</v>
      </c>
      <c r="U32" s="29">
        <f>INTERCEPT(T2:T22,U2:U22)</f>
        <v>1.5465975161111662E-3</v>
      </c>
      <c r="V32" s="103">
        <f>Calibrate!C38</f>
        <v>1.6354919999999999E-3</v>
      </c>
      <c r="W32" s="29"/>
      <c r="X32" s="103"/>
      <c r="Y32" s="28">
        <f>INTERCEPT($B2:$B22,Y2:Y22)</f>
        <v>-10.44441124206246</v>
      </c>
      <c r="Z32" s="28">
        <f>INTERCEPT(Y2:Y22,Z2:Z22)</f>
        <v>6.3024703530467402E-5</v>
      </c>
      <c r="AA32" s="74">
        <f>Calibrate!C39</f>
        <v>6.2570409999999994E-5</v>
      </c>
      <c r="AB32" s="28"/>
      <c r="AC32" s="74"/>
      <c r="AD32" s="29">
        <f>INTERCEPT($B2:$B22,AD2:AD22)</f>
        <v>-7.836256071932425</v>
      </c>
      <c r="AE32" s="29">
        <f>INTERCEPT(AD2:AD22,AE2:AE22)</f>
        <v>3.8455993861421374E-6</v>
      </c>
      <c r="AF32" s="103">
        <f>Calibrate!C40</f>
        <v>3.9453780000000002E-6</v>
      </c>
      <c r="AG32" s="29"/>
      <c r="AH32" s="103"/>
      <c r="AI32" s="28" t="e">
        <f>INTERCEPT($B2:$B22,AJ2:AJ22)</f>
        <v>#DIV/0!</v>
      </c>
      <c r="AJ32" s="28" t="e">
        <f>INTERCEPT(AI2:AI22,AJ2:AJ22)</f>
        <v>#DIV/0!</v>
      </c>
      <c r="AK32" s="74">
        <f>Calibrate!C41</f>
        <v>0</v>
      </c>
      <c r="AL32" s="28"/>
      <c r="AM32" s="28"/>
      <c r="AN32" s="29" t="e">
        <f>INTERCEPT($B2:$B22,AO2:AO22)</f>
        <v>#DIV/0!</v>
      </c>
      <c r="AO32" s="29" t="e">
        <v>#DIV/0!</v>
      </c>
      <c r="AP32" s="103">
        <f>Calibrate!C42</f>
        <v>0</v>
      </c>
      <c r="AQ32" s="103"/>
      <c r="AR32" s="103"/>
      <c r="AS32" s="28" t="e">
        <f>INTERCEPT($B2:$B22,AT2:AT22)</f>
        <v>#DIV/0!</v>
      </c>
      <c r="AT32" s="28" t="e">
        <f>INTERCEPT(AS2:AS22,AT2:AT22)</f>
        <v>#DIV/0!</v>
      </c>
      <c r="AU32" s="74">
        <f>Calibrate!C43</f>
        <v>0</v>
      </c>
      <c r="AV32" s="74"/>
      <c r="AW32" s="74"/>
      <c r="AX32" s="29" t="e">
        <f>INTERCEPT($B2:$B22,AY2:AY22)</f>
        <v>#DIV/0!</v>
      </c>
      <c r="AY32" s="29" t="e">
        <f>INTERCEPT(AX2:AX22,AY2:AY22)</f>
        <v>#DIV/0!</v>
      </c>
      <c r="AZ32" s="103">
        <f>Calibrate!C44</f>
        <v>0</v>
      </c>
      <c r="BA32" s="103"/>
      <c r="BB32" s="103"/>
    </row>
    <row r="33" spans="1:54" s="30" customFormat="1" x14ac:dyDescent="0.35">
      <c r="A33" s="11"/>
      <c r="B33" s="11"/>
      <c r="C33" s="54"/>
      <c r="D33" s="27"/>
      <c r="E33" s="27"/>
      <c r="F33" s="27"/>
      <c r="G33" s="27"/>
      <c r="H33" s="27"/>
      <c r="I33" s="67"/>
      <c r="J33" s="67"/>
      <c r="K33" s="27"/>
      <c r="L33" s="67"/>
      <c r="M33" s="27"/>
      <c r="N33" s="27"/>
      <c r="O33" s="28"/>
      <c r="P33" s="28"/>
      <c r="Q33" s="74"/>
      <c r="R33" s="74"/>
      <c r="S33" s="74"/>
      <c r="T33" s="29"/>
      <c r="U33" s="29"/>
      <c r="V33" s="103"/>
      <c r="W33" s="103"/>
      <c r="X33" s="103"/>
      <c r="Y33" s="28"/>
      <c r="Z33" s="28"/>
      <c r="AA33" s="74"/>
      <c r="AB33" s="74"/>
      <c r="AC33" s="74"/>
      <c r="AD33" s="29"/>
      <c r="AE33" s="29"/>
      <c r="AF33" s="103"/>
      <c r="AG33" s="103"/>
      <c r="AH33" s="103"/>
      <c r="AI33" s="28"/>
      <c r="AJ33" s="28"/>
      <c r="AK33" s="74"/>
      <c r="AL33" s="28"/>
      <c r="AM33" s="28"/>
      <c r="AN33" s="29"/>
      <c r="AO33" s="29"/>
      <c r="AP33" s="103"/>
      <c r="AQ33" s="103"/>
      <c r="AR33" s="103"/>
      <c r="AS33" s="28"/>
      <c r="AT33" s="28"/>
      <c r="AU33" s="74"/>
      <c r="AV33" s="74"/>
      <c r="AW33" s="74"/>
      <c r="AX33" s="29"/>
      <c r="AY33" s="29"/>
      <c r="AZ33" s="103"/>
      <c r="BA33" s="103"/>
      <c r="BB33" s="103"/>
    </row>
    <row r="34" spans="1:54" s="42" customFormat="1" x14ac:dyDescent="0.35">
      <c r="A34" s="36"/>
      <c r="B34" s="36"/>
      <c r="C34" s="56"/>
      <c r="D34" s="111" t="s">
        <v>24</v>
      </c>
      <c r="E34" s="37"/>
      <c r="F34" s="37"/>
      <c r="G34" s="37"/>
      <c r="H34" s="94"/>
      <c r="I34" s="69"/>
      <c r="J34" s="69"/>
      <c r="K34" s="37"/>
      <c r="L34" s="69"/>
      <c r="M34" s="37"/>
      <c r="N34" s="37"/>
      <c r="O34" s="38"/>
      <c r="P34" s="38"/>
      <c r="Q34" s="76"/>
      <c r="R34" s="76"/>
      <c r="S34" s="76"/>
      <c r="T34" s="39"/>
      <c r="U34" s="39"/>
      <c r="V34" s="105"/>
      <c r="W34" s="105"/>
      <c r="X34" s="105"/>
      <c r="Y34" s="38"/>
      <c r="Z34" s="38"/>
      <c r="AA34" s="76"/>
      <c r="AB34" s="76"/>
      <c r="AC34" s="76"/>
      <c r="AD34" s="39"/>
      <c r="AE34" s="39"/>
      <c r="AF34" s="105"/>
      <c r="AG34" s="105"/>
      <c r="AH34" s="105"/>
      <c r="AI34" s="38"/>
      <c r="AJ34" s="40"/>
      <c r="AK34" s="126"/>
      <c r="AL34" s="40"/>
      <c r="AM34" s="40"/>
      <c r="AN34" s="41"/>
      <c r="AO34" s="41"/>
      <c r="AP34" s="125"/>
      <c r="AQ34" s="125"/>
      <c r="AR34" s="125"/>
      <c r="AS34" s="40"/>
      <c r="AT34" s="40"/>
      <c r="AU34" s="126"/>
      <c r="AV34" s="126"/>
      <c r="AW34" s="126"/>
      <c r="AX34" s="41"/>
      <c r="AY34" s="41"/>
      <c r="AZ34" s="125"/>
      <c r="BA34" s="125"/>
      <c r="BB34" s="125"/>
    </row>
    <row r="35" spans="1:54" s="30" customFormat="1" x14ac:dyDescent="0.35">
      <c r="A35" s="11"/>
      <c r="B35" s="11"/>
      <c r="C35" s="54"/>
      <c r="D35" s="27">
        <v>3482.6170000000002</v>
      </c>
      <c r="E35" s="27"/>
      <c r="F35" s="27"/>
      <c r="G35" s="27"/>
      <c r="H35" s="27"/>
      <c r="I35" s="67"/>
      <c r="J35" s="67"/>
      <c r="K35" s="27"/>
      <c r="L35" s="67"/>
      <c r="M35" s="27"/>
      <c r="N35" s="27"/>
      <c r="O35" s="28"/>
      <c r="P35" s="28"/>
      <c r="Q35" s="74"/>
      <c r="R35" s="74"/>
      <c r="S35" s="74"/>
      <c r="T35" s="29"/>
      <c r="U35" s="29"/>
      <c r="V35" s="103"/>
      <c r="W35" s="103"/>
      <c r="X35" s="103"/>
      <c r="Y35" s="28"/>
      <c r="Z35" s="28"/>
      <c r="AA35" s="74"/>
      <c r="AB35" s="74"/>
      <c r="AC35" s="74"/>
      <c r="AD35" s="29"/>
      <c r="AE35" s="29"/>
      <c r="AF35" s="103"/>
      <c r="AG35" s="103"/>
      <c r="AH35" s="103"/>
      <c r="AI35" s="28"/>
      <c r="AJ35" s="28"/>
      <c r="AK35" s="74"/>
      <c r="AL35" s="28"/>
      <c r="AM35" s="28"/>
      <c r="AN35" s="29"/>
      <c r="AO35" s="29"/>
      <c r="AP35" s="103"/>
      <c r="AQ35" s="103"/>
      <c r="AR35" s="103"/>
      <c r="AS35" s="28"/>
      <c r="AT35" s="28"/>
      <c r="AU35" s="74"/>
      <c r="AV35" s="74"/>
      <c r="AW35" s="74"/>
      <c r="AX35" s="29"/>
      <c r="AY35" s="29"/>
      <c r="AZ35" s="103"/>
      <c r="BA35" s="103"/>
      <c r="BB35" s="103"/>
    </row>
    <row r="36" spans="1:54" x14ac:dyDescent="0.35">
      <c r="G36" s="12">
        <f>SLOPE($D2:$D22,G2:G22)</f>
        <v>3.0462541705002401E-4</v>
      </c>
    </row>
    <row r="37" spans="1:54" x14ac:dyDescent="0.35">
      <c r="P37" s="43"/>
      <c r="Q37" s="78"/>
      <c r="R37" s="78"/>
      <c r="S37" s="78"/>
      <c r="T37" s="44"/>
      <c r="U37" s="44"/>
      <c r="V37" s="106"/>
      <c r="W37" s="106"/>
      <c r="X37" s="106"/>
      <c r="Y37" s="43"/>
      <c r="Z37" s="43"/>
      <c r="AA37" s="78"/>
      <c r="AB37" s="78"/>
      <c r="AC37" s="78"/>
      <c r="AD37" s="44"/>
      <c r="AE37" s="44"/>
      <c r="AF37" s="106"/>
      <c r="AG37" s="106"/>
      <c r="AH37" s="106"/>
      <c r="AI37" s="43"/>
    </row>
    <row r="38" spans="1:54" x14ac:dyDescent="0.35">
      <c r="D38" s="12">
        <f>AVERAGE(D26,D29)</f>
        <v>3276.4364392951957</v>
      </c>
    </row>
    <row r="40" spans="1:54" x14ac:dyDescent="0.35">
      <c r="P40" s="43"/>
      <c r="Q40" s="78"/>
      <c r="R40" s="78"/>
      <c r="S40" s="78"/>
      <c r="T40" s="44"/>
      <c r="U40" s="44"/>
      <c r="V40" s="106"/>
      <c r="W40" s="106"/>
      <c r="X40" s="106"/>
      <c r="Y40" s="43"/>
      <c r="Z40" s="43"/>
      <c r="AA40" s="78"/>
      <c r="AB40" s="78"/>
      <c r="AC40" s="78"/>
      <c r="AD40" s="44"/>
      <c r="AE40" s="44"/>
      <c r="AF40" s="106"/>
      <c r="AG40" s="106"/>
      <c r="AH40" s="106"/>
      <c r="AI40" s="43"/>
    </row>
  </sheetData>
  <conditionalFormatting sqref="X2:X22">
    <cfRule type="cellIs" dxfId="25" priority="28" operator="greaterThan">
      <formula>0.001</formula>
    </cfRule>
    <cfRule type="cellIs" dxfId="24" priority="30" operator="greaterThan">
      <formula>0.001</formula>
    </cfRule>
    <cfRule type="cellIs" dxfId="23" priority="31" operator="greaterThan">
      <formula>0.0002</formula>
    </cfRule>
  </conditionalFormatting>
  <conditionalFormatting sqref="AC2:AC22">
    <cfRule type="cellIs" dxfId="22" priority="24" operator="greaterThan">
      <formula>0.001</formula>
    </cfRule>
    <cfRule type="cellIs" dxfId="21" priority="25" operator="greaterThan">
      <formula>0.001</formula>
    </cfRule>
    <cfRule type="cellIs" dxfId="20" priority="26" operator="greaterThan">
      <formula>0.0002</formula>
    </cfRule>
  </conditionalFormatting>
  <conditionalFormatting sqref="AH2:AH22">
    <cfRule type="cellIs" dxfId="19" priority="20" operator="greaterThan">
      <formula>0.001</formula>
    </cfRule>
    <cfRule type="cellIs" dxfId="18" priority="21" operator="greaterThan">
      <formula>0.001</formula>
    </cfRule>
    <cfRule type="cellIs" dxfId="17" priority="22" operator="greaterThan">
      <formula>0.0002</formula>
    </cfRule>
  </conditionalFormatting>
  <conditionalFormatting sqref="S2:S22">
    <cfRule type="cellIs" dxfId="16" priority="19" operator="greaterThan">
      <formula>0.001</formula>
    </cfRule>
  </conditionalFormatting>
  <conditionalFormatting sqref="N2:N22">
    <cfRule type="cellIs" dxfId="15" priority="17" operator="greaterThan">
      <formula>0.001</formula>
    </cfRule>
  </conditionalFormatting>
  <conditionalFormatting sqref="I2:I22">
    <cfRule type="cellIs" dxfId="14" priority="15" operator="greaterThan">
      <formula>1</formula>
    </cfRule>
  </conditionalFormatting>
  <conditionalFormatting sqref="J2:J22">
    <cfRule type="cellIs" dxfId="13" priority="14" operator="greaterThan">
      <formula>0.001</formula>
    </cfRule>
  </conditionalFormatting>
  <conditionalFormatting sqref="M2:M22">
    <cfRule type="cellIs" dxfId="12" priority="13" operator="greaterThan">
      <formula>0.001</formula>
    </cfRule>
  </conditionalFormatting>
  <conditionalFormatting sqref="AM2:AM22">
    <cfRule type="cellIs" dxfId="11" priority="10" operator="greaterThan">
      <formula>0.001</formula>
    </cfRule>
    <cfRule type="cellIs" dxfId="10" priority="11" operator="greaterThan">
      <formula>0.001</formula>
    </cfRule>
    <cfRule type="cellIs" dxfId="9" priority="12" operator="greaterThan">
      <formula>0.0002</formula>
    </cfRule>
  </conditionalFormatting>
  <conditionalFormatting sqref="AR2:AR22">
    <cfRule type="cellIs" dxfId="8" priority="7" operator="greaterThan">
      <formula>0.001</formula>
    </cfRule>
    <cfRule type="cellIs" dxfId="7" priority="8" operator="greaterThan">
      <formula>0.001</formula>
    </cfRule>
    <cfRule type="cellIs" dxfId="6" priority="9" operator="greaterThan">
      <formula>0.0002</formula>
    </cfRule>
  </conditionalFormatting>
  <conditionalFormatting sqref="AW2:AW22">
    <cfRule type="cellIs" dxfId="5" priority="4" operator="greaterThan">
      <formula>0.001</formula>
    </cfRule>
    <cfRule type="cellIs" dxfId="4" priority="5" operator="greaterThan">
      <formula>0.001</formula>
    </cfRule>
    <cfRule type="cellIs" dxfId="3" priority="6" operator="greaterThan">
      <formula>0.0002</formula>
    </cfRule>
  </conditionalFormatting>
  <conditionalFormatting sqref="BB2:BB22">
    <cfRule type="cellIs" dxfId="2" priority="1" operator="greaterThan">
      <formula>0.001</formula>
    </cfRule>
    <cfRule type="cellIs" dxfId="1" priority="2" operator="greaterThan">
      <formula>0.001</formula>
    </cfRule>
    <cfRule type="cellIs" dxfId="0" priority="3" operator="greaterThan">
      <formula>0.0002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F0009-8DD6-4C92-8ADC-5DCE21A9FC73}">
  <sheetPr codeName="Sheet3"/>
  <dimension ref="A1:U115"/>
  <sheetViews>
    <sheetView workbookViewId="0"/>
  </sheetViews>
  <sheetFormatPr defaultColWidth="8.81640625" defaultRowHeight="14.5" x14ac:dyDescent="0.35"/>
  <cols>
    <col min="1" max="4" width="8.81640625" style="2" customWidth="1"/>
    <col min="5" max="11" width="8.81640625" style="2"/>
    <col min="12" max="12" width="16.1796875" style="2" bestFit="1" customWidth="1"/>
    <col min="13" max="13" width="3.1796875" style="2" bestFit="1" customWidth="1"/>
    <col min="14" max="15" width="6.453125" style="2" bestFit="1" customWidth="1"/>
    <col min="16" max="18" width="8.81640625" style="2"/>
    <col min="19" max="20" width="12" style="2" bestFit="1" customWidth="1"/>
    <col min="21" max="16384" width="8.81640625" style="2"/>
  </cols>
  <sheetData>
    <row r="1" spans="1:21" x14ac:dyDescent="0.35">
      <c r="A1" s="3" t="s">
        <v>47</v>
      </c>
      <c r="B1" s="2" t="s">
        <v>3</v>
      </c>
      <c r="C1" s="2" t="str">
        <f>VLOOKUP(B1,Connect!A2:D3, 4)</f>
        <v>COM4</v>
      </c>
      <c r="D1" s="3" t="s">
        <v>66</v>
      </c>
      <c r="E1" s="2" t="s">
        <v>8</v>
      </c>
      <c r="F1" s="4"/>
      <c r="G1" s="4"/>
      <c r="H1" s="4"/>
      <c r="I1" s="4"/>
      <c r="L1" s="3" t="s">
        <v>62</v>
      </c>
      <c r="M1" s="3" t="s">
        <v>48</v>
      </c>
      <c r="N1" s="3" t="s">
        <v>49</v>
      </c>
      <c r="O1" s="3" t="s">
        <v>50</v>
      </c>
      <c r="P1" s="2" t="s">
        <v>152</v>
      </c>
      <c r="Q1" s="2" t="s">
        <v>153</v>
      </c>
      <c r="S1" s="2" t="s">
        <v>37</v>
      </c>
      <c r="T1" s="2" t="s">
        <v>38</v>
      </c>
      <c r="U1" s="2" t="s">
        <v>39</v>
      </c>
    </row>
    <row r="2" spans="1:21" x14ac:dyDescent="0.35">
      <c r="A2" s="3" t="s">
        <v>139</v>
      </c>
      <c r="B2" t="str">
        <f>_xlfn.CONCAT(Connect!G1, " ", Connect!J1, " ", Connect!D1, " ", B1, " ", C1, " ", E1)</f>
        <v>v1 2 COM9 hp34401a COM4 voltage</v>
      </c>
      <c r="F2" s="4"/>
      <c r="G2" s="4"/>
      <c r="H2" s="4"/>
      <c r="I2" s="4"/>
      <c r="L2" s="45">
        <v>-8.9890843</v>
      </c>
      <c r="M2" s="2">
        <v>0</v>
      </c>
      <c r="N2" s="2">
        <v>-29516</v>
      </c>
      <c r="O2" s="2">
        <v>-29514</v>
      </c>
      <c r="P2" s="2">
        <f>(AVERAGE($S$2,$T$2)*N2+INTERCEPT($L$2:$L$22,$N$2:$N$22)-L2)*1000</f>
        <v>-0.12093987893990743</v>
      </c>
      <c r="S2" s="2">
        <f>SLOPE(L2:L12,N2:N12)</f>
        <v>3.0462701712312499E-4</v>
      </c>
      <c r="T2" s="2">
        <f>SLOPE(L12:L22,N12:N22)</f>
        <v>3.0462761628662326E-4</v>
      </c>
      <c r="U2" s="2">
        <f>INTERCEPT(L2:L22,N2:N22)</f>
        <v>2.1746399821255214E-3</v>
      </c>
    </row>
    <row r="3" spans="1:21" x14ac:dyDescent="0.35">
      <c r="F3" s="4"/>
      <c r="G3" s="4"/>
      <c r="H3" s="4"/>
      <c r="I3" s="4"/>
      <c r="L3" s="45">
        <v>-7.9895936000000001</v>
      </c>
      <c r="M3" s="2">
        <v>0</v>
      </c>
      <c r="N3" s="2">
        <v>-26235</v>
      </c>
      <c r="O3" s="2">
        <v>-26232</v>
      </c>
      <c r="P3" s="2">
        <f t="shared" ref="P3:P22" si="0">(AVERAGE($S$2,$T$2)*N3+INTERCEPT($L$2:$L$22,$N$2:$N$22)-L3)*1000</f>
        <v>-0.12941377024855427</v>
      </c>
    </row>
    <row r="4" spans="1:21" x14ac:dyDescent="0.35">
      <c r="L4" s="45">
        <v>-6.9902639999999998</v>
      </c>
      <c r="M4" s="2">
        <v>0</v>
      </c>
      <c r="N4" s="2">
        <v>-22954</v>
      </c>
      <c r="O4" s="2">
        <v>-22952</v>
      </c>
      <c r="P4" s="2">
        <f t="shared" si="0"/>
        <v>2.321233844337911E-2</v>
      </c>
    </row>
    <row r="5" spans="1:21" x14ac:dyDescent="0.35">
      <c r="L5" s="45">
        <v>-5.9910588999999996</v>
      </c>
      <c r="M5" s="2">
        <v>0</v>
      </c>
      <c r="N5" s="2">
        <v>-19674</v>
      </c>
      <c r="O5" s="2">
        <v>-19671</v>
      </c>
      <c r="P5" s="2">
        <f t="shared" si="0"/>
        <v>-4.288869569712972E-3</v>
      </c>
    </row>
    <row r="6" spans="1:21" x14ac:dyDescent="0.35">
      <c r="L6" s="45">
        <v>-4.9918193000000004</v>
      </c>
      <c r="M6" s="2">
        <v>0</v>
      </c>
      <c r="N6" s="2">
        <v>-16394</v>
      </c>
      <c r="O6" s="2">
        <v>-16391</v>
      </c>
      <c r="P6" s="2">
        <f t="shared" si="0"/>
        <v>-6.6290077580966056E-2</v>
      </c>
    </row>
    <row r="7" spans="1:21" x14ac:dyDescent="0.35">
      <c r="L7" s="45">
        <v>-3.9918192000000001</v>
      </c>
      <c r="M7" s="2">
        <v>0</v>
      </c>
      <c r="N7" s="2">
        <v>-13111</v>
      </c>
      <c r="O7" s="2">
        <v>-13107</v>
      </c>
      <c r="P7" s="2">
        <f t="shared" si="0"/>
        <v>2.5090664520721617E-2</v>
      </c>
    </row>
    <row r="8" spans="1:21" x14ac:dyDescent="0.35">
      <c r="L8" s="45">
        <v>-2.9916529000000001</v>
      </c>
      <c r="M8" s="2">
        <v>0</v>
      </c>
      <c r="N8" s="2">
        <v>-9828</v>
      </c>
      <c r="O8" s="2">
        <v>-9823</v>
      </c>
      <c r="P8" s="2">
        <f t="shared" si="0"/>
        <v>-4.9728593377373898E-2</v>
      </c>
    </row>
    <row r="9" spans="1:21" x14ac:dyDescent="0.35">
      <c r="L9" s="45">
        <v>-1.9915749</v>
      </c>
      <c r="M9" s="2">
        <v>0</v>
      </c>
      <c r="N9" s="2">
        <v>-6545</v>
      </c>
      <c r="O9" s="2">
        <v>-6540</v>
      </c>
      <c r="P9" s="2">
        <f t="shared" si="0"/>
        <v>-3.6247851275872378E-2</v>
      </c>
    </row>
    <row r="10" spans="1:21" x14ac:dyDescent="0.35">
      <c r="L10" s="45">
        <v>-0.99213311000000004</v>
      </c>
      <c r="M10" s="2">
        <v>0</v>
      </c>
      <c r="N10" s="2">
        <v>-3264</v>
      </c>
      <c r="O10" s="2">
        <v>-3259</v>
      </c>
      <c r="P10" s="2">
        <f t="shared" si="0"/>
        <v>4.1882574163265573E-3</v>
      </c>
    </row>
    <row r="11" spans="1:21" x14ac:dyDescent="0.35">
      <c r="L11" s="45">
        <v>-0.45055634999999999</v>
      </c>
      <c r="M11" s="2">
        <v>0</v>
      </c>
      <c r="N11" s="2">
        <v>-1486</v>
      </c>
      <c r="O11" s="2">
        <v>-1481</v>
      </c>
      <c r="P11" s="2">
        <f t="shared" si="0"/>
        <v>5.4797358682523445E-2</v>
      </c>
    </row>
    <row r="12" spans="1:21" x14ac:dyDescent="0.35">
      <c r="L12" s="45">
        <v>7.0045810000000002E-3</v>
      </c>
      <c r="M12" s="2">
        <v>0</v>
      </c>
      <c r="N12" s="2">
        <v>15</v>
      </c>
      <c r="O12" s="2">
        <v>20</v>
      </c>
      <c r="P12" s="2">
        <f t="shared" si="0"/>
        <v>-0.26053126730136644</v>
      </c>
    </row>
    <row r="13" spans="1:21" x14ac:dyDescent="0.35">
      <c r="L13" s="45">
        <v>0.46487732999999998</v>
      </c>
      <c r="M13" s="2">
        <v>0</v>
      </c>
      <c r="N13" s="2">
        <v>1519</v>
      </c>
      <c r="O13" s="2">
        <v>1523</v>
      </c>
      <c r="P13" s="2">
        <f t="shared" si="0"/>
        <v>2.6204056829404188E-2</v>
      </c>
    </row>
    <row r="14" spans="1:21" x14ac:dyDescent="0.35">
      <c r="L14" s="45">
        <v>1.0063853</v>
      </c>
      <c r="M14" s="2">
        <v>0</v>
      </c>
      <c r="N14" s="2">
        <v>3297</v>
      </c>
      <c r="O14" s="2">
        <v>3300</v>
      </c>
      <c r="P14" s="2">
        <f t="shared" si="0"/>
        <v>0.14560315809553082</v>
      </c>
    </row>
    <row r="15" spans="1:21" x14ac:dyDescent="0.35">
      <c r="L15" s="45">
        <v>2.0061460000000002</v>
      </c>
      <c r="M15" s="2">
        <v>0</v>
      </c>
      <c r="N15" s="2">
        <v>6579</v>
      </c>
      <c r="O15" s="2">
        <v>6583</v>
      </c>
      <c r="P15" s="2">
        <f t="shared" si="0"/>
        <v>0.17175658349266598</v>
      </c>
    </row>
    <row r="16" spans="1:21" x14ac:dyDescent="0.35">
      <c r="L16" s="45">
        <v>3.0062281999999998</v>
      </c>
      <c r="M16" s="2">
        <v>0</v>
      </c>
      <c r="N16" s="2">
        <v>9862</v>
      </c>
      <c r="O16" s="2">
        <v>9867</v>
      </c>
      <c r="P16" s="2">
        <f t="shared" si="0"/>
        <v>0.18103732559460184</v>
      </c>
    </row>
    <row r="17" spans="12:16" x14ac:dyDescent="0.35">
      <c r="L17" s="45">
        <v>4.0057304</v>
      </c>
      <c r="M17" s="2">
        <v>0</v>
      </c>
      <c r="N17" s="2">
        <v>13142</v>
      </c>
      <c r="O17" s="2">
        <v>13148</v>
      </c>
      <c r="P17" s="2">
        <f t="shared" si="0"/>
        <v>-0.14356388241854035</v>
      </c>
    </row>
    <row r="18" spans="12:16" x14ac:dyDescent="0.35">
      <c r="L18" s="45">
        <v>5.0051576000000004</v>
      </c>
      <c r="M18" s="2">
        <v>0</v>
      </c>
      <c r="N18" s="2">
        <v>16424</v>
      </c>
      <c r="O18" s="2">
        <v>16429</v>
      </c>
      <c r="P18" s="2">
        <f t="shared" si="0"/>
        <v>0.21608954297747118</v>
      </c>
    </row>
    <row r="19" spans="12:16" x14ac:dyDescent="0.35">
      <c r="L19" s="45">
        <v>6.0045596999999997</v>
      </c>
      <c r="M19" s="2">
        <v>0</v>
      </c>
      <c r="N19" s="2">
        <v>19704</v>
      </c>
      <c r="O19" s="2">
        <v>19710</v>
      </c>
      <c r="P19" s="2">
        <f t="shared" si="0"/>
        <v>-8.4116650338472709E-3</v>
      </c>
    </row>
    <row r="20" spans="12:16" x14ac:dyDescent="0.35">
      <c r="L20" s="45">
        <v>7.0037216999999998</v>
      </c>
      <c r="M20" s="2">
        <v>0</v>
      </c>
      <c r="N20" s="2">
        <v>22984</v>
      </c>
      <c r="O20" s="2">
        <v>22991</v>
      </c>
      <c r="P20" s="2">
        <f t="shared" si="0"/>
        <v>7.1871269531342818E-3</v>
      </c>
    </row>
    <row r="21" spans="12:16" x14ac:dyDescent="0.35">
      <c r="L21" s="45">
        <v>8.0028170999999997</v>
      </c>
      <c r="M21" s="2">
        <v>0</v>
      </c>
      <c r="N21" s="2">
        <v>26264</v>
      </c>
      <c r="O21" s="2">
        <v>26271</v>
      </c>
      <c r="P21" s="2">
        <f t="shared" si="0"/>
        <v>8.9385918940365627E-2</v>
      </c>
    </row>
    <row r="22" spans="12:16" x14ac:dyDescent="0.35">
      <c r="L22" s="45">
        <v>9.0022085999999994</v>
      </c>
      <c r="M22" s="2">
        <v>0</v>
      </c>
      <c r="N22" s="2">
        <v>29544</v>
      </c>
      <c r="O22" s="2">
        <v>29552</v>
      </c>
      <c r="P22" s="2">
        <f t="shared" si="0"/>
        <v>-0.12451528907142517</v>
      </c>
    </row>
    <row r="23" spans="12:16" x14ac:dyDescent="0.35">
      <c r="L23" s="45"/>
    </row>
    <row r="93" spans="1:6" x14ac:dyDescent="0.35">
      <c r="A93" s="2" t="s">
        <v>142</v>
      </c>
    </row>
    <row r="94" spans="1:6" s="3" customFormat="1" x14ac:dyDescent="0.35"/>
    <row r="95" spans="1:6" x14ac:dyDescent="0.35">
      <c r="F95" s="45"/>
    </row>
    <row r="96" spans="1:6" x14ac:dyDescent="0.35">
      <c r="F96" s="45"/>
    </row>
    <row r="97" spans="6:6" x14ac:dyDescent="0.35">
      <c r="F97" s="45"/>
    </row>
    <row r="98" spans="6:6" x14ac:dyDescent="0.35">
      <c r="F98" s="45"/>
    </row>
    <row r="99" spans="6:6" x14ac:dyDescent="0.35">
      <c r="F99" s="45"/>
    </row>
    <row r="100" spans="6:6" x14ac:dyDescent="0.35">
      <c r="F100" s="45"/>
    </row>
    <row r="101" spans="6:6" x14ac:dyDescent="0.35">
      <c r="F101" s="45"/>
    </row>
    <row r="102" spans="6:6" x14ac:dyDescent="0.35">
      <c r="F102" s="45"/>
    </row>
    <row r="103" spans="6:6" x14ac:dyDescent="0.35">
      <c r="F103" s="45"/>
    </row>
    <row r="104" spans="6:6" x14ac:dyDescent="0.35">
      <c r="F104" s="45"/>
    </row>
    <row r="105" spans="6:6" x14ac:dyDescent="0.35">
      <c r="F105" s="45"/>
    </row>
    <row r="106" spans="6:6" x14ac:dyDescent="0.35">
      <c r="F106" s="45"/>
    </row>
    <row r="107" spans="6:6" x14ac:dyDescent="0.35">
      <c r="F107" s="45"/>
    </row>
    <row r="108" spans="6:6" x14ac:dyDescent="0.35">
      <c r="F108" s="45"/>
    </row>
    <row r="109" spans="6:6" x14ac:dyDescent="0.35">
      <c r="F109" s="45"/>
    </row>
    <row r="110" spans="6:6" x14ac:dyDescent="0.35">
      <c r="F110" s="45"/>
    </row>
    <row r="111" spans="6:6" x14ac:dyDescent="0.35">
      <c r="F111" s="45"/>
    </row>
    <row r="112" spans="6:6" x14ac:dyDescent="0.35">
      <c r="F112" s="45"/>
    </row>
    <row r="113" spans="6:6" x14ac:dyDescent="0.35">
      <c r="F113" s="45"/>
    </row>
    <row r="114" spans="6:6" x14ac:dyDescent="0.35">
      <c r="F114" s="45"/>
    </row>
    <row r="115" spans="6:6" x14ac:dyDescent="0.35">
      <c r="F115" s="4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114300</xdr:colOff>
                    <xdr:row>0</xdr:row>
                    <xdr:rowOff>76200</xdr:rowOff>
                  </from>
                  <to>
                    <xdr:col>6</xdr:col>
                    <xdr:colOff>520700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146050</xdr:colOff>
                    <xdr:row>0</xdr:row>
                    <xdr:rowOff>69850</xdr:rowOff>
                  </from>
                  <to>
                    <xdr:col>8</xdr:col>
                    <xdr:colOff>508000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A6C8C-69D6-409C-805D-A5B1549B4E5B}">
  <sheetPr codeName="Sheet4"/>
  <dimension ref="A1:M52"/>
  <sheetViews>
    <sheetView workbookViewId="0">
      <selection activeCell="L2" sqref="L2"/>
    </sheetView>
  </sheetViews>
  <sheetFormatPr defaultColWidth="8.81640625" defaultRowHeight="14.5" x14ac:dyDescent="0.35"/>
  <cols>
    <col min="1" max="2" width="8.81640625" style="2" customWidth="1"/>
    <col min="3" max="11" width="8.81640625" style="2"/>
    <col min="12" max="12" width="16.26953125" style="2" bestFit="1" customWidth="1"/>
    <col min="13" max="13" width="7" style="2" bestFit="1" customWidth="1"/>
    <col min="14" max="16384" width="8.81640625" style="2"/>
  </cols>
  <sheetData>
    <row r="1" spans="1:13" x14ac:dyDescent="0.3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0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35">
      <c r="A2" s="3" t="s">
        <v>139</v>
      </c>
      <c r="B2" t="str">
        <f>_xlfn.CONCAT(Connect!G1, " ", Connect!J1, " ", Connect!D1, " ", B1, " ", C1, " ", E1)</f>
        <v>v1 2 COM9 hp34401a COM4 0</v>
      </c>
      <c r="F2" s="4"/>
      <c r="G2" s="4"/>
      <c r="H2" s="4"/>
      <c r="I2" s="4"/>
      <c r="J2" s="4"/>
      <c r="L2" s="45">
        <v>-9.9720479000000001E-2</v>
      </c>
      <c r="M2" s="2">
        <v>-27334</v>
      </c>
    </row>
    <row r="3" spans="1:13" x14ac:dyDescent="0.35">
      <c r="F3" s="4"/>
      <c r="G3" s="4"/>
      <c r="H3" s="4"/>
      <c r="I3" s="4"/>
      <c r="J3" s="4"/>
      <c r="L3" s="45">
        <v>-8.9724873999999996E-2</v>
      </c>
      <c r="M3" s="2">
        <v>-24638</v>
      </c>
    </row>
    <row r="4" spans="1:13" x14ac:dyDescent="0.35">
      <c r="L4" s="45">
        <v>-7.9720193999999994E-2</v>
      </c>
      <c r="M4" s="2">
        <v>-21899</v>
      </c>
    </row>
    <row r="5" spans="1:13" x14ac:dyDescent="0.35">
      <c r="L5" s="45">
        <v>-6.9732603000000004E-2</v>
      </c>
      <c r="M5" s="2">
        <v>-19157</v>
      </c>
    </row>
    <row r="6" spans="1:13" x14ac:dyDescent="0.35">
      <c r="L6" s="45">
        <v>-5.9716387000000003E-2</v>
      </c>
      <c r="M6" s="2">
        <v>-16406</v>
      </c>
    </row>
    <row r="7" spans="1:13" x14ac:dyDescent="0.35">
      <c r="L7" s="45">
        <v>-4.9714798999999997E-2</v>
      </c>
      <c r="M7" s="2">
        <v>-13658</v>
      </c>
    </row>
    <row r="8" spans="1:13" x14ac:dyDescent="0.35">
      <c r="L8" s="45">
        <v>-3.9712110000000002E-2</v>
      </c>
      <c r="M8" s="2">
        <v>-10910</v>
      </c>
    </row>
    <row r="9" spans="1:13" x14ac:dyDescent="0.35">
      <c r="L9" s="45">
        <v>-2.9725241999999999E-2</v>
      </c>
      <c r="M9" s="2">
        <v>-8167</v>
      </c>
    </row>
    <row r="10" spans="1:13" x14ac:dyDescent="0.35">
      <c r="L10" s="45">
        <v>-1.9715685E-2</v>
      </c>
      <c r="M10" s="2">
        <v>-5418</v>
      </c>
    </row>
    <row r="11" spans="1:13" x14ac:dyDescent="0.35">
      <c r="L11" s="45">
        <v>-9.7277536999999994E-3</v>
      </c>
      <c r="M11" s="2">
        <v>-2675</v>
      </c>
    </row>
    <row r="12" spans="1:13" x14ac:dyDescent="0.35">
      <c r="L12" s="45">
        <v>2.6288119999999998E-4</v>
      </c>
      <c r="M12" s="2">
        <v>70</v>
      </c>
    </row>
    <row r="13" spans="1:13" x14ac:dyDescent="0.35">
      <c r="L13" s="45">
        <v>1.0272584E-2</v>
      </c>
      <c r="M13" s="2">
        <v>2814</v>
      </c>
    </row>
    <row r="14" spans="1:13" x14ac:dyDescent="0.35">
      <c r="L14" s="45">
        <v>2.0254004999999999E-2</v>
      </c>
      <c r="M14" s="2">
        <v>5555</v>
      </c>
    </row>
    <row r="15" spans="1:13" x14ac:dyDescent="0.35">
      <c r="L15" s="45">
        <v>3.0274878000000002E-2</v>
      </c>
      <c r="M15" s="2">
        <v>8305</v>
      </c>
    </row>
    <row r="16" spans="1:13" x14ac:dyDescent="0.35">
      <c r="L16" s="45">
        <v>4.0262370999999998E-2</v>
      </c>
      <c r="M16" s="2">
        <v>11047</v>
      </c>
    </row>
    <row r="17" spans="12:13" x14ac:dyDescent="0.35">
      <c r="L17" s="45">
        <v>5.0275183000000001E-2</v>
      </c>
      <c r="M17" s="2">
        <v>13795</v>
      </c>
    </row>
    <row r="18" spans="12:13" x14ac:dyDescent="0.35">
      <c r="L18" s="45">
        <v>6.0264309000000002E-2</v>
      </c>
      <c r="M18" s="2">
        <v>16536</v>
      </c>
    </row>
    <row r="19" spans="12:13" x14ac:dyDescent="0.35">
      <c r="L19" s="45">
        <v>7.0277331999999998E-2</v>
      </c>
      <c r="M19" s="2">
        <v>19285</v>
      </c>
    </row>
    <row r="20" spans="12:13" x14ac:dyDescent="0.35">
      <c r="L20" s="45">
        <v>8.0266279999999995E-2</v>
      </c>
      <c r="M20" s="2">
        <v>22026</v>
      </c>
    </row>
    <row r="21" spans="12:13" x14ac:dyDescent="0.35">
      <c r="L21" s="45">
        <v>9.0278974999999997E-2</v>
      </c>
      <c r="M21" s="2">
        <v>24766</v>
      </c>
    </row>
    <row r="22" spans="12:13" x14ac:dyDescent="0.35">
      <c r="L22" s="45">
        <v>0.10022830000000001</v>
      </c>
      <c r="M22" s="2">
        <v>27451</v>
      </c>
    </row>
    <row r="52" s="3" customFormat="1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RunSquidstatCalibrator">
                <anchor moveWithCells="1" sizeWithCells="1">
                  <from>
                    <xdr:col>5</xdr:col>
                    <xdr:colOff>215900</xdr:colOff>
                    <xdr:row>0</xdr:row>
                    <xdr:rowOff>95250</xdr:rowOff>
                  </from>
                  <to>
                    <xdr:col>7</xdr:col>
                    <xdr:colOff>228600</xdr:colOff>
                    <xdr:row>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ImportCSVFile">
                <anchor moveWithCells="1" sizeWithCells="1">
                  <from>
                    <xdr:col>7</xdr:col>
                    <xdr:colOff>387350</xdr:colOff>
                    <xdr:row>0</xdr:row>
                    <xdr:rowOff>88900</xdr:rowOff>
                  </from>
                  <to>
                    <xdr:col>9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324CEC-83F6-4A37-B7D1-9998D698C510}">
          <x14:formula1>
            <xm:f>Internal!$B$2:$B$3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7C0F-E8CD-4C85-A95B-7BD5CEAF7385}">
  <sheetPr codeName="Sheet5"/>
  <dimension ref="A1:M22"/>
  <sheetViews>
    <sheetView workbookViewId="0">
      <selection activeCell="K2" sqref="K2"/>
    </sheetView>
  </sheetViews>
  <sheetFormatPr defaultColWidth="8.81640625" defaultRowHeight="14.5" x14ac:dyDescent="0.35"/>
  <cols>
    <col min="1" max="2" width="8.81640625" style="2" customWidth="1"/>
    <col min="3" max="11" width="8.81640625" style="2"/>
    <col min="12" max="12" width="16.26953125" style="2" bestFit="1" customWidth="1"/>
    <col min="13" max="13" width="7" style="2" bestFit="1" customWidth="1"/>
    <col min="14" max="16384" width="8.81640625" style="2"/>
  </cols>
  <sheetData>
    <row r="1" spans="1:13" x14ac:dyDescent="0.3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1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3" x14ac:dyDescent="0.35">
      <c r="A2" s="3" t="s">
        <v>139</v>
      </c>
      <c r="B2" t="str">
        <f>_xlfn.CONCAT(Connect!G1, " ", Connect!J1, " ", Connect!D1, " ", B1, " ", C1, " ", E1)</f>
        <v>v1 2 COM9 hp34401a COM4 1</v>
      </c>
      <c r="F2" s="4"/>
      <c r="G2" s="4"/>
      <c r="H2" s="4"/>
      <c r="I2" s="4"/>
      <c r="J2" s="4"/>
      <c r="L2" s="45">
        <v>-5.0700798000000002E-3</v>
      </c>
      <c r="M2" s="2">
        <v>-27566</v>
      </c>
    </row>
    <row r="3" spans="1:13" x14ac:dyDescent="0.35">
      <c r="F3" s="4"/>
      <c r="G3" s="4"/>
      <c r="H3" s="4"/>
      <c r="I3" s="4"/>
      <c r="J3" s="4"/>
      <c r="L3" s="45">
        <v>-4.5621500000000001E-3</v>
      </c>
      <c r="M3" s="2">
        <v>-24858</v>
      </c>
    </row>
    <row r="4" spans="1:13" x14ac:dyDescent="0.35">
      <c r="L4" s="45">
        <v>-4.0537960000000001E-3</v>
      </c>
      <c r="M4" s="2">
        <v>-22097</v>
      </c>
    </row>
    <row r="5" spans="1:13" x14ac:dyDescent="0.35">
      <c r="L5" s="45">
        <v>-3.5461904E-3</v>
      </c>
      <c r="M5" s="2">
        <v>-19332</v>
      </c>
    </row>
    <row r="6" spans="1:13" x14ac:dyDescent="0.35">
      <c r="L6" s="45">
        <v>-3.0372774999999999E-3</v>
      </c>
      <c r="M6" s="2">
        <v>-16558</v>
      </c>
    </row>
    <row r="7" spans="1:13" x14ac:dyDescent="0.35">
      <c r="L7" s="45">
        <v>-2.5289838000000001E-3</v>
      </c>
      <c r="M7" s="2">
        <v>-13787</v>
      </c>
    </row>
    <row r="8" spans="1:13" x14ac:dyDescent="0.35">
      <c r="L8" s="45">
        <v>-2.0207533999999998E-3</v>
      </c>
      <c r="M8" s="2">
        <v>-11016</v>
      </c>
    </row>
    <row r="9" spans="1:13" x14ac:dyDescent="0.35">
      <c r="L9" s="45">
        <v>-1.5133550000000001E-3</v>
      </c>
      <c r="M9" s="2">
        <v>-8250</v>
      </c>
    </row>
    <row r="10" spans="1:13" x14ac:dyDescent="0.35">
      <c r="L10" s="45">
        <v>-1.0047941000000001E-3</v>
      </c>
      <c r="M10" s="2">
        <v>-5478</v>
      </c>
    </row>
    <row r="11" spans="1:13" x14ac:dyDescent="0.35">
      <c r="L11" s="45">
        <v>-4.9728649999999995E-4</v>
      </c>
      <c r="M11" s="2">
        <v>-2712</v>
      </c>
    </row>
    <row r="12" spans="1:13" x14ac:dyDescent="0.35">
      <c r="L12" s="45">
        <v>1.03558E-5</v>
      </c>
      <c r="M12" s="2">
        <v>55</v>
      </c>
    </row>
    <row r="13" spans="1:13" x14ac:dyDescent="0.35">
      <c r="L13" s="45">
        <v>5.1884339999999998E-4</v>
      </c>
      <c r="M13" s="2">
        <v>2821</v>
      </c>
    </row>
    <row r="14" spans="1:13" x14ac:dyDescent="0.35">
      <c r="L14" s="45">
        <v>1.0260645999999999E-3</v>
      </c>
      <c r="M14" s="2">
        <v>5584</v>
      </c>
    </row>
    <row r="15" spans="1:13" x14ac:dyDescent="0.35">
      <c r="L15" s="45">
        <v>1.5351212E-3</v>
      </c>
      <c r="M15" s="2">
        <v>8358</v>
      </c>
    </row>
    <row r="16" spans="1:13" x14ac:dyDescent="0.35">
      <c r="L16" s="45">
        <v>2.0426322E-3</v>
      </c>
      <c r="M16" s="2">
        <v>11122</v>
      </c>
    </row>
    <row r="17" spans="12:13" x14ac:dyDescent="0.35">
      <c r="L17" s="45">
        <v>2.5513464E-3</v>
      </c>
      <c r="M17" s="2">
        <v>13893</v>
      </c>
    </row>
    <row r="18" spans="12:13" x14ac:dyDescent="0.35">
      <c r="L18" s="45">
        <v>3.0589566E-3</v>
      </c>
      <c r="M18" s="2">
        <v>16657</v>
      </c>
    </row>
    <row r="19" spans="12:13" x14ac:dyDescent="0.35">
      <c r="L19" s="45">
        <v>3.5677294000000001E-3</v>
      </c>
      <c r="M19" s="2">
        <v>19428</v>
      </c>
    </row>
    <row r="20" spans="12:13" x14ac:dyDescent="0.35">
      <c r="L20" s="45">
        <v>4.0752124999999997E-3</v>
      </c>
      <c r="M20" s="2">
        <v>22192</v>
      </c>
    </row>
    <row r="21" spans="12:13" x14ac:dyDescent="0.35">
      <c r="L21" s="45">
        <v>4.5840869000000001E-3</v>
      </c>
      <c r="M21" s="2">
        <v>24953</v>
      </c>
    </row>
    <row r="22" spans="12:13" x14ac:dyDescent="0.35">
      <c r="L22" s="45">
        <v>5.0915022000000004E-3</v>
      </c>
      <c r="M22" s="2">
        <v>27651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241300</xdr:colOff>
                    <xdr:row>0</xdr:row>
                    <xdr:rowOff>101600</xdr:rowOff>
                  </from>
                  <to>
                    <xdr:col>7</xdr:col>
                    <xdr:colOff>247650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412750</xdr:colOff>
                    <xdr:row>0</xdr:row>
                    <xdr:rowOff>88900</xdr:rowOff>
                  </from>
                  <to>
                    <xdr:col>9</xdr:col>
                    <xdr:colOff>400050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350465-5421-4890-80F2-643F554A38A2}">
          <x14:formula1>
            <xm:f>Internal!$B$2:$B$3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D319-C387-4425-BB58-9E8D056981AE}">
  <sheetPr codeName="Sheet6"/>
  <dimension ref="A1:N22"/>
  <sheetViews>
    <sheetView workbookViewId="0">
      <selection activeCell="O1" sqref="O1"/>
    </sheetView>
  </sheetViews>
  <sheetFormatPr defaultColWidth="8.81640625" defaultRowHeight="14.5" x14ac:dyDescent="0.35"/>
  <cols>
    <col min="1" max="2" width="8.81640625" style="2" customWidth="1"/>
    <col min="3" max="11" width="8.81640625" style="2"/>
    <col min="12" max="12" width="16.26953125" style="2" bestFit="1" customWidth="1"/>
    <col min="13" max="13" width="7" style="2" bestFit="1" customWidth="1"/>
    <col min="14" max="16384" width="8.81640625" style="2"/>
  </cols>
  <sheetData>
    <row r="1" spans="1:14" x14ac:dyDescent="0.35">
      <c r="A1" s="3" t="s">
        <v>47</v>
      </c>
      <c r="B1" s="4" t="s">
        <v>2</v>
      </c>
      <c r="C1" s="2" t="str">
        <f>VLOOKUP(B1,Connect!A2:D3, 4)</f>
        <v>COM3</v>
      </c>
      <c r="D1" s="3" t="s">
        <v>66</v>
      </c>
      <c r="E1" s="2">
        <v>2</v>
      </c>
      <c r="F1" s="4"/>
      <c r="G1" s="4"/>
      <c r="H1" s="4"/>
      <c r="I1" s="4"/>
      <c r="J1" s="4"/>
      <c r="L1" s="3" t="s">
        <v>63</v>
      </c>
      <c r="M1" s="3" t="s">
        <v>7</v>
      </c>
    </row>
    <row r="2" spans="1:14" x14ac:dyDescent="0.35">
      <c r="A2" s="3" t="s">
        <v>139</v>
      </c>
      <c r="B2" t="str">
        <f>_xlfn.CONCAT(Connect!G1, " ", Connect!J1, " ", Connect!D1, " ", B1, " ", C1, " ", E1)</f>
        <v>v1 2 COM9 keithley485 COM3 2</v>
      </c>
      <c r="F2" s="4"/>
      <c r="G2" s="4"/>
      <c r="H2" s="4"/>
      <c r="I2" s="4"/>
      <c r="J2" s="4"/>
      <c r="L2" s="45">
        <v>-2.4560000000000001E-4</v>
      </c>
      <c r="M2" s="2">
        <v>-27572</v>
      </c>
      <c r="N2" s="48"/>
    </row>
    <row r="3" spans="1:14" x14ac:dyDescent="0.35">
      <c r="F3" s="4"/>
      <c r="G3" s="4"/>
      <c r="H3" s="4"/>
      <c r="I3" s="4"/>
      <c r="J3" s="4"/>
      <c r="L3" s="45">
        <v>-2.2100000000000001E-4</v>
      </c>
      <c r="M3" s="2">
        <v>-24868</v>
      </c>
      <c r="N3" s="48"/>
    </row>
    <row r="4" spans="1:14" x14ac:dyDescent="0.35">
      <c r="L4" s="45">
        <v>-1.964E-4</v>
      </c>
      <c r="M4" s="2">
        <v>-22106</v>
      </c>
      <c r="N4" s="48"/>
    </row>
    <row r="5" spans="1:14" x14ac:dyDescent="0.35">
      <c r="L5" s="45">
        <v>-1.7174000000000001E-4</v>
      </c>
      <c r="M5" s="2">
        <v>-19341</v>
      </c>
      <c r="N5" s="48"/>
    </row>
    <row r="6" spans="1:14" x14ac:dyDescent="0.35">
      <c r="L6" s="45">
        <v>-1.4714E-4</v>
      </c>
      <c r="M6" s="2">
        <v>-16565</v>
      </c>
      <c r="N6" s="48"/>
    </row>
    <row r="7" spans="1:14" x14ac:dyDescent="0.35">
      <c r="L7" s="45">
        <v>-1.2252000000000001E-4</v>
      </c>
      <c r="M7" s="2">
        <v>-13793</v>
      </c>
      <c r="N7" s="48"/>
    </row>
    <row r="8" spans="1:14" x14ac:dyDescent="0.35">
      <c r="L8" s="45">
        <v>-9.7899999999999994E-5</v>
      </c>
      <c r="M8" s="2">
        <v>-11021</v>
      </c>
      <c r="N8" s="48"/>
    </row>
    <row r="9" spans="1:14" x14ac:dyDescent="0.35">
      <c r="L9" s="45">
        <v>-7.3310000000000001E-5</v>
      </c>
      <c r="M9" s="2">
        <v>-8254</v>
      </c>
      <c r="N9" s="48"/>
    </row>
    <row r="10" spans="1:14" x14ac:dyDescent="0.35">
      <c r="L10" s="45">
        <v>-4.8680000000000001E-5</v>
      </c>
      <c r="M10" s="2">
        <v>-5481</v>
      </c>
      <c r="N10" s="48"/>
    </row>
    <row r="11" spans="1:14" x14ac:dyDescent="0.35">
      <c r="L11" s="45">
        <v>-2.4090000000000001E-5</v>
      </c>
      <c r="M11" s="2">
        <v>-2714</v>
      </c>
      <c r="N11" s="48"/>
    </row>
    <row r="12" spans="1:14" x14ac:dyDescent="0.35">
      <c r="L12" s="45">
        <v>5.0520000000000005E-7</v>
      </c>
      <c r="M12" s="2">
        <v>55</v>
      </c>
      <c r="N12" s="48"/>
    </row>
    <row r="13" spans="1:14" x14ac:dyDescent="0.35">
      <c r="L13" s="45">
        <v>2.514E-5</v>
      </c>
      <c r="M13" s="2">
        <v>2824</v>
      </c>
      <c r="N13" s="48"/>
    </row>
    <row r="14" spans="1:14" x14ac:dyDescent="0.35">
      <c r="L14" s="45">
        <v>4.9709999999999997E-5</v>
      </c>
      <c r="M14" s="2">
        <v>5588</v>
      </c>
      <c r="N14" s="48"/>
    </row>
    <row r="15" spans="1:14" x14ac:dyDescent="0.35">
      <c r="L15" s="45">
        <v>7.4369999999999994E-5</v>
      </c>
      <c r="M15" s="2">
        <v>8362</v>
      </c>
      <c r="N15" s="48"/>
    </row>
    <row r="16" spans="1:14" x14ac:dyDescent="0.35">
      <c r="L16" s="45">
        <v>9.8960000000000001E-5</v>
      </c>
      <c r="M16" s="2">
        <v>11127</v>
      </c>
      <c r="N16" s="48"/>
    </row>
    <row r="17" spans="12:14" x14ac:dyDescent="0.35">
      <c r="L17" s="45">
        <v>1.236E-4</v>
      </c>
      <c r="M17" s="2">
        <v>13900</v>
      </c>
      <c r="N17" s="48"/>
    </row>
    <row r="18" spans="12:14" x14ac:dyDescent="0.35">
      <c r="L18" s="45">
        <v>1.482E-4</v>
      </c>
      <c r="M18" s="2">
        <v>16665</v>
      </c>
      <c r="N18" s="48"/>
    </row>
    <row r="19" spans="12:14" x14ac:dyDescent="0.35">
      <c r="L19" s="45">
        <v>1.7285E-4</v>
      </c>
      <c r="M19" s="2">
        <v>19437</v>
      </c>
      <c r="N19" s="48"/>
    </row>
    <row r="20" spans="12:14" x14ac:dyDescent="0.35">
      <c r="L20" s="45">
        <v>1.9744000000000001E-4</v>
      </c>
      <c r="M20" s="2">
        <v>22202</v>
      </c>
      <c r="N20" s="48"/>
    </row>
    <row r="21" spans="12:14" x14ac:dyDescent="0.35">
      <c r="L21" s="45">
        <v>2.219E-4</v>
      </c>
      <c r="M21" s="2">
        <v>24963</v>
      </c>
      <c r="N21" s="48"/>
    </row>
    <row r="22" spans="12:14" x14ac:dyDescent="0.35">
      <c r="L22" s="45">
        <v>2.4649999999999997E-4</v>
      </c>
      <c r="M22" s="2">
        <v>27657</v>
      </c>
      <c r="N22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260350</xdr:colOff>
                    <xdr:row>0</xdr:row>
                    <xdr:rowOff>107950</xdr:rowOff>
                  </from>
                  <to>
                    <xdr:col>7</xdr:col>
                    <xdr:colOff>254000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400050</xdr:colOff>
                    <xdr:row>0</xdr:row>
                    <xdr:rowOff>95250</xdr:rowOff>
                  </from>
                  <to>
                    <xdr:col>9</xdr:col>
                    <xdr:colOff>393700</xdr:colOff>
                    <xdr:row>2</xdr:row>
                    <xdr:rowOff>82550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076B044-F8C8-4356-B654-F21FE7206A48}">
          <x14:formula1>
            <xm:f>Internal!$B$2:$B$3</xm:f>
          </x14:formula1>
          <xm:sqref>B1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9805-E82D-452D-8BE5-8CFAF6AD3DB9}">
  <sheetPr codeName="Sheet7"/>
  <dimension ref="A1:N52"/>
  <sheetViews>
    <sheetView workbookViewId="0">
      <selection activeCell="O2" sqref="O2"/>
    </sheetView>
  </sheetViews>
  <sheetFormatPr defaultColWidth="8.81640625" defaultRowHeight="14.5" x14ac:dyDescent="0.35"/>
  <cols>
    <col min="1" max="2" width="8.81640625" style="46" customWidth="1"/>
    <col min="3" max="10" width="8.81640625" style="46"/>
    <col min="11" max="11" width="8.81640625" style="46" customWidth="1"/>
    <col min="12" max="12" width="16.26953125" style="46" bestFit="1" customWidth="1"/>
    <col min="13" max="13" width="7" style="46" bestFit="1" customWidth="1"/>
    <col min="14" max="16384" width="8.81640625" style="46"/>
  </cols>
  <sheetData>
    <row r="1" spans="1:14" x14ac:dyDescent="0.35">
      <c r="A1" s="47" t="s">
        <v>47</v>
      </c>
      <c r="B1" s="5" t="s">
        <v>2</v>
      </c>
      <c r="C1" s="2" t="str">
        <f>VLOOKUP(B1,Connect!A2:D3, 4)</f>
        <v>COM3</v>
      </c>
      <c r="D1" s="3" t="s">
        <v>66</v>
      </c>
      <c r="E1" s="46">
        <v>3</v>
      </c>
      <c r="F1" s="110"/>
      <c r="G1" s="110"/>
      <c r="H1" s="110"/>
      <c r="I1" s="110"/>
      <c r="J1" s="110"/>
      <c r="L1" s="3" t="s">
        <v>63</v>
      </c>
      <c r="M1" s="3" t="s">
        <v>7</v>
      </c>
    </row>
    <row r="2" spans="1:14" x14ac:dyDescent="0.35">
      <c r="A2" s="3" t="s">
        <v>139</v>
      </c>
      <c r="B2" t="str">
        <f>_xlfn.CONCAT(Connect!G1, " ", Connect!J1, " ", Connect!D1, " ", B1, " ", C1, " ", E1)</f>
        <v>v1 2 COM9 keithley485 COM3 3</v>
      </c>
      <c r="F2" s="110"/>
      <c r="G2" s="110"/>
      <c r="H2" s="110"/>
      <c r="I2" s="110"/>
      <c r="J2" s="110"/>
      <c r="L2" s="48">
        <v>-1.2699E-5</v>
      </c>
      <c r="M2" s="46">
        <v>-27586</v>
      </c>
      <c r="N2" s="48"/>
    </row>
    <row r="3" spans="1:14" x14ac:dyDescent="0.35">
      <c r="F3" s="110"/>
      <c r="G3" s="110"/>
      <c r="H3" s="110"/>
      <c r="I3" s="110"/>
      <c r="J3" s="110"/>
      <c r="L3" s="48">
        <v>-1.1426999999999999E-5</v>
      </c>
      <c r="M3" s="46">
        <v>-24884</v>
      </c>
      <c r="N3" s="48"/>
    </row>
    <row r="4" spans="1:14" x14ac:dyDescent="0.35">
      <c r="L4" s="48">
        <v>-1.0155E-5</v>
      </c>
      <c r="M4" s="46">
        <v>-22123</v>
      </c>
      <c r="N4" s="48"/>
    </row>
    <row r="5" spans="1:14" x14ac:dyDescent="0.35">
      <c r="L5" s="48">
        <v>-8.884E-6</v>
      </c>
      <c r="M5" s="46">
        <v>-19356</v>
      </c>
      <c r="N5" s="48"/>
    </row>
    <row r="6" spans="1:14" x14ac:dyDescent="0.35">
      <c r="L6" s="48">
        <v>-7.61E-6</v>
      </c>
      <c r="M6" s="46">
        <v>-16582</v>
      </c>
      <c r="N6" s="48"/>
    </row>
    <row r="7" spans="1:14" x14ac:dyDescent="0.35">
      <c r="L7" s="48">
        <v>-6.3380000000000001E-6</v>
      </c>
      <c r="M7" s="46">
        <v>-13808</v>
      </c>
      <c r="N7" s="48"/>
    </row>
    <row r="8" spans="1:14" x14ac:dyDescent="0.35">
      <c r="L8" s="48">
        <v>-5.0649999999999998E-6</v>
      </c>
      <c r="M8" s="46">
        <v>-11037</v>
      </c>
      <c r="N8" s="48"/>
    </row>
    <row r="9" spans="1:14" x14ac:dyDescent="0.35">
      <c r="L9" s="48">
        <v>-3.7950000000000001E-6</v>
      </c>
      <c r="M9" s="46">
        <v>-8270</v>
      </c>
      <c r="N9" s="48"/>
    </row>
    <row r="10" spans="1:14" x14ac:dyDescent="0.35">
      <c r="L10" s="48">
        <v>-2.5220000000000002E-6</v>
      </c>
      <c r="M10" s="46">
        <v>-5497</v>
      </c>
      <c r="N10" s="48"/>
    </row>
    <row r="11" spans="1:14" x14ac:dyDescent="0.35">
      <c r="L11" s="48">
        <v>-1.2513E-6</v>
      </c>
      <c r="M11" s="46">
        <v>-2730</v>
      </c>
      <c r="N11" s="48"/>
    </row>
    <row r="12" spans="1:14" x14ac:dyDescent="0.35">
      <c r="L12" s="48">
        <v>1.9280000000000001E-8</v>
      </c>
      <c r="M12" s="46">
        <v>39</v>
      </c>
      <c r="N12" s="48"/>
    </row>
    <row r="13" spans="1:14" x14ac:dyDescent="0.35">
      <c r="L13" s="48">
        <v>1.2936E-6</v>
      </c>
      <c r="M13" s="46">
        <v>2809</v>
      </c>
      <c r="N13" s="48"/>
    </row>
    <row r="14" spans="1:14" x14ac:dyDescent="0.35">
      <c r="L14" s="48">
        <v>2.5600000000000001E-6</v>
      </c>
      <c r="M14" s="46">
        <v>5572</v>
      </c>
      <c r="N14" s="48"/>
    </row>
    <row r="15" spans="1:14" x14ac:dyDescent="0.35">
      <c r="L15" s="48">
        <v>3.8349999999999997E-6</v>
      </c>
      <c r="M15" s="46">
        <v>8347</v>
      </c>
      <c r="N15" s="48"/>
    </row>
    <row r="16" spans="1:14" x14ac:dyDescent="0.35">
      <c r="L16" s="48">
        <v>5.1050000000000003E-6</v>
      </c>
      <c r="M16" s="46">
        <v>11112</v>
      </c>
      <c r="N16" s="48"/>
    </row>
    <row r="17" spans="11:14" x14ac:dyDescent="0.35">
      <c r="L17" s="48">
        <v>6.3790000000000003E-6</v>
      </c>
      <c r="M17" s="46">
        <v>13884</v>
      </c>
      <c r="N17" s="48"/>
    </row>
    <row r="18" spans="11:14" x14ac:dyDescent="0.35">
      <c r="L18" s="48">
        <v>7.6499999999999996E-6</v>
      </c>
      <c r="M18" s="46">
        <v>16649</v>
      </c>
      <c r="N18" s="48"/>
    </row>
    <row r="19" spans="11:14" x14ac:dyDescent="0.35">
      <c r="L19" s="48">
        <v>8.9230000000000008E-6</v>
      </c>
      <c r="M19" s="46">
        <v>19422</v>
      </c>
      <c r="N19" s="48"/>
    </row>
    <row r="20" spans="11:14" x14ac:dyDescent="0.35">
      <c r="L20" s="48">
        <v>1.0193999999999999E-5</v>
      </c>
      <c r="M20" s="46">
        <v>22186</v>
      </c>
      <c r="N20" s="48"/>
    </row>
    <row r="21" spans="11:14" x14ac:dyDescent="0.35">
      <c r="L21" s="48">
        <v>1.1467999999999999E-5</v>
      </c>
      <c r="M21" s="46">
        <v>24947</v>
      </c>
      <c r="N21" s="48"/>
    </row>
    <row r="22" spans="11:14" x14ac:dyDescent="0.35">
      <c r="L22" s="48">
        <v>1.2738000000000001E-5</v>
      </c>
      <c r="M22" s="46">
        <v>27641</v>
      </c>
      <c r="N22" s="48"/>
    </row>
    <row r="26" spans="11:14" x14ac:dyDescent="0.35">
      <c r="K26" s="48"/>
    </row>
    <row r="27" spans="11:14" x14ac:dyDescent="0.35">
      <c r="K27" s="48"/>
    </row>
    <row r="28" spans="11:14" x14ac:dyDescent="0.35">
      <c r="K28" s="48"/>
    </row>
    <row r="29" spans="11:14" x14ac:dyDescent="0.35">
      <c r="K29" s="48"/>
    </row>
    <row r="30" spans="11:14" x14ac:dyDescent="0.35">
      <c r="K30" s="48"/>
    </row>
    <row r="31" spans="11:14" x14ac:dyDescent="0.35">
      <c r="K31" s="48"/>
    </row>
    <row r="32" spans="11:14" x14ac:dyDescent="0.35">
      <c r="K32" s="48"/>
    </row>
    <row r="33" spans="11:11" x14ac:dyDescent="0.35">
      <c r="K33" s="48"/>
    </row>
    <row r="34" spans="11:11" x14ac:dyDescent="0.35">
      <c r="K34" s="48"/>
    </row>
    <row r="35" spans="11:11" x14ac:dyDescent="0.35">
      <c r="K35" s="48"/>
    </row>
    <row r="36" spans="11:11" x14ac:dyDescent="0.35">
      <c r="K36" s="48"/>
    </row>
    <row r="37" spans="11:11" x14ac:dyDescent="0.35">
      <c r="K37" s="48"/>
    </row>
    <row r="38" spans="11:11" x14ac:dyDescent="0.35">
      <c r="K38" s="48"/>
    </row>
    <row r="39" spans="11:11" x14ac:dyDescent="0.35">
      <c r="K39" s="48"/>
    </row>
    <row r="40" spans="11:11" x14ac:dyDescent="0.35">
      <c r="K40" s="48"/>
    </row>
    <row r="41" spans="11:11" x14ac:dyDescent="0.35">
      <c r="K41" s="48"/>
    </row>
    <row r="42" spans="11:11" x14ac:dyDescent="0.35">
      <c r="K42" s="48"/>
    </row>
    <row r="43" spans="11:11" x14ac:dyDescent="0.35">
      <c r="K43" s="48"/>
    </row>
    <row r="44" spans="11:11" x14ac:dyDescent="0.35">
      <c r="K44" s="48"/>
    </row>
    <row r="45" spans="11:11" x14ac:dyDescent="0.35">
      <c r="K45" s="48"/>
    </row>
    <row r="46" spans="11:11" x14ac:dyDescent="0.35">
      <c r="K46" s="48"/>
    </row>
    <row r="52" s="3" customForma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SquidstatCalibrator">
                <anchor moveWithCells="1" sizeWithCells="1">
                  <from>
                    <xdr:col>5</xdr:col>
                    <xdr:colOff>228600</xdr:colOff>
                    <xdr:row>0</xdr:row>
                    <xdr:rowOff>76200</xdr:rowOff>
                  </from>
                  <to>
                    <xdr:col>7</xdr:col>
                    <xdr:colOff>228600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ImportCSVFile">
                <anchor moveWithCells="1" sizeWithCells="1">
                  <from>
                    <xdr:col>7</xdr:col>
                    <xdr:colOff>393700</xdr:colOff>
                    <xdr:row>0</xdr:row>
                    <xdr:rowOff>63500</xdr:rowOff>
                  </from>
                  <to>
                    <xdr:col>9</xdr:col>
                    <xdr:colOff>374650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529993-94E5-4429-86D9-BB64B06D05B8}">
          <x14:formula1>
            <xm:f>Internal!$B$2:$B$3</xm:f>
          </x14:formula1>
          <xm:sqref>B1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E187E-71E0-4A29-858D-C2D6F06EFE89}">
  <sheetPr codeName="Sheet8"/>
  <dimension ref="A1:M22"/>
  <sheetViews>
    <sheetView workbookViewId="0">
      <selection activeCell="B2" sqref="B2"/>
    </sheetView>
  </sheetViews>
  <sheetFormatPr defaultColWidth="8.81640625" defaultRowHeight="14.5" x14ac:dyDescent="0.35"/>
  <cols>
    <col min="1" max="11" width="8.81640625" style="2"/>
    <col min="12" max="12" width="8.1796875" style="2" bestFit="1" customWidth="1"/>
    <col min="13" max="13" width="9.1796875" style="2" bestFit="1" customWidth="1"/>
    <col min="14" max="16384" width="8.81640625" style="2"/>
  </cols>
  <sheetData>
    <row r="1" spans="1:13" x14ac:dyDescent="0.3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4</v>
      </c>
      <c r="L1" s="3" t="s">
        <v>52</v>
      </c>
      <c r="M1" s="3" t="s">
        <v>51</v>
      </c>
    </row>
    <row r="2" spans="1:13" x14ac:dyDescent="0.35">
      <c r="A2" s="3" t="s">
        <v>139</v>
      </c>
      <c r="B2" t="str">
        <f>_xlfn.CONCAT(Connect!G1, " ", Connect!J1, " ", Connect!D1, " ", B1, " ", C1, " ", E1)</f>
        <v>v1 2 COM9 hp34401a COM4 4</v>
      </c>
      <c r="L2" s="2">
        <v>1</v>
      </c>
      <c r="M2" s="2">
        <v>1</v>
      </c>
    </row>
    <row r="3" spans="1:13" x14ac:dyDescent="0.3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5">
      <c r="L9" s="2">
        <v>8</v>
      </c>
      <c r="M9" s="2">
        <v>8</v>
      </c>
    </row>
    <row r="10" spans="1:13" x14ac:dyDescent="0.35">
      <c r="L10" s="2">
        <v>9</v>
      </c>
      <c r="M10" s="2">
        <v>9</v>
      </c>
    </row>
    <row r="11" spans="1:13" x14ac:dyDescent="0.35">
      <c r="L11" s="2">
        <v>10</v>
      </c>
      <c r="M11" s="2">
        <v>10</v>
      </c>
    </row>
    <row r="12" spans="1:13" x14ac:dyDescent="0.35">
      <c r="L12" s="2">
        <v>11</v>
      </c>
      <c r="M12" s="2">
        <v>11</v>
      </c>
    </row>
    <row r="13" spans="1:13" x14ac:dyDescent="0.35">
      <c r="L13" s="2">
        <v>12</v>
      </c>
      <c r="M13" s="2">
        <v>12</v>
      </c>
    </row>
    <row r="14" spans="1:13" x14ac:dyDescent="0.35">
      <c r="L14" s="2">
        <v>13</v>
      </c>
      <c r="M14" s="2">
        <v>13</v>
      </c>
    </row>
    <row r="15" spans="1:13" x14ac:dyDescent="0.35">
      <c r="L15" s="2">
        <v>14</v>
      </c>
      <c r="M15" s="2">
        <v>14</v>
      </c>
    </row>
    <row r="16" spans="1:13" x14ac:dyDescent="0.35">
      <c r="L16" s="2">
        <v>15</v>
      </c>
      <c r="M16" s="2">
        <v>15</v>
      </c>
    </row>
    <row r="17" spans="12:13" x14ac:dyDescent="0.35">
      <c r="L17" s="2">
        <v>16</v>
      </c>
      <c r="M17" s="2">
        <v>16</v>
      </c>
    </row>
    <row r="18" spans="12:13" x14ac:dyDescent="0.35">
      <c r="L18" s="2">
        <v>17</v>
      </c>
      <c r="M18" s="2">
        <v>17</v>
      </c>
    </row>
    <row r="19" spans="12:13" x14ac:dyDescent="0.35">
      <c r="L19" s="2">
        <v>18</v>
      </c>
      <c r="M19" s="2">
        <v>18</v>
      </c>
    </row>
    <row r="20" spans="12:13" x14ac:dyDescent="0.35">
      <c r="L20" s="2">
        <v>19</v>
      </c>
      <c r="M20" s="2">
        <v>19</v>
      </c>
    </row>
    <row r="21" spans="12:13" x14ac:dyDescent="0.35">
      <c r="L21" s="2">
        <v>20</v>
      </c>
      <c r="M21" s="2">
        <v>20</v>
      </c>
    </row>
    <row r="22" spans="12:13" x14ac:dyDescent="0.3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215900</xdr:colOff>
                    <xdr:row>2</xdr:row>
                    <xdr:rowOff>88900</xdr:rowOff>
                  </from>
                  <to>
                    <xdr:col>9</xdr:col>
                    <xdr:colOff>393700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215900</xdr:colOff>
                    <xdr:row>5</xdr:row>
                    <xdr:rowOff>88900</xdr:rowOff>
                  </from>
                  <to>
                    <xdr:col>9</xdr:col>
                    <xdr:colOff>393700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F1C580-70E7-49AF-BDB4-BF4A341CAAF9}">
          <x14:formula1>
            <xm:f>Internal!$B$2:$B$3</xm:f>
          </x14:formula1>
          <xm:sqref>B1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0538-847E-4062-B887-9944E38AD5E9}">
  <sheetPr codeName="Sheet9"/>
  <dimension ref="A1:M22"/>
  <sheetViews>
    <sheetView workbookViewId="0">
      <selection activeCell="B2" sqref="B2"/>
    </sheetView>
  </sheetViews>
  <sheetFormatPr defaultColWidth="8.81640625" defaultRowHeight="14.5" x14ac:dyDescent="0.35"/>
  <cols>
    <col min="1" max="11" width="8.81640625" style="2"/>
    <col min="12" max="12" width="8.1796875" style="2" bestFit="1" customWidth="1"/>
    <col min="13" max="13" width="9.1796875" style="2" bestFit="1" customWidth="1"/>
    <col min="14" max="16384" width="8.81640625" style="2"/>
  </cols>
  <sheetData>
    <row r="1" spans="1:13" x14ac:dyDescent="0.3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5</v>
      </c>
      <c r="L1" s="3" t="s">
        <v>52</v>
      </c>
      <c r="M1" s="3" t="s">
        <v>51</v>
      </c>
    </row>
    <row r="2" spans="1:13" x14ac:dyDescent="0.35">
      <c r="A2" s="3" t="s">
        <v>139</v>
      </c>
      <c r="B2" t="str">
        <f>_xlfn.CONCAT(Connect!G1, " ", Connect!J1, " ", Connect!D1, " ", B1, " ", C1, " ", E1)</f>
        <v>v1 2 COM9 hp34401a COM4 5</v>
      </c>
      <c r="L2" s="2">
        <v>1</v>
      </c>
      <c r="M2" s="2">
        <v>1</v>
      </c>
    </row>
    <row r="3" spans="1:13" x14ac:dyDescent="0.3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5">
      <c r="L9" s="2">
        <v>8</v>
      </c>
      <c r="M9" s="2">
        <v>8</v>
      </c>
    </row>
    <row r="10" spans="1:13" x14ac:dyDescent="0.35">
      <c r="L10" s="2">
        <v>9</v>
      </c>
      <c r="M10" s="2">
        <v>9</v>
      </c>
    </row>
    <row r="11" spans="1:13" x14ac:dyDescent="0.35">
      <c r="L11" s="2">
        <v>10</v>
      </c>
      <c r="M11" s="2">
        <v>10</v>
      </c>
    </row>
    <row r="12" spans="1:13" x14ac:dyDescent="0.35">
      <c r="L12" s="2">
        <v>11</v>
      </c>
      <c r="M12" s="2">
        <v>11</v>
      </c>
    </row>
    <row r="13" spans="1:13" x14ac:dyDescent="0.35">
      <c r="L13" s="2">
        <v>12</v>
      </c>
      <c r="M13" s="2">
        <v>12</v>
      </c>
    </row>
    <row r="14" spans="1:13" x14ac:dyDescent="0.35">
      <c r="L14" s="2">
        <v>13</v>
      </c>
      <c r="M14" s="2">
        <v>13</v>
      </c>
    </row>
    <row r="15" spans="1:13" x14ac:dyDescent="0.35">
      <c r="L15" s="2">
        <v>14</v>
      </c>
      <c r="M15" s="2">
        <v>14</v>
      </c>
    </row>
    <row r="16" spans="1:13" x14ac:dyDescent="0.35">
      <c r="L16" s="2">
        <v>15</v>
      </c>
      <c r="M16" s="2">
        <v>15</v>
      </c>
    </row>
    <row r="17" spans="12:13" x14ac:dyDescent="0.35">
      <c r="L17" s="2">
        <v>16</v>
      </c>
      <c r="M17" s="2">
        <v>16</v>
      </c>
    </row>
    <row r="18" spans="12:13" x14ac:dyDescent="0.35">
      <c r="L18" s="2">
        <v>17</v>
      </c>
      <c r="M18" s="2">
        <v>17</v>
      </c>
    </row>
    <row r="19" spans="12:13" x14ac:dyDescent="0.35">
      <c r="L19" s="2">
        <v>18</v>
      </c>
      <c r="M19" s="2">
        <v>18</v>
      </c>
    </row>
    <row r="20" spans="12:13" x14ac:dyDescent="0.35">
      <c r="L20" s="2">
        <v>19</v>
      </c>
      <c r="M20" s="2">
        <v>19</v>
      </c>
    </row>
    <row r="21" spans="12:13" x14ac:dyDescent="0.35">
      <c r="L21" s="2">
        <v>20</v>
      </c>
      <c r="M21" s="2">
        <v>20</v>
      </c>
    </row>
    <row r="22" spans="12:13" x14ac:dyDescent="0.3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215900</xdr:colOff>
                    <xdr:row>2</xdr:row>
                    <xdr:rowOff>88900</xdr:rowOff>
                  </from>
                  <to>
                    <xdr:col>9</xdr:col>
                    <xdr:colOff>393700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215900</xdr:colOff>
                    <xdr:row>5</xdr:row>
                    <xdr:rowOff>88900</xdr:rowOff>
                  </from>
                  <to>
                    <xdr:col>9</xdr:col>
                    <xdr:colOff>393700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AB994B9-3D65-4729-9F84-DAE3DA75B459}">
          <x14:formula1>
            <xm:f>Internal!$B$2:$B$3</xm:f>
          </x14:formula1>
          <xm:sqref>B1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203D6-17A7-4ED4-97D7-A8A1A9C94AFA}">
  <sheetPr codeName="Sheet10"/>
  <dimension ref="A1:M22"/>
  <sheetViews>
    <sheetView workbookViewId="0">
      <selection activeCell="B2" sqref="B2"/>
    </sheetView>
  </sheetViews>
  <sheetFormatPr defaultColWidth="8.81640625" defaultRowHeight="14.5" x14ac:dyDescent="0.35"/>
  <cols>
    <col min="1" max="11" width="8.81640625" style="2"/>
    <col min="12" max="12" width="8.1796875" style="2" bestFit="1" customWidth="1"/>
    <col min="13" max="13" width="9.1796875" style="2" bestFit="1" customWidth="1"/>
    <col min="14" max="16384" width="8.81640625" style="2"/>
  </cols>
  <sheetData>
    <row r="1" spans="1:13" x14ac:dyDescent="0.3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6</v>
      </c>
      <c r="L1" s="3" t="s">
        <v>52</v>
      </c>
      <c r="M1" s="3" t="s">
        <v>51</v>
      </c>
    </row>
    <row r="2" spans="1:13" x14ac:dyDescent="0.35">
      <c r="A2" s="3" t="s">
        <v>139</v>
      </c>
      <c r="B2" t="str">
        <f>_xlfn.CONCAT(Connect!G1, " ", Connect!J1, " ", Connect!D1, " ", B1, " ", C1, " ", E1)</f>
        <v>v1 2 COM9 hp34401a COM4 6</v>
      </c>
      <c r="L2" s="2">
        <v>1</v>
      </c>
      <c r="M2" s="2">
        <v>1</v>
      </c>
    </row>
    <row r="3" spans="1:13" x14ac:dyDescent="0.3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5">
      <c r="L9" s="2">
        <v>8</v>
      </c>
      <c r="M9" s="2">
        <v>8</v>
      </c>
    </row>
    <row r="10" spans="1:13" x14ac:dyDescent="0.35">
      <c r="L10" s="2">
        <v>9</v>
      </c>
      <c r="M10" s="2">
        <v>9</v>
      </c>
    </row>
    <row r="11" spans="1:13" x14ac:dyDescent="0.35">
      <c r="L11" s="2">
        <v>10</v>
      </c>
      <c r="M11" s="2">
        <v>10</v>
      </c>
    </row>
    <row r="12" spans="1:13" x14ac:dyDescent="0.35">
      <c r="L12" s="2">
        <v>11</v>
      </c>
      <c r="M12" s="2">
        <v>11</v>
      </c>
    </row>
    <row r="13" spans="1:13" x14ac:dyDescent="0.35">
      <c r="L13" s="2">
        <v>12</v>
      </c>
      <c r="M13" s="2">
        <v>12</v>
      </c>
    </row>
    <row r="14" spans="1:13" x14ac:dyDescent="0.35">
      <c r="L14" s="2">
        <v>13</v>
      </c>
      <c r="M14" s="2">
        <v>13</v>
      </c>
    </row>
    <row r="15" spans="1:13" x14ac:dyDescent="0.35">
      <c r="L15" s="2">
        <v>14</v>
      </c>
      <c r="M15" s="2">
        <v>14</v>
      </c>
    </row>
    <row r="16" spans="1:13" x14ac:dyDescent="0.35">
      <c r="L16" s="2">
        <v>15</v>
      </c>
      <c r="M16" s="2">
        <v>15</v>
      </c>
    </row>
    <row r="17" spans="12:13" x14ac:dyDescent="0.35">
      <c r="L17" s="2">
        <v>16</v>
      </c>
      <c r="M17" s="2">
        <v>16</v>
      </c>
    </row>
    <row r="18" spans="12:13" x14ac:dyDescent="0.35">
      <c r="L18" s="2">
        <v>17</v>
      </c>
      <c r="M18" s="2">
        <v>17</v>
      </c>
    </row>
    <row r="19" spans="12:13" x14ac:dyDescent="0.35">
      <c r="L19" s="2">
        <v>18</v>
      </c>
      <c r="M19" s="2">
        <v>18</v>
      </c>
    </row>
    <row r="20" spans="12:13" x14ac:dyDescent="0.35">
      <c r="L20" s="2">
        <v>19</v>
      </c>
      <c r="M20" s="2">
        <v>19</v>
      </c>
    </row>
    <row r="21" spans="12:13" x14ac:dyDescent="0.35">
      <c r="L21" s="2">
        <v>20</v>
      </c>
      <c r="M21" s="2">
        <v>20</v>
      </c>
    </row>
    <row r="22" spans="12:13" x14ac:dyDescent="0.3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215900</xdr:colOff>
                    <xdr:row>2</xdr:row>
                    <xdr:rowOff>88900</xdr:rowOff>
                  </from>
                  <to>
                    <xdr:col>9</xdr:col>
                    <xdr:colOff>393700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215900</xdr:colOff>
                    <xdr:row>5</xdr:row>
                    <xdr:rowOff>88900</xdr:rowOff>
                  </from>
                  <to>
                    <xdr:col>9</xdr:col>
                    <xdr:colOff>393700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B7DBA4-DA7C-48B8-AC72-C31D0AA693AD}">
          <x14:formula1>
            <xm:f>Internal!$B$2:$B$3</xm:f>
          </x14:formula1>
          <xm:sqref>B1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7082F-25B7-4539-B4E7-EB66D6D85F60}">
  <sheetPr codeName="Sheet11"/>
  <dimension ref="A1:M22"/>
  <sheetViews>
    <sheetView workbookViewId="0">
      <selection activeCell="B2" sqref="B2"/>
    </sheetView>
  </sheetViews>
  <sheetFormatPr defaultColWidth="8.81640625" defaultRowHeight="14.5" x14ac:dyDescent="0.35"/>
  <cols>
    <col min="1" max="11" width="8.81640625" style="2"/>
    <col min="12" max="12" width="8.1796875" style="2" bestFit="1" customWidth="1"/>
    <col min="13" max="13" width="9.1796875" style="2" bestFit="1" customWidth="1"/>
    <col min="14" max="16384" width="8.81640625" style="2"/>
  </cols>
  <sheetData>
    <row r="1" spans="1:13" x14ac:dyDescent="0.35">
      <c r="A1" s="3" t="s">
        <v>47</v>
      </c>
      <c r="B1" s="4" t="s">
        <v>3</v>
      </c>
      <c r="C1" s="2" t="str">
        <f>VLOOKUP(B1,Connect!A2:D3, 4)</f>
        <v>COM4</v>
      </c>
      <c r="D1" s="3" t="s">
        <v>66</v>
      </c>
      <c r="E1" s="2">
        <v>7</v>
      </c>
      <c r="L1" s="3" t="s">
        <v>52</v>
      </c>
      <c r="M1" s="3" t="s">
        <v>51</v>
      </c>
    </row>
    <row r="2" spans="1:13" x14ac:dyDescent="0.35">
      <c r="A2" s="3" t="s">
        <v>139</v>
      </c>
      <c r="B2" t="str">
        <f>_xlfn.CONCAT(Connect!G1, " ", Connect!J1, " ", Connect!D1, " ", B1, " ", C1, " ", E1)</f>
        <v>v1 2 COM9 hp34401a COM4 7</v>
      </c>
      <c r="L2" s="2">
        <v>1</v>
      </c>
      <c r="M2" s="2">
        <v>1</v>
      </c>
    </row>
    <row r="3" spans="1:13" x14ac:dyDescent="0.35">
      <c r="A3" s="4"/>
      <c r="B3" s="4"/>
      <c r="C3" s="4"/>
      <c r="D3" s="4"/>
      <c r="E3" s="4"/>
      <c r="F3" s="4"/>
      <c r="G3" s="4"/>
      <c r="H3" s="4"/>
      <c r="I3" s="4"/>
      <c r="J3" s="4"/>
      <c r="L3" s="2">
        <v>2</v>
      </c>
      <c r="M3" s="2">
        <v>2</v>
      </c>
    </row>
    <row r="4" spans="1:13" x14ac:dyDescent="0.35">
      <c r="A4" s="4"/>
      <c r="B4" s="4"/>
      <c r="C4" s="4"/>
      <c r="D4" s="4"/>
      <c r="E4" s="4"/>
      <c r="F4" s="4"/>
      <c r="G4" s="4"/>
      <c r="H4" s="4"/>
      <c r="I4" s="4"/>
      <c r="J4" s="4"/>
      <c r="L4" s="2">
        <v>3</v>
      </c>
      <c r="M4" s="2">
        <v>3</v>
      </c>
    </row>
    <row r="5" spans="1:13" x14ac:dyDescent="0.35">
      <c r="A5" s="4"/>
      <c r="B5" s="4"/>
      <c r="C5" s="4"/>
      <c r="D5" s="4"/>
      <c r="E5" s="4"/>
      <c r="F5" s="4"/>
      <c r="G5" s="4"/>
      <c r="H5" s="4"/>
      <c r="I5" s="4"/>
      <c r="J5" s="4"/>
      <c r="L5" s="2">
        <v>4</v>
      </c>
      <c r="M5" s="2">
        <v>4</v>
      </c>
    </row>
    <row r="6" spans="1:13" x14ac:dyDescent="0.35">
      <c r="A6" s="4"/>
      <c r="B6" s="4"/>
      <c r="C6" s="4"/>
      <c r="D6" s="4"/>
      <c r="E6" s="4"/>
      <c r="F6" s="4"/>
      <c r="G6" s="4"/>
      <c r="H6" s="4"/>
      <c r="I6" s="4"/>
      <c r="J6" s="4"/>
      <c r="L6" s="2">
        <v>5</v>
      </c>
      <c r="M6" s="2">
        <v>5</v>
      </c>
    </row>
    <row r="7" spans="1:13" x14ac:dyDescent="0.35">
      <c r="A7" s="4"/>
      <c r="B7" s="4"/>
      <c r="C7" s="4"/>
      <c r="D7" s="4"/>
      <c r="E7" s="4"/>
      <c r="F7" s="4"/>
      <c r="G7" s="4"/>
      <c r="H7" s="4"/>
      <c r="I7" s="4"/>
      <c r="J7" s="4"/>
      <c r="L7" s="2">
        <v>6</v>
      </c>
      <c r="M7" s="2">
        <v>6</v>
      </c>
    </row>
    <row r="8" spans="1:13" x14ac:dyDescent="0.35">
      <c r="A8" s="4"/>
      <c r="B8" s="4"/>
      <c r="C8" s="4"/>
      <c r="D8" s="4"/>
      <c r="E8" s="4"/>
      <c r="F8" s="4"/>
      <c r="G8" s="4"/>
      <c r="H8" s="4"/>
      <c r="I8" s="4"/>
      <c r="J8" s="4"/>
      <c r="L8" s="2">
        <v>7</v>
      </c>
      <c r="M8" s="2">
        <v>7</v>
      </c>
    </row>
    <row r="9" spans="1:13" x14ac:dyDescent="0.35">
      <c r="L9" s="2">
        <v>8</v>
      </c>
      <c r="M9" s="2">
        <v>8</v>
      </c>
    </row>
    <row r="10" spans="1:13" x14ac:dyDescent="0.35">
      <c r="L10" s="2">
        <v>9</v>
      </c>
      <c r="M10" s="2">
        <v>9</v>
      </c>
    </row>
    <row r="11" spans="1:13" x14ac:dyDescent="0.35">
      <c r="L11" s="2">
        <v>10</v>
      </c>
      <c r="M11" s="2">
        <v>10</v>
      </c>
    </row>
    <row r="12" spans="1:13" x14ac:dyDescent="0.35">
      <c r="L12" s="2">
        <v>11</v>
      </c>
      <c r="M12" s="2">
        <v>11</v>
      </c>
    </row>
    <row r="13" spans="1:13" x14ac:dyDescent="0.35">
      <c r="L13" s="2">
        <v>12</v>
      </c>
      <c r="M13" s="2">
        <v>12</v>
      </c>
    </row>
    <row r="14" spans="1:13" x14ac:dyDescent="0.35">
      <c r="L14" s="2">
        <v>13</v>
      </c>
      <c r="M14" s="2">
        <v>13</v>
      </c>
    </row>
    <row r="15" spans="1:13" x14ac:dyDescent="0.35">
      <c r="L15" s="2">
        <v>14</v>
      </c>
      <c r="M15" s="2">
        <v>14</v>
      </c>
    </row>
    <row r="16" spans="1:13" x14ac:dyDescent="0.35">
      <c r="L16" s="2">
        <v>15</v>
      </c>
      <c r="M16" s="2">
        <v>15</v>
      </c>
    </row>
    <row r="17" spans="12:13" x14ac:dyDescent="0.35">
      <c r="L17" s="2">
        <v>16</v>
      </c>
      <c r="M17" s="2">
        <v>16</v>
      </c>
    </row>
    <row r="18" spans="12:13" x14ac:dyDescent="0.35">
      <c r="L18" s="2">
        <v>17</v>
      </c>
      <c r="M18" s="2">
        <v>17</v>
      </c>
    </row>
    <row r="19" spans="12:13" x14ac:dyDescent="0.35">
      <c r="L19" s="2">
        <v>18</v>
      </c>
      <c r="M19" s="2">
        <v>18</v>
      </c>
    </row>
    <row r="20" spans="12:13" x14ac:dyDescent="0.35">
      <c r="L20" s="2">
        <v>19</v>
      </c>
      <c r="M20" s="2">
        <v>19</v>
      </c>
    </row>
    <row r="21" spans="12:13" x14ac:dyDescent="0.35">
      <c r="L21" s="2">
        <v>20</v>
      </c>
      <c r="M21" s="2">
        <v>20</v>
      </c>
    </row>
    <row r="22" spans="12:13" x14ac:dyDescent="0.35">
      <c r="L22" s="2">
        <v>21</v>
      </c>
      <c r="M22" s="2">
        <v>21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unSquidstatCalibrator">
                <anchor moveWithCells="1" sizeWithCells="1">
                  <from>
                    <xdr:col>0</xdr:col>
                    <xdr:colOff>215900</xdr:colOff>
                    <xdr:row>2</xdr:row>
                    <xdr:rowOff>88900</xdr:rowOff>
                  </from>
                  <to>
                    <xdr:col>9</xdr:col>
                    <xdr:colOff>393700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mportCSVFile">
                <anchor moveWithCells="1" sizeWithCells="1">
                  <from>
                    <xdr:col>0</xdr:col>
                    <xdr:colOff>215900</xdr:colOff>
                    <xdr:row>5</xdr:row>
                    <xdr:rowOff>88900</xdr:rowOff>
                  </from>
                  <to>
                    <xdr:col>9</xdr:col>
                    <xdr:colOff>393700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DA87D-1E4B-4471-97FB-8BBE2941B5E6}">
          <x14:formula1>
            <xm:f>Internal!$B$2:$B$3</xm:f>
          </x14:formula1>
          <xm:sqref>B1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9B0B6-FF98-43A7-9409-444F3A06B6E6}">
  <sheetPr codeName="Sheet13"/>
  <dimension ref="A1:L68"/>
  <sheetViews>
    <sheetView tabSelected="1" workbookViewId="0">
      <selection activeCell="C2" sqref="C2"/>
    </sheetView>
  </sheetViews>
  <sheetFormatPr defaultRowHeight="14.5" x14ac:dyDescent="0.35"/>
  <cols>
    <col min="1" max="1" width="14.08984375" style="2" bestFit="1" customWidth="1"/>
    <col min="2" max="2" width="12.453125" style="2" bestFit="1" customWidth="1"/>
    <col min="3" max="3" width="11.81640625" style="2" bestFit="1" customWidth="1"/>
    <col min="4" max="10" width="8.7265625" style="2"/>
    <col min="11" max="11" width="14.08984375" style="71" bestFit="1" customWidth="1"/>
    <col min="12" max="12" width="11.81640625" style="71" bestFit="1" customWidth="1"/>
    <col min="13" max="16384" width="8.7265625" style="2"/>
  </cols>
  <sheetData>
    <row r="1" spans="1:12" x14ac:dyDescent="0.35">
      <c r="A1" s="3" t="s">
        <v>47</v>
      </c>
      <c r="B1" s="2" t="s">
        <v>65</v>
      </c>
      <c r="C1" s="2" t="s">
        <v>189</v>
      </c>
      <c r="K1" s="71" t="s">
        <v>24</v>
      </c>
      <c r="L1" s="71">
        <v>0</v>
      </c>
    </row>
    <row r="2" spans="1:12" x14ac:dyDescent="0.35">
      <c r="A2" s="3" t="s">
        <v>139</v>
      </c>
      <c r="B2" s="2" t="str">
        <f>_xlfn.CONCAT(Connect!$G$1, " ", Connect!$J$1, " ", Connect!$D$1, " ", B1)</f>
        <v>v1 2 COM9 calibrate</v>
      </c>
      <c r="C2" s="2" t="str">
        <f>_xlfn.CONCAT(Connect!$G$1, " ", Connect!$J$1, " ", Connect!$D$1, " ", C1)</f>
        <v>v1 2 COM9 quality</v>
      </c>
      <c r="K2" s="71" t="s">
        <v>25</v>
      </c>
      <c r="L2" s="71">
        <v>3276.4340000000002</v>
      </c>
    </row>
    <row r="3" spans="1:12" x14ac:dyDescent="0.35">
      <c r="A3" s="121"/>
      <c r="B3" s="121"/>
      <c r="C3" s="4"/>
      <c r="D3" s="4"/>
      <c r="E3" s="4"/>
      <c r="F3" s="4"/>
      <c r="G3" s="4"/>
      <c r="H3" s="4"/>
      <c r="K3" s="71" t="s">
        <v>26</v>
      </c>
      <c r="L3" s="71">
        <v>3276.4340000000002</v>
      </c>
    </row>
    <row r="4" spans="1:12" x14ac:dyDescent="0.35">
      <c r="A4" s="121"/>
      <c r="B4" s="121"/>
      <c r="C4" s="4"/>
      <c r="D4" s="4"/>
      <c r="E4" s="4"/>
      <c r="F4" s="4"/>
      <c r="G4" s="4"/>
      <c r="H4" s="4"/>
      <c r="K4" s="71" t="s">
        <v>27</v>
      </c>
      <c r="L4" s="71">
        <v>-26.722290000000001</v>
      </c>
    </row>
    <row r="5" spans="1:12" x14ac:dyDescent="0.35">
      <c r="A5" s="121"/>
      <c r="B5" s="121"/>
      <c r="C5" s="4"/>
      <c r="D5" s="4"/>
      <c r="E5" s="4"/>
      <c r="F5" s="4"/>
      <c r="G5" s="4"/>
      <c r="H5" s="4"/>
      <c r="K5" s="71" t="s">
        <v>34</v>
      </c>
      <c r="L5" s="71">
        <v>0</v>
      </c>
    </row>
    <row r="6" spans="1:12" x14ac:dyDescent="0.35">
      <c r="K6" s="71" t="s">
        <v>35</v>
      </c>
      <c r="L6" s="71">
        <v>0</v>
      </c>
    </row>
    <row r="7" spans="1:12" x14ac:dyDescent="0.35">
      <c r="A7" s="3" t="s">
        <v>138</v>
      </c>
      <c r="B7" s="3" t="s">
        <v>139</v>
      </c>
      <c r="C7" s="3" t="s">
        <v>174</v>
      </c>
      <c r="K7" s="71" t="s">
        <v>36</v>
      </c>
      <c r="L7" s="71">
        <v>0</v>
      </c>
    </row>
    <row r="8" spans="1:12" x14ac:dyDescent="0.35">
      <c r="A8" s="2" t="s">
        <v>24</v>
      </c>
      <c r="B8" s="2">
        <f>Data!D35</f>
        <v>3482.6170000000002</v>
      </c>
      <c r="C8" s="2">
        <f>L1</f>
        <v>0</v>
      </c>
      <c r="K8" s="71" t="s">
        <v>37</v>
      </c>
      <c r="L8" s="71">
        <v>3.0462529999999999E-4</v>
      </c>
    </row>
    <row r="9" spans="1:12" x14ac:dyDescent="0.35">
      <c r="A9" s="2" t="s">
        <v>25</v>
      </c>
      <c r="B9" s="2">
        <f>Data!D29</f>
        <v>3276.6753648899098</v>
      </c>
      <c r="C9" s="2">
        <f t="shared" ref="C9:C68" si="0">L2</f>
        <v>3276.4340000000002</v>
      </c>
      <c r="K9" s="71" t="s">
        <v>38</v>
      </c>
      <c r="L9" s="71">
        <v>3.0462529999999999E-4</v>
      </c>
    </row>
    <row r="10" spans="1:12" x14ac:dyDescent="0.35">
      <c r="A10" s="2" t="s">
        <v>26</v>
      </c>
      <c r="B10" s="2">
        <f>Data!D26</f>
        <v>3276.1975137004815</v>
      </c>
      <c r="C10" s="2">
        <f t="shared" si="0"/>
        <v>3276.4340000000002</v>
      </c>
      <c r="K10" s="71" t="s">
        <v>39</v>
      </c>
      <c r="L10" s="71">
        <v>2.1650509999999999E-3</v>
      </c>
    </row>
    <row r="11" spans="1:12" x14ac:dyDescent="0.35">
      <c r="A11" s="2" t="s">
        <v>27</v>
      </c>
      <c r="B11" s="2">
        <f>Data!D32</f>
        <v>-22.666491679097124</v>
      </c>
      <c r="C11" s="2">
        <f t="shared" si="0"/>
        <v>-26.722290000000001</v>
      </c>
      <c r="K11" s="71" t="s">
        <v>40</v>
      </c>
      <c r="L11" s="71">
        <v>3.0458960000000001E-4</v>
      </c>
    </row>
    <row r="12" spans="1:12" x14ac:dyDescent="0.35">
      <c r="A12" s="2" t="s">
        <v>34</v>
      </c>
      <c r="B12" s="2" t="e">
        <f>Data!E29</f>
        <v>#DIV/0!</v>
      </c>
      <c r="C12" s="2">
        <f t="shared" si="0"/>
        <v>0</v>
      </c>
      <c r="K12" s="71" t="s">
        <v>41</v>
      </c>
      <c r="L12" s="71">
        <v>3.0458960000000001E-4</v>
      </c>
    </row>
    <row r="13" spans="1:12" x14ac:dyDescent="0.35">
      <c r="A13" s="2" t="s">
        <v>35</v>
      </c>
      <c r="B13" s="2" t="e">
        <f>Data!E26</f>
        <v>#DIV/0!</v>
      </c>
      <c r="C13" s="2">
        <f t="shared" si="0"/>
        <v>0</v>
      </c>
      <c r="K13" s="71" t="s">
        <v>42</v>
      </c>
      <c r="L13" s="71">
        <v>7.7309169999999997E-4</v>
      </c>
    </row>
    <row r="14" spans="1:12" x14ac:dyDescent="0.35">
      <c r="A14" s="2" t="s">
        <v>36</v>
      </c>
      <c r="B14" s="2" t="e">
        <f>Data!E32</f>
        <v>#DIV/0!</v>
      </c>
      <c r="C14" s="2">
        <f t="shared" si="0"/>
        <v>0</v>
      </c>
      <c r="K14" s="71" t="s">
        <v>92</v>
      </c>
      <c r="L14" s="71">
        <v>3.646154E-3</v>
      </c>
    </row>
    <row r="15" spans="1:12" x14ac:dyDescent="0.35">
      <c r="A15" s="2" t="s">
        <v>37</v>
      </c>
      <c r="B15" s="2">
        <f>Data!G29</f>
        <v>3.0462761628662326E-4</v>
      </c>
      <c r="C15" s="2">
        <f t="shared" si="0"/>
        <v>3.0462529999999999E-4</v>
      </c>
      <c r="K15" s="71" t="s">
        <v>90</v>
      </c>
      <c r="L15" s="71">
        <v>1.8380640000000001E-4</v>
      </c>
    </row>
    <row r="16" spans="1:12" x14ac:dyDescent="0.35">
      <c r="A16" s="2" t="s">
        <v>38</v>
      </c>
      <c r="B16" s="2">
        <f>Data!G26</f>
        <v>3.0462701712312499E-4</v>
      </c>
      <c r="C16" s="2">
        <f t="shared" si="0"/>
        <v>3.0462529999999999E-4</v>
      </c>
      <c r="K16" s="71" t="s">
        <v>91</v>
      </c>
      <c r="L16" s="72">
        <v>8.8972830000000005E-6</v>
      </c>
    </row>
    <row r="17" spans="1:12" x14ac:dyDescent="0.35">
      <c r="A17" s="2" t="s">
        <v>39</v>
      </c>
      <c r="B17" s="2">
        <f>Data!G32</f>
        <v>2.1746399821255214E-3</v>
      </c>
      <c r="C17" s="2">
        <f t="shared" si="0"/>
        <v>2.1650509999999999E-3</v>
      </c>
      <c r="K17" s="71" t="s">
        <v>93</v>
      </c>
      <c r="L17" s="72">
        <v>4.5985630000000001E-7</v>
      </c>
    </row>
    <row r="18" spans="1:12" x14ac:dyDescent="0.35">
      <c r="A18" s="2" t="s">
        <v>40</v>
      </c>
      <c r="B18" s="2">
        <f>Data!K29</f>
        <v>3.0458768164851535E-4</v>
      </c>
      <c r="C18" s="2">
        <f t="shared" si="0"/>
        <v>3.0458960000000001E-4</v>
      </c>
      <c r="K18" s="71" t="s">
        <v>94</v>
      </c>
      <c r="L18" s="71">
        <v>0</v>
      </c>
    </row>
    <row r="19" spans="1:12" x14ac:dyDescent="0.35">
      <c r="A19" s="2" t="s">
        <v>41</v>
      </c>
      <c r="B19" s="2">
        <f>Data!K26</f>
        <v>3.0459242737934249E-4</v>
      </c>
      <c r="C19" s="2">
        <f t="shared" si="0"/>
        <v>3.0458960000000001E-4</v>
      </c>
      <c r="K19" s="71" t="s">
        <v>95</v>
      </c>
      <c r="L19" s="71">
        <v>0</v>
      </c>
    </row>
    <row r="20" spans="1:12" x14ac:dyDescent="0.35">
      <c r="A20" s="2" t="s">
        <v>42</v>
      </c>
      <c r="B20" s="2">
        <f>Data!K32</f>
        <v>7.6806189551789032E-4</v>
      </c>
      <c r="C20" s="2">
        <f t="shared" si="0"/>
        <v>7.7309169999999997E-4</v>
      </c>
      <c r="K20" s="71" t="s">
        <v>96</v>
      </c>
      <c r="L20" s="71">
        <v>0</v>
      </c>
    </row>
    <row r="21" spans="1:12" x14ac:dyDescent="0.35">
      <c r="A21" s="2" t="s">
        <v>92</v>
      </c>
      <c r="B21" s="2">
        <f>Data!P29</f>
        <v>3.6471636091682099E-3</v>
      </c>
      <c r="C21" s="2">
        <f t="shared" si="0"/>
        <v>3.646154E-3</v>
      </c>
      <c r="K21" s="71" t="s">
        <v>97</v>
      </c>
      <c r="L21" s="71">
        <v>0</v>
      </c>
    </row>
    <row r="22" spans="1:12" x14ac:dyDescent="0.35">
      <c r="A22" s="2" t="s">
        <v>90</v>
      </c>
      <c r="B22" s="2">
        <f>Data!U29</f>
        <v>1.8386235940101236E-4</v>
      </c>
      <c r="C22" s="2">
        <f t="shared" si="0"/>
        <v>1.8380640000000001E-4</v>
      </c>
      <c r="K22" s="71" t="s">
        <v>98</v>
      </c>
      <c r="L22" s="71">
        <v>3.646154E-3</v>
      </c>
    </row>
    <row r="23" spans="1:12" x14ac:dyDescent="0.35">
      <c r="A23" s="2" t="s">
        <v>91</v>
      </c>
      <c r="B23" s="2">
        <f>Data!Z29</f>
        <v>8.8997960463609539E-6</v>
      </c>
      <c r="C23" s="2">
        <f t="shared" si="0"/>
        <v>8.8972830000000005E-6</v>
      </c>
      <c r="K23" s="71" t="s">
        <v>99</v>
      </c>
      <c r="L23" s="71">
        <v>1.8380640000000001E-4</v>
      </c>
    </row>
    <row r="24" spans="1:12" x14ac:dyDescent="0.35">
      <c r="A24" s="2" t="s">
        <v>93</v>
      </c>
      <c r="B24" s="2">
        <f>Data!AE29</f>
        <v>4.6010393013128033E-7</v>
      </c>
      <c r="C24" s="2">
        <f t="shared" si="0"/>
        <v>4.5985630000000001E-7</v>
      </c>
      <c r="K24" s="71" t="s">
        <v>100</v>
      </c>
      <c r="L24" s="72">
        <v>8.8972830000000005E-6</v>
      </c>
    </row>
    <row r="25" spans="1:12" x14ac:dyDescent="0.35">
      <c r="A25" s="2" t="s">
        <v>94</v>
      </c>
      <c r="B25" s="2" t="e">
        <f>Data!AJ29</f>
        <v>#DIV/0!</v>
      </c>
      <c r="C25" s="2">
        <f t="shared" si="0"/>
        <v>0</v>
      </c>
      <c r="K25" s="71" t="s">
        <v>101</v>
      </c>
      <c r="L25" s="72">
        <v>4.5985630000000001E-7</v>
      </c>
    </row>
    <row r="26" spans="1:12" x14ac:dyDescent="0.35">
      <c r="A26" s="2" t="s">
        <v>95</v>
      </c>
      <c r="B26" s="2" t="e">
        <f>Data!#REF!</f>
        <v>#REF!</v>
      </c>
      <c r="C26" s="2">
        <f t="shared" si="0"/>
        <v>0</v>
      </c>
      <c r="K26" s="71" t="s">
        <v>102</v>
      </c>
      <c r="L26" s="71">
        <v>0</v>
      </c>
    </row>
    <row r="27" spans="1:12" x14ac:dyDescent="0.35">
      <c r="A27" s="2" t="s">
        <v>96</v>
      </c>
      <c r="B27" s="2" t="e">
        <f>Data!AT29</f>
        <v>#DIV/0!</v>
      </c>
      <c r="C27" s="2">
        <f t="shared" si="0"/>
        <v>0</v>
      </c>
      <c r="K27" s="71" t="s">
        <v>103</v>
      </c>
      <c r="L27" s="71">
        <v>0</v>
      </c>
    </row>
    <row r="28" spans="1:12" x14ac:dyDescent="0.35">
      <c r="A28" s="2" t="s">
        <v>97</v>
      </c>
      <c r="B28" s="2" t="e">
        <f>Data!AY29</f>
        <v>#DIV/0!</v>
      </c>
      <c r="C28" s="2">
        <f t="shared" si="0"/>
        <v>0</v>
      </c>
      <c r="K28" s="71" t="s">
        <v>104</v>
      </c>
      <c r="L28" s="71">
        <v>0</v>
      </c>
    </row>
    <row r="29" spans="1:12" x14ac:dyDescent="0.35">
      <c r="A29" s="2" t="s">
        <v>98</v>
      </c>
      <c r="B29" s="2">
        <f>Data!P26</f>
        <v>3.6446910844040109E-3</v>
      </c>
      <c r="C29" s="2">
        <f t="shared" si="0"/>
        <v>3.646154E-3</v>
      </c>
      <c r="K29" s="71" t="s">
        <v>105</v>
      </c>
      <c r="L29" s="71">
        <v>0</v>
      </c>
    </row>
    <row r="30" spans="1:12" x14ac:dyDescent="0.35">
      <c r="A30" s="2" t="s">
        <v>99</v>
      </c>
      <c r="B30" s="2">
        <f>Data!U26</f>
        <v>1.8369846440772632E-4</v>
      </c>
      <c r="C30" s="2">
        <f t="shared" si="0"/>
        <v>1.8380640000000001E-4</v>
      </c>
      <c r="K30" s="71" t="s">
        <v>106</v>
      </c>
      <c r="L30" s="71">
        <v>3.1060649999999999E-2</v>
      </c>
    </row>
    <row r="31" spans="1:12" x14ac:dyDescent="0.35">
      <c r="A31" s="2" t="s">
        <v>100</v>
      </c>
      <c r="B31" s="2">
        <f>Data!Z26</f>
        <v>8.8959014934287215E-6</v>
      </c>
      <c r="C31" s="2">
        <f t="shared" si="0"/>
        <v>8.8972830000000005E-6</v>
      </c>
      <c r="K31" s="71" t="s">
        <v>107</v>
      </c>
      <c r="L31" s="71">
        <v>1.6354919999999999E-3</v>
      </c>
    </row>
    <row r="32" spans="1:12" x14ac:dyDescent="0.35">
      <c r="A32" s="2" t="s">
        <v>101</v>
      </c>
      <c r="B32" s="2">
        <f>Data!AE26</f>
        <v>4.5974040556828176E-7</v>
      </c>
      <c r="C32" s="2">
        <f t="shared" si="0"/>
        <v>4.5985630000000001E-7</v>
      </c>
      <c r="K32" s="71" t="s">
        <v>108</v>
      </c>
      <c r="L32" s="72">
        <v>6.2570409999999994E-5</v>
      </c>
    </row>
    <row r="33" spans="1:12" x14ac:dyDescent="0.35">
      <c r="A33" s="2" t="s">
        <v>102</v>
      </c>
      <c r="B33" s="2" t="e">
        <f>Data!AJ26</f>
        <v>#DIV/0!</v>
      </c>
      <c r="C33" s="2">
        <f t="shared" si="0"/>
        <v>0</v>
      </c>
      <c r="K33" s="71" t="s">
        <v>109</v>
      </c>
      <c r="L33" s="72">
        <v>3.9453780000000002E-6</v>
      </c>
    </row>
    <row r="34" spans="1:12" x14ac:dyDescent="0.35">
      <c r="A34" s="2" t="s">
        <v>103</v>
      </c>
      <c r="B34" s="2" t="e">
        <f>Data!#REF!</f>
        <v>#REF!</v>
      </c>
      <c r="C34" s="2">
        <f t="shared" si="0"/>
        <v>0</v>
      </c>
      <c r="K34" s="71" t="s">
        <v>110</v>
      </c>
      <c r="L34" s="71">
        <v>0</v>
      </c>
    </row>
    <row r="35" spans="1:12" x14ac:dyDescent="0.35">
      <c r="A35" s="2" t="s">
        <v>104</v>
      </c>
      <c r="B35" s="2" t="e">
        <f>Data!AT26</f>
        <v>#DIV/0!</v>
      </c>
      <c r="C35" s="2">
        <f t="shared" si="0"/>
        <v>0</v>
      </c>
      <c r="K35" s="71" t="s">
        <v>111</v>
      </c>
      <c r="L35" s="71">
        <v>0</v>
      </c>
    </row>
    <row r="36" spans="1:12" x14ac:dyDescent="0.35">
      <c r="A36" s="2" t="s">
        <v>105</v>
      </c>
      <c r="B36" s="2" t="e">
        <f>Data!AY26</f>
        <v>#DIV/0!</v>
      </c>
      <c r="C36" s="2">
        <f t="shared" si="0"/>
        <v>0</v>
      </c>
      <c r="K36" s="71" t="s">
        <v>112</v>
      </c>
      <c r="L36" s="71">
        <v>0</v>
      </c>
    </row>
    <row r="37" spans="1:12" x14ac:dyDescent="0.35">
      <c r="A37" s="2" t="s">
        <v>106</v>
      </c>
      <c r="B37" s="2">
        <f>Data!P32</f>
        <v>3.0880641246771867E-2</v>
      </c>
      <c r="C37" s="2">
        <f t="shared" si="0"/>
        <v>3.1060649999999999E-2</v>
      </c>
      <c r="K37" s="71" t="s">
        <v>113</v>
      </c>
      <c r="L37" s="71">
        <v>0</v>
      </c>
    </row>
    <row r="38" spans="1:12" x14ac:dyDescent="0.35">
      <c r="A38" s="2" t="s">
        <v>107</v>
      </c>
      <c r="B38" s="2">
        <f>Data!U32</f>
        <v>1.5465975161111662E-3</v>
      </c>
      <c r="C38" s="2">
        <f t="shared" si="0"/>
        <v>1.6354919999999999E-3</v>
      </c>
      <c r="K38" s="71" t="s">
        <v>114</v>
      </c>
      <c r="L38" s="71">
        <v>50.003689999999999</v>
      </c>
    </row>
    <row r="39" spans="1:12" x14ac:dyDescent="0.35">
      <c r="A39" s="2" t="s">
        <v>108</v>
      </c>
      <c r="B39" s="2">
        <f>Data!Z32</f>
        <v>6.3024703530467402E-5</v>
      </c>
      <c r="C39" s="2">
        <f t="shared" si="0"/>
        <v>6.2570409999999994E-5</v>
      </c>
      <c r="K39" s="71" t="s">
        <v>115</v>
      </c>
      <c r="L39" s="71">
        <v>984.01099999999997</v>
      </c>
    </row>
    <row r="40" spans="1:12" x14ac:dyDescent="0.35">
      <c r="A40" s="2" t="s">
        <v>109</v>
      </c>
      <c r="B40" s="2">
        <f>Data!AE32</f>
        <v>3.8455993861421374E-6</v>
      </c>
      <c r="C40" s="2">
        <f t="shared" si="0"/>
        <v>3.9453780000000002E-6</v>
      </c>
      <c r="K40" s="71" t="s">
        <v>116</v>
      </c>
      <c r="L40" s="71">
        <v>20318.29</v>
      </c>
    </row>
    <row r="41" spans="1:12" x14ac:dyDescent="0.35">
      <c r="A41" s="2" t="s">
        <v>110</v>
      </c>
      <c r="B41" s="2" t="e">
        <f>Data!AJ32</f>
        <v>#DIV/0!</v>
      </c>
      <c r="C41" s="2">
        <f t="shared" si="0"/>
        <v>0</v>
      </c>
      <c r="K41" s="71" t="s">
        <v>117</v>
      </c>
      <c r="L41" s="71">
        <v>393090.4</v>
      </c>
    </row>
    <row r="42" spans="1:12" x14ac:dyDescent="0.35">
      <c r="A42" s="2" t="s">
        <v>111</v>
      </c>
      <c r="B42" s="2" t="e">
        <f>Data!#REF!</f>
        <v>#REF!</v>
      </c>
      <c r="C42" s="2">
        <f t="shared" si="0"/>
        <v>0</v>
      </c>
      <c r="K42" s="71" t="s">
        <v>118</v>
      </c>
      <c r="L42" s="71">
        <v>0</v>
      </c>
    </row>
    <row r="43" spans="1:12" x14ac:dyDescent="0.35">
      <c r="A43" s="2" t="s">
        <v>112</v>
      </c>
      <c r="B43" s="2" t="e">
        <f>Data!AT32</f>
        <v>#DIV/0!</v>
      </c>
      <c r="C43" s="2">
        <f t="shared" si="0"/>
        <v>0</v>
      </c>
      <c r="K43" s="71" t="s">
        <v>119</v>
      </c>
      <c r="L43" s="71">
        <v>0</v>
      </c>
    </row>
    <row r="44" spans="1:12" x14ac:dyDescent="0.35">
      <c r="A44" s="2" t="s">
        <v>113</v>
      </c>
      <c r="B44" s="2" t="e">
        <f>Data!AY32</f>
        <v>#DIV/0!</v>
      </c>
      <c r="C44" s="2">
        <f t="shared" si="0"/>
        <v>0</v>
      </c>
      <c r="K44" s="71" t="s">
        <v>120</v>
      </c>
      <c r="L44" s="71">
        <v>0</v>
      </c>
    </row>
    <row r="45" spans="1:12" x14ac:dyDescent="0.35">
      <c r="A45" s="2" t="s">
        <v>114</v>
      </c>
      <c r="B45" s="2">
        <f>Data!O29</f>
        <v>50.004703717265343</v>
      </c>
      <c r="C45" s="2">
        <f t="shared" si="0"/>
        <v>50.003689999999999</v>
      </c>
      <c r="K45" s="71" t="s">
        <v>121</v>
      </c>
      <c r="L45" s="71">
        <v>0</v>
      </c>
    </row>
    <row r="46" spans="1:12" x14ac:dyDescent="0.35">
      <c r="A46" s="2" t="s">
        <v>115</v>
      </c>
      <c r="B46" s="2">
        <f>Data!T29</f>
        <v>983.97563397179385</v>
      </c>
      <c r="C46" s="2">
        <f t="shared" si="0"/>
        <v>984.01099999999997</v>
      </c>
      <c r="K46" s="71" t="s">
        <v>122</v>
      </c>
      <c r="L46" s="71">
        <v>50.003689999999999</v>
      </c>
    </row>
    <row r="47" spans="1:12" x14ac:dyDescent="0.35">
      <c r="A47" s="2" t="s">
        <v>116</v>
      </c>
      <c r="B47" s="2">
        <f>Data!Y29</f>
        <v>20322.160223531839</v>
      </c>
      <c r="C47" s="2">
        <f t="shared" si="0"/>
        <v>20318.29</v>
      </c>
      <c r="K47" s="71" t="s">
        <v>123</v>
      </c>
      <c r="L47" s="71">
        <v>984.01099999999997</v>
      </c>
    </row>
    <row r="48" spans="1:12" x14ac:dyDescent="0.35">
      <c r="A48" s="2" t="s">
        <v>117</v>
      </c>
      <c r="B48" s="2">
        <f>Data!AD29</f>
        <v>393098.0072366661</v>
      </c>
      <c r="C48" s="2">
        <f t="shared" si="0"/>
        <v>393090.4</v>
      </c>
      <c r="K48" s="71" t="s">
        <v>124</v>
      </c>
      <c r="L48" s="71">
        <v>20318.29</v>
      </c>
    </row>
    <row r="49" spans="1:12" x14ac:dyDescent="0.35">
      <c r="A49" s="2" t="s">
        <v>118</v>
      </c>
      <c r="B49" s="2" t="e">
        <f>Data!AI29</f>
        <v>#DIV/0!</v>
      </c>
      <c r="C49" s="2">
        <f t="shared" si="0"/>
        <v>0</v>
      </c>
      <c r="K49" s="71" t="s">
        <v>125</v>
      </c>
      <c r="L49" s="71">
        <v>393090.4</v>
      </c>
    </row>
    <row r="50" spans="1:12" x14ac:dyDescent="0.35">
      <c r="A50" s="2" t="s">
        <v>119</v>
      </c>
      <c r="B50" s="2" t="e">
        <f>Data!AN29</f>
        <v>#DIV/0!</v>
      </c>
      <c r="C50" s="2">
        <f t="shared" si="0"/>
        <v>0</v>
      </c>
      <c r="K50" s="71" t="s">
        <v>126</v>
      </c>
      <c r="L50" s="71">
        <v>0</v>
      </c>
    </row>
    <row r="51" spans="1:12" x14ac:dyDescent="0.35">
      <c r="A51" s="2" t="s">
        <v>120</v>
      </c>
      <c r="B51" s="2" t="e">
        <f>Data!AS29</f>
        <v>#DIV/0!</v>
      </c>
      <c r="C51" s="2">
        <f t="shared" si="0"/>
        <v>0</v>
      </c>
      <c r="K51" s="71" t="s">
        <v>127</v>
      </c>
      <c r="L51" s="71">
        <v>0</v>
      </c>
    </row>
    <row r="52" spans="1:12" x14ac:dyDescent="0.35">
      <c r="A52" s="2" t="s">
        <v>121</v>
      </c>
      <c r="B52" s="2" t="e">
        <f>Data!AX29</f>
        <v>#DIV/0!</v>
      </c>
      <c r="C52" s="2">
        <f t="shared" si="0"/>
        <v>0</v>
      </c>
      <c r="K52" s="71" t="s">
        <v>128</v>
      </c>
      <c r="L52" s="71">
        <v>0</v>
      </c>
    </row>
    <row r="53" spans="1:12" x14ac:dyDescent="0.35">
      <c r="A53" s="2" t="s">
        <v>122</v>
      </c>
      <c r="B53" s="2">
        <f>Data!O26</f>
        <v>50.002824414658676</v>
      </c>
      <c r="C53" s="2">
        <f t="shared" si="0"/>
        <v>50.003689999999999</v>
      </c>
      <c r="K53" s="71" t="s">
        <v>129</v>
      </c>
      <c r="L53" s="71">
        <v>0</v>
      </c>
    </row>
    <row r="54" spans="1:12" x14ac:dyDescent="0.35">
      <c r="A54" s="2" t="s">
        <v>123</v>
      </c>
      <c r="B54" s="2">
        <f>Data!T26</f>
        <v>984.06114430148091</v>
      </c>
      <c r="C54" s="2">
        <f t="shared" si="0"/>
        <v>984.01099999999997</v>
      </c>
      <c r="K54" s="71" t="s">
        <v>130</v>
      </c>
      <c r="L54" s="71">
        <v>0</v>
      </c>
    </row>
    <row r="55" spans="1:12" x14ac:dyDescent="0.35">
      <c r="A55" s="2" t="s">
        <v>124</v>
      </c>
      <c r="B55" s="2">
        <f>Data!Y26</f>
        <v>20314.497071509144</v>
      </c>
      <c r="C55" s="2">
        <f t="shared" si="0"/>
        <v>20318.29</v>
      </c>
      <c r="K55" s="71" t="s">
        <v>131</v>
      </c>
      <c r="L55" s="71">
        <v>0</v>
      </c>
    </row>
    <row r="56" spans="1:12" x14ac:dyDescent="0.35">
      <c r="A56" s="2" t="s">
        <v>125</v>
      </c>
      <c r="B56" s="2">
        <f>Data!AD26</f>
        <v>393092.41343231086</v>
      </c>
      <c r="C56" s="2">
        <f t="shared" si="0"/>
        <v>393090.4</v>
      </c>
      <c r="K56" s="71" t="s">
        <v>132</v>
      </c>
      <c r="L56" s="71">
        <v>0</v>
      </c>
    </row>
    <row r="57" spans="1:12" x14ac:dyDescent="0.35">
      <c r="A57" s="2" t="s">
        <v>126</v>
      </c>
      <c r="B57" s="2" t="e">
        <f>Data!AI26</f>
        <v>#DIV/0!</v>
      </c>
      <c r="C57" s="2">
        <f t="shared" si="0"/>
        <v>0</v>
      </c>
      <c r="K57" s="71" t="s">
        <v>133</v>
      </c>
      <c r="L57" s="71">
        <v>0</v>
      </c>
    </row>
    <row r="58" spans="1:12" x14ac:dyDescent="0.35">
      <c r="A58" s="2" t="s">
        <v>127</v>
      </c>
      <c r="B58" s="2" t="e">
        <f>Data!AN26</f>
        <v>#DIV/0!</v>
      </c>
      <c r="C58" s="2">
        <f t="shared" si="0"/>
        <v>0</v>
      </c>
      <c r="K58" s="71" t="s">
        <v>134</v>
      </c>
      <c r="L58" s="71">
        <v>0</v>
      </c>
    </row>
    <row r="59" spans="1:12" x14ac:dyDescent="0.35">
      <c r="A59" s="2" t="s">
        <v>128</v>
      </c>
      <c r="B59" s="2" t="e">
        <f>Data!AS26</f>
        <v>#DIV/0!</v>
      </c>
      <c r="C59" s="2">
        <f t="shared" si="0"/>
        <v>0</v>
      </c>
      <c r="K59" s="71" t="s">
        <v>135</v>
      </c>
      <c r="L59" s="71">
        <v>0</v>
      </c>
    </row>
    <row r="60" spans="1:12" x14ac:dyDescent="0.35">
      <c r="A60" s="2" t="s">
        <v>129</v>
      </c>
      <c r="B60" s="2" t="e">
        <f>Data!AX26</f>
        <v>#DIV/0!</v>
      </c>
      <c r="C60" s="2">
        <f t="shared" si="0"/>
        <v>0</v>
      </c>
      <c r="K60" s="71" t="s">
        <v>136</v>
      </c>
      <c r="L60" s="71">
        <v>0</v>
      </c>
    </row>
    <row r="61" spans="1:12" x14ac:dyDescent="0.35">
      <c r="A61" s="2" t="s">
        <v>130</v>
      </c>
      <c r="B61" s="2">
        <f>Data!O32</f>
        <v>-13.589516739546035</v>
      </c>
      <c r="C61" s="2">
        <f t="shared" si="0"/>
        <v>0</v>
      </c>
      <c r="K61" s="71" t="s">
        <v>137</v>
      </c>
      <c r="L61" s="71">
        <v>0</v>
      </c>
    </row>
    <row r="62" spans="1:12" x14ac:dyDescent="0.35">
      <c r="A62" s="2" t="s">
        <v>131</v>
      </c>
      <c r="B62" s="2">
        <f>Data!T32</f>
        <v>-10.646391178523222</v>
      </c>
      <c r="C62" s="2">
        <f t="shared" si="0"/>
        <v>0</v>
      </c>
    </row>
    <row r="63" spans="1:12" x14ac:dyDescent="0.35">
      <c r="A63" s="2" t="s">
        <v>132</v>
      </c>
      <c r="B63" s="2">
        <f>Data!Y32</f>
        <v>-10.44441124206246</v>
      </c>
      <c r="C63" s="2">
        <f t="shared" si="0"/>
        <v>0</v>
      </c>
    </row>
    <row r="64" spans="1:12" x14ac:dyDescent="0.35">
      <c r="A64" s="2" t="s">
        <v>133</v>
      </c>
      <c r="B64" s="2">
        <f>Data!AD32</f>
        <v>-7.836256071932425</v>
      </c>
      <c r="C64" s="2">
        <f t="shared" si="0"/>
        <v>0</v>
      </c>
    </row>
    <row r="65" spans="1:3" x14ac:dyDescent="0.35">
      <c r="A65" s="2" t="s">
        <v>134</v>
      </c>
      <c r="B65" s="2" t="e">
        <f>Data!AI32</f>
        <v>#DIV/0!</v>
      </c>
      <c r="C65" s="2">
        <f t="shared" si="0"/>
        <v>0</v>
      </c>
    </row>
    <row r="66" spans="1:3" x14ac:dyDescent="0.35">
      <c r="A66" s="2" t="s">
        <v>135</v>
      </c>
      <c r="B66" s="2" t="e">
        <f>Data!AN32</f>
        <v>#DIV/0!</v>
      </c>
      <c r="C66" s="2">
        <f t="shared" si="0"/>
        <v>0</v>
      </c>
    </row>
    <row r="67" spans="1:3" x14ac:dyDescent="0.35">
      <c r="A67" s="2" t="s">
        <v>136</v>
      </c>
      <c r="B67" s="2" t="e">
        <f>Data!AS32</f>
        <v>#DIV/0!</v>
      </c>
      <c r="C67" s="2">
        <f t="shared" si="0"/>
        <v>0</v>
      </c>
    </row>
    <row r="68" spans="1:3" x14ac:dyDescent="0.35">
      <c r="A68" s="2" t="s">
        <v>137</v>
      </c>
      <c r="B68" s="2" t="e">
        <f>Data!AX32</f>
        <v>#DIV/0!</v>
      </c>
      <c r="C68" s="2">
        <f t="shared" si="0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Calibrate">
                <anchor moveWithCells="1" sizeWithCells="1">
                  <from>
                    <xdr:col>0</xdr:col>
                    <xdr:colOff>215900</xdr:colOff>
                    <xdr:row>2</xdr:row>
                    <xdr:rowOff>88900</xdr:rowOff>
                  </from>
                  <to>
                    <xdr:col>1</xdr:col>
                    <xdr:colOff>698500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ImportCSVFile">
                <anchor moveWithCells="1" sizeWithCells="1">
                  <from>
                    <xdr:col>3</xdr:col>
                    <xdr:colOff>584200</xdr:colOff>
                    <xdr:row>2</xdr:row>
                    <xdr:rowOff>95250</xdr:rowOff>
                  </from>
                  <to>
                    <xdr:col>7</xdr:col>
                    <xdr:colOff>469900</xdr:colOff>
                    <xdr:row>4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ImportCSVFile">
                <anchor moveWithCells="1" sizeWithCells="1">
                  <from>
                    <xdr:col>2</xdr:col>
                    <xdr:colOff>101600</xdr:colOff>
                    <xdr:row>2</xdr:row>
                    <xdr:rowOff>95250</xdr:rowOff>
                  </from>
                  <to>
                    <xdr:col>3</xdr:col>
                    <xdr:colOff>431800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84824-6B67-4211-9FDF-720C72B09C63}">
  <sheetPr codeName="Sheet14"/>
  <dimension ref="A1:G9"/>
  <sheetViews>
    <sheetView workbookViewId="0">
      <selection activeCell="C7" sqref="C7"/>
    </sheetView>
  </sheetViews>
  <sheetFormatPr defaultRowHeight="14.5" x14ac:dyDescent="0.35"/>
  <cols>
    <col min="1" max="1" width="22.453125" style="2" bestFit="1" customWidth="1"/>
    <col min="2" max="2" width="44.1796875" style="2" customWidth="1"/>
    <col min="3" max="3" width="9.54296875" style="2" customWidth="1"/>
    <col min="4" max="16384" width="8.7265625" style="2"/>
  </cols>
  <sheetData>
    <row r="1" spans="1:7" x14ac:dyDescent="0.35">
      <c r="A1" s="3" t="s">
        <v>187</v>
      </c>
      <c r="B1" t="str">
        <f>_xlfn.CONCAT(Connect!$G$1, " ", Connect!$J$1, " ", Connect!$D$1, " ", "save_hw_data")</f>
        <v>v1 2 COM9 save_hw_data</v>
      </c>
    </row>
    <row r="2" spans="1:7" x14ac:dyDescent="0.35">
      <c r="A2" s="3" t="s">
        <v>188</v>
      </c>
      <c r="B2" t="str">
        <f>_xlfn.CONCAT(Connect!$G$1, " ", Connect!$J$1, " ", Connect!$D$1, " ", "send_hw_data")</f>
        <v>v1 2 COM9 send_hw_data</v>
      </c>
    </row>
    <row r="3" spans="1:7" x14ac:dyDescent="0.35">
      <c r="A3" s="121"/>
      <c r="B3" s="121"/>
      <c r="C3" s="4"/>
      <c r="D3" s="4"/>
      <c r="E3" s="4"/>
      <c r="F3" s="4"/>
      <c r="G3" s="4"/>
    </row>
    <row r="4" spans="1:7" x14ac:dyDescent="0.35">
      <c r="A4" s="121"/>
      <c r="B4" s="121"/>
      <c r="C4" s="4"/>
      <c r="D4" s="4"/>
      <c r="E4" s="4"/>
      <c r="F4" s="4"/>
      <c r="G4" s="4"/>
    </row>
    <row r="5" spans="1:7" x14ac:dyDescent="0.35">
      <c r="A5" s="121"/>
      <c r="B5" s="121"/>
      <c r="C5" s="4"/>
      <c r="D5" s="4"/>
      <c r="E5" s="4"/>
      <c r="F5" s="4"/>
      <c r="G5" s="4"/>
    </row>
    <row r="7" spans="1:7" x14ac:dyDescent="0.35">
      <c r="A7" s="3" t="s">
        <v>163</v>
      </c>
      <c r="B7" s="63" t="s">
        <v>164</v>
      </c>
      <c r="C7" s="2">
        <f>VLOOKUP(B7,[1]Internal!L2:M8,2,)</f>
        <v>0</v>
      </c>
    </row>
    <row r="8" spans="1:7" x14ac:dyDescent="0.35">
      <c r="A8" s="3" t="s">
        <v>165</v>
      </c>
      <c r="B8" s="63" t="s">
        <v>166</v>
      </c>
    </row>
    <row r="9" spans="1:7" ht="58" x14ac:dyDescent="0.35">
      <c r="A9" s="64" t="s">
        <v>167</v>
      </c>
      <c r="B9" s="65" t="s">
        <v>168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1]!SaveHwData">
                <anchor moveWithCells="1" sizeWithCells="1">
                  <from>
                    <xdr:col>0</xdr:col>
                    <xdr:colOff>177800</xdr:colOff>
                    <xdr:row>2</xdr:row>
                    <xdr:rowOff>107950</xdr:rowOff>
                  </from>
                  <to>
                    <xdr:col>1</xdr:col>
                    <xdr:colOff>2851150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RunSquidstatCalibrator">
                <anchor moveWithCells="1" sizeWithCells="1">
                  <from>
                    <xdr:col>2</xdr:col>
                    <xdr:colOff>139700</xdr:colOff>
                    <xdr:row>2</xdr:row>
                    <xdr:rowOff>114300</xdr:rowOff>
                  </from>
                  <to>
                    <xdr:col>6</xdr:col>
                    <xdr:colOff>425450</xdr:colOff>
                    <xdr:row>4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6DE1B4-0305-4848-ABD4-4DBBF65D6E5D}">
          <x14:formula1>
            <xm:f>'C:\Users\mattc\GoogleDrive_ASU\SquidstatCalibrator\SquidstatCalibrator\bin\Debug\[SquidstatCalibrator_old.xlsm]Internal'!#REF!</xm:f>
          </x14:formula1>
          <xm:sqref>B7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D1BF6-1572-4331-8CFD-7488DA7D57C5}">
  <sheetPr codeName="Sheet12"/>
  <dimension ref="A1:L33"/>
  <sheetViews>
    <sheetView workbookViewId="0">
      <selection activeCell="F3" sqref="F3"/>
    </sheetView>
  </sheetViews>
  <sheetFormatPr defaultRowHeight="14.5" x14ac:dyDescent="0.35"/>
  <cols>
    <col min="1" max="1" width="16.1796875" bestFit="1" customWidth="1"/>
    <col min="2" max="2" width="10.36328125" customWidth="1"/>
    <col min="3" max="3" width="6.90625" bestFit="1" customWidth="1"/>
    <col min="4" max="5" width="8.7265625" bestFit="1" customWidth="1"/>
    <col min="6" max="6" width="11.26953125" bestFit="1" customWidth="1"/>
    <col min="8" max="8" width="18.08984375" bestFit="1" customWidth="1"/>
    <col min="9" max="9" width="9.54296875" style="11" bestFit="1" customWidth="1"/>
    <col min="10" max="10" width="8.90625" style="54" bestFit="1" customWidth="1"/>
    <col min="11" max="11" width="20.453125" bestFit="1" customWidth="1"/>
    <col min="12" max="12" width="12.54296875" bestFit="1" customWidth="1"/>
  </cols>
  <sheetData>
    <row r="1" spans="1:12" s="1" customFormat="1" ht="15" thickBot="1" x14ac:dyDescent="0.4">
      <c r="A1" s="1" t="s">
        <v>4</v>
      </c>
      <c r="B1" s="1" t="s">
        <v>1</v>
      </c>
      <c r="C1" s="1" t="s">
        <v>66</v>
      </c>
      <c r="D1" s="1" t="s">
        <v>157</v>
      </c>
      <c r="E1" s="1" t="s">
        <v>158</v>
      </c>
      <c r="F1" s="1" t="s">
        <v>159</v>
      </c>
      <c r="G1" s="1" t="s">
        <v>64</v>
      </c>
      <c r="H1" s="1" t="s">
        <v>9</v>
      </c>
      <c r="I1" s="57" t="s">
        <v>88</v>
      </c>
      <c r="J1" s="57" t="s">
        <v>87</v>
      </c>
      <c r="K1" s="1" t="s">
        <v>140</v>
      </c>
      <c r="L1" s="1" t="s">
        <v>156</v>
      </c>
    </row>
    <row r="2" spans="1:12" x14ac:dyDescent="0.35">
      <c r="A2" t="s">
        <v>5</v>
      </c>
      <c r="B2" t="s">
        <v>2</v>
      </c>
      <c r="C2" t="s">
        <v>8</v>
      </c>
      <c r="F2">
        <v>10</v>
      </c>
      <c r="G2">
        <v>0</v>
      </c>
      <c r="H2" t="s">
        <v>67</v>
      </c>
      <c r="I2" s="11">
        <v>-5000</v>
      </c>
      <c r="J2" s="11">
        <v>-32750</v>
      </c>
      <c r="K2" t="s">
        <v>141</v>
      </c>
      <c r="L2">
        <v>32768</v>
      </c>
    </row>
    <row r="3" spans="1:12" x14ac:dyDescent="0.35">
      <c r="A3" t="s">
        <v>6</v>
      </c>
      <c r="B3" t="s">
        <v>3</v>
      </c>
      <c r="C3">
        <v>0</v>
      </c>
      <c r="D3" s="62">
        <f>0.1*1000</f>
        <v>100</v>
      </c>
      <c r="E3">
        <v>1000</v>
      </c>
      <c r="F3">
        <f>IF(Connect!G1=Internal!$A$2,Internal!D3,Internal!E3)</f>
        <v>100</v>
      </c>
      <c r="G3">
        <v>1</v>
      </c>
      <c r="H3" t="s">
        <v>68</v>
      </c>
      <c r="I3" s="11">
        <v>-4500</v>
      </c>
      <c r="J3" s="11">
        <v>-29475</v>
      </c>
      <c r="L3">
        <v>32767</v>
      </c>
    </row>
    <row r="4" spans="1:12" x14ac:dyDescent="0.35">
      <c r="B4" t="s">
        <v>65</v>
      </c>
      <c r="C4">
        <v>1</v>
      </c>
      <c r="D4" s="98">
        <f>0.005*1000</f>
        <v>5</v>
      </c>
      <c r="E4">
        <v>100</v>
      </c>
      <c r="F4">
        <f>IF(Connect!G2=Internal!$A$2,Internal!D4,Internal!E4)</f>
        <v>100</v>
      </c>
      <c r="G4">
        <v>2</v>
      </c>
      <c r="H4" t="s">
        <v>61</v>
      </c>
      <c r="I4" s="11">
        <v>-4000</v>
      </c>
      <c r="J4" s="11">
        <v>-26200</v>
      </c>
    </row>
    <row r="5" spans="1:12" x14ac:dyDescent="0.35">
      <c r="C5">
        <v>2</v>
      </c>
      <c r="D5" s="98">
        <f>0.0002*1000</f>
        <v>0.2</v>
      </c>
      <c r="E5">
        <v>10</v>
      </c>
      <c r="F5">
        <f>IF(Connect!G3=Internal!$A$2,Internal!D5,Internal!E5)</f>
        <v>10</v>
      </c>
      <c r="G5">
        <v>3</v>
      </c>
      <c r="H5" t="s">
        <v>10</v>
      </c>
      <c r="I5" s="11">
        <v>-3500</v>
      </c>
      <c r="J5" s="11">
        <v>-22925</v>
      </c>
    </row>
    <row r="6" spans="1:12" x14ac:dyDescent="0.35">
      <c r="C6">
        <v>3</v>
      </c>
      <c r="D6" s="98">
        <f>0.00001*1000</f>
        <v>0.01</v>
      </c>
      <c r="E6">
        <v>1</v>
      </c>
      <c r="F6">
        <f>IF(Connect!G4=Internal!$A$2,Internal!D6,Internal!E6)</f>
        <v>1</v>
      </c>
      <c r="H6" t="s">
        <v>69</v>
      </c>
      <c r="I6" s="11">
        <v>-3000</v>
      </c>
      <c r="J6" s="11">
        <v>-19650</v>
      </c>
    </row>
    <row r="7" spans="1:12" x14ac:dyDescent="0.35">
      <c r="C7">
        <v>4</v>
      </c>
      <c r="E7" s="62">
        <v>0.1</v>
      </c>
      <c r="F7">
        <f>IF(Connect!G5=Internal!$A$2,Internal!D7,Internal!E7)</f>
        <v>0.1</v>
      </c>
      <c r="H7" t="s">
        <v>0</v>
      </c>
      <c r="I7" s="11">
        <v>-2500</v>
      </c>
      <c r="J7" s="11">
        <v>-16375</v>
      </c>
    </row>
    <row r="8" spans="1:12" x14ac:dyDescent="0.35">
      <c r="C8">
        <v>5</v>
      </c>
      <c r="E8" s="62">
        <v>0.01</v>
      </c>
      <c r="F8">
        <f>IF(Connect!G6=Internal!$A$2,Internal!D8,Internal!E8)</f>
        <v>0.01</v>
      </c>
      <c r="H8" t="s">
        <v>70</v>
      </c>
      <c r="I8" s="11">
        <v>-2000</v>
      </c>
      <c r="J8" s="11">
        <v>-13100</v>
      </c>
    </row>
    <row r="9" spans="1:12" x14ac:dyDescent="0.35">
      <c r="C9">
        <v>6</v>
      </c>
      <c r="E9" s="62">
        <v>1E-3</v>
      </c>
      <c r="F9">
        <f>IF(Connect!G7=Internal!$A$2,Internal!D9,Internal!E9)</f>
        <v>1E-3</v>
      </c>
      <c r="H9" t="s">
        <v>71</v>
      </c>
      <c r="I9" s="11">
        <v>-1500</v>
      </c>
      <c r="J9" s="11">
        <v>-9825</v>
      </c>
    </row>
    <row r="10" spans="1:12" x14ac:dyDescent="0.35">
      <c r="C10">
        <v>7</v>
      </c>
      <c r="E10" s="62">
        <v>1E-4</v>
      </c>
      <c r="F10">
        <f>IF(Connect!G8=Internal!$A$2,Internal!D10,Internal!E10)</f>
        <v>1E-4</v>
      </c>
      <c r="H10" t="s">
        <v>72</v>
      </c>
      <c r="I10" s="11">
        <v>-1000</v>
      </c>
      <c r="J10" s="11">
        <v>-6550</v>
      </c>
    </row>
    <row r="11" spans="1:12" x14ac:dyDescent="0.35">
      <c r="H11" t="s">
        <v>73</v>
      </c>
      <c r="I11" s="11">
        <v>-500</v>
      </c>
      <c r="J11" s="11">
        <v>-3275</v>
      </c>
    </row>
    <row r="12" spans="1:12" x14ac:dyDescent="0.35">
      <c r="H12" t="s">
        <v>74</v>
      </c>
      <c r="I12" s="17">
        <v>0</v>
      </c>
      <c r="J12" s="17">
        <v>0</v>
      </c>
    </row>
    <row r="13" spans="1:12" x14ac:dyDescent="0.35">
      <c r="H13" t="s">
        <v>75</v>
      </c>
      <c r="I13" s="11">
        <v>500</v>
      </c>
      <c r="J13" s="11">
        <v>3275</v>
      </c>
    </row>
    <row r="14" spans="1:12" x14ac:dyDescent="0.35">
      <c r="H14" t="s">
        <v>76</v>
      </c>
      <c r="I14" s="11">
        <v>1000</v>
      </c>
      <c r="J14" s="11">
        <v>6550</v>
      </c>
    </row>
    <row r="15" spans="1:12" x14ac:dyDescent="0.35">
      <c r="H15" t="s">
        <v>77</v>
      </c>
      <c r="I15" s="11">
        <v>1500</v>
      </c>
      <c r="J15" s="11">
        <v>9825</v>
      </c>
    </row>
    <row r="16" spans="1:12" x14ac:dyDescent="0.35">
      <c r="H16" t="s">
        <v>78</v>
      </c>
      <c r="I16" s="11">
        <v>2000</v>
      </c>
      <c r="J16" s="11">
        <v>13100</v>
      </c>
    </row>
    <row r="17" spans="8:10" x14ac:dyDescent="0.35">
      <c r="H17" t="s">
        <v>79</v>
      </c>
      <c r="I17" s="11">
        <v>2500</v>
      </c>
      <c r="J17" s="11">
        <v>16375</v>
      </c>
    </row>
    <row r="18" spans="8:10" x14ac:dyDescent="0.35">
      <c r="H18" t="s">
        <v>80</v>
      </c>
      <c r="I18" s="11">
        <v>3000</v>
      </c>
      <c r="J18" s="11">
        <v>19650</v>
      </c>
    </row>
    <row r="19" spans="8:10" x14ac:dyDescent="0.35">
      <c r="H19" t="s">
        <v>81</v>
      </c>
      <c r="I19" s="11">
        <v>3500</v>
      </c>
      <c r="J19" s="11">
        <v>22925</v>
      </c>
    </row>
    <row r="20" spans="8:10" x14ac:dyDescent="0.35">
      <c r="H20" t="s">
        <v>82</v>
      </c>
      <c r="I20" s="11">
        <v>4000</v>
      </c>
      <c r="J20" s="11">
        <v>26200</v>
      </c>
    </row>
    <row r="21" spans="8:10" x14ac:dyDescent="0.35">
      <c r="H21" t="s">
        <v>83</v>
      </c>
      <c r="I21" s="11">
        <v>4500</v>
      </c>
      <c r="J21" s="11">
        <v>29475</v>
      </c>
    </row>
    <row r="22" spans="8:10" x14ac:dyDescent="0.35">
      <c r="H22" t="s">
        <v>84</v>
      </c>
      <c r="I22" s="22">
        <v>5000</v>
      </c>
      <c r="J22" s="22">
        <v>32750</v>
      </c>
    </row>
    <row r="23" spans="8:10" x14ac:dyDescent="0.35">
      <c r="H23" t="s">
        <v>85</v>
      </c>
    </row>
    <row r="24" spans="8:10" x14ac:dyDescent="0.35">
      <c r="H24" t="s">
        <v>144</v>
      </c>
      <c r="I24" s="31"/>
      <c r="J24" s="55"/>
    </row>
    <row r="25" spans="8:10" x14ac:dyDescent="0.35">
      <c r="H25" t="s">
        <v>145</v>
      </c>
    </row>
    <row r="26" spans="8:10" x14ac:dyDescent="0.35">
      <c r="H26" t="s">
        <v>146</v>
      </c>
    </row>
    <row r="27" spans="8:10" x14ac:dyDescent="0.35">
      <c r="H27" t="s">
        <v>147</v>
      </c>
      <c r="I27" s="31"/>
      <c r="J27" s="55"/>
    </row>
    <row r="28" spans="8:10" x14ac:dyDescent="0.35">
      <c r="H28" t="s">
        <v>148</v>
      </c>
    </row>
    <row r="29" spans="8:10" x14ac:dyDescent="0.35">
      <c r="H29" t="s">
        <v>149</v>
      </c>
    </row>
    <row r="30" spans="8:10" x14ac:dyDescent="0.35">
      <c r="H30" t="s">
        <v>150</v>
      </c>
      <c r="I30" s="31"/>
      <c r="J30" s="55"/>
    </row>
    <row r="31" spans="8:10" x14ac:dyDescent="0.35">
      <c r="H31" t="s">
        <v>151</v>
      </c>
    </row>
    <row r="33" spans="9:10" x14ac:dyDescent="0.35">
      <c r="I33" s="36"/>
      <c r="J33" s="5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DC3F1C1-674C-46A2-91EB-68C5DCD98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291</vt:i4>
      </vt:variant>
    </vt:vector>
  </HeadingPairs>
  <TitlesOfParts>
    <vt:vector size="305" baseType="lpstr">
      <vt:lpstr>Connect</vt:lpstr>
      <vt:lpstr>Data</vt:lpstr>
      <vt:lpstr>Voltage</vt:lpstr>
      <vt:lpstr>Range 0</vt:lpstr>
      <vt:lpstr>Range 1</vt:lpstr>
      <vt:lpstr>Range 2</vt:lpstr>
      <vt:lpstr>Range 3</vt:lpstr>
      <vt:lpstr>Range 4</vt:lpstr>
      <vt:lpstr>Range 5</vt:lpstr>
      <vt:lpstr>Range 6</vt:lpstr>
      <vt:lpstr>Range 7</vt:lpstr>
      <vt:lpstr>Calibrate</vt:lpstr>
      <vt:lpstr>Hardware Data</vt:lpstr>
      <vt:lpstr>Internal</vt:lpstr>
      <vt:lpstr>CUR_RNG_R0</vt:lpstr>
      <vt:lpstr>CUR_RNG_R1</vt:lpstr>
      <vt:lpstr>CUR_RNG_R2</vt:lpstr>
      <vt:lpstr>CUR_RNG_R3</vt:lpstr>
      <vt:lpstr>CUR_RNG_R4</vt:lpstr>
      <vt:lpstr>CUR_RNG_R5</vt:lpstr>
      <vt:lpstr>CUR_RNG_R6</vt:lpstr>
      <vt:lpstr>CUR_RNG_R7</vt:lpstr>
      <vt:lpstr>Calibrate!ExternalData_1</vt:lpstr>
      <vt:lpstr>'Range 1'!ExternalData_1</vt:lpstr>
      <vt:lpstr>'Range 2'!ExternalData_1</vt:lpstr>
      <vt:lpstr>'Range 3'!ExternalData_1</vt:lpstr>
      <vt:lpstr>Voltage!ExternalData_1</vt:lpstr>
      <vt:lpstr>Calibrate!ExternalData_10</vt:lpstr>
      <vt:lpstr>'Range 0'!ExternalData_10</vt:lpstr>
      <vt:lpstr>'Range 1'!ExternalData_10</vt:lpstr>
      <vt:lpstr>'Range 2'!ExternalData_10</vt:lpstr>
      <vt:lpstr>Voltage!ExternalData_100</vt:lpstr>
      <vt:lpstr>Calibrate!ExternalData_11</vt:lpstr>
      <vt:lpstr>'Range 0'!ExternalData_11</vt:lpstr>
      <vt:lpstr>'Range 1'!ExternalData_11</vt:lpstr>
      <vt:lpstr>'Range 2'!ExternalData_11</vt:lpstr>
      <vt:lpstr>'Range 3'!ExternalData_11</vt:lpstr>
      <vt:lpstr>Calibrate!ExternalData_12</vt:lpstr>
      <vt:lpstr>'Range 0'!ExternalData_12</vt:lpstr>
      <vt:lpstr>'Range 1'!ExternalData_12</vt:lpstr>
      <vt:lpstr>'Range 2'!ExternalData_12</vt:lpstr>
      <vt:lpstr>'Range 3'!ExternalData_12</vt:lpstr>
      <vt:lpstr>Calibrate!ExternalData_13</vt:lpstr>
      <vt:lpstr>'Range 0'!ExternalData_13</vt:lpstr>
      <vt:lpstr>'Range 1'!ExternalData_13</vt:lpstr>
      <vt:lpstr>'Range 2'!ExternalData_13</vt:lpstr>
      <vt:lpstr>'Range 3'!ExternalData_13</vt:lpstr>
      <vt:lpstr>Calibrate!ExternalData_14</vt:lpstr>
      <vt:lpstr>'Range 0'!ExternalData_14</vt:lpstr>
      <vt:lpstr>'Range 1'!ExternalData_14</vt:lpstr>
      <vt:lpstr>'Range 2'!ExternalData_14</vt:lpstr>
      <vt:lpstr>'Range 3'!ExternalData_14</vt:lpstr>
      <vt:lpstr>Calibrate!ExternalData_15</vt:lpstr>
      <vt:lpstr>'Range 0'!ExternalData_15</vt:lpstr>
      <vt:lpstr>'Range 1'!ExternalData_15</vt:lpstr>
      <vt:lpstr>'Range 2'!ExternalData_15</vt:lpstr>
      <vt:lpstr>'Range 3'!ExternalData_15</vt:lpstr>
      <vt:lpstr>'Range 0'!ExternalData_16</vt:lpstr>
      <vt:lpstr>'Range 1'!ExternalData_16</vt:lpstr>
      <vt:lpstr>'Range 2'!ExternalData_16</vt:lpstr>
      <vt:lpstr>'Range 3'!ExternalData_16</vt:lpstr>
      <vt:lpstr>'Range 0'!ExternalData_17</vt:lpstr>
      <vt:lpstr>'Range 1'!ExternalData_17</vt:lpstr>
      <vt:lpstr>'Range 2'!ExternalData_17</vt:lpstr>
      <vt:lpstr>'Range 3'!ExternalData_17</vt:lpstr>
      <vt:lpstr>Voltage!ExternalData_17</vt:lpstr>
      <vt:lpstr>'Range 0'!ExternalData_18</vt:lpstr>
      <vt:lpstr>'Range 1'!ExternalData_18</vt:lpstr>
      <vt:lpstr>'Range 2'!ExternalData_18</vt:lpstr>
      <vt:lpstr>'Range 3'!ExternalData_18</vt:lpstr>
      <vt:lpstr>Voltage!ExternalData_18</vt:lpstr>
      <vt:lpstr>'Range 0'!ExternalData_19</vt:lpstr>
      <vt:lpstr>'Range 1'!ExternalData_19</vt:lpstr>
      <vt:lpstr>'Range 2'!ExternalData_19</vt:lpstr>
      <vt:lpstr>'Range 3'!ExternalData_19</vt:lpstr>
      <vt:lpstr>Voltage!ExternalData_19</vt:lpstr>
      <vt:lpstr>Calibrate!ExternalData_2</vt:lpstr>
      <vt:lpstr>'Range 0'!ExternalData_2</vt:lpstr>
      <vt:lpstr>'Range 1'!ExternalData_2</vt:lpstr>
      <vt:lpstr>'Range 2'!ExternalData_2</vt:lpstr>
      <vt:lpstr>'Range 3'!ExternalData_2</vt:lpstr>
      <vt:lpstr>Voltage!ExternalData_2</vt:lpstr>
      <vt:lpstr>'Range 0'!ExternalData_20</vt:lpstr>
      <vt:lpstr>'Range 1'!ExternalData_20</vt:lpstr>
      <vt:lpstr>'Range 2'!ExternalData_20</vt:lpstr>
      <vt:lpstr>'Range 3'!ExternalData_20</vt:lpstr>
      <vt:lpstr>Voltage!ExternalData_20</vt:lpstr>
      <vt:lpstr>'Range 0'!ExternalData_21</vt:lpstr>
      <vt:lpstr>'Range 1'!ExternalData_21</vt:lpstr>
      <vt:lpstr>'Range 2'!ExternalData_21</vt:lpstr>
      <vt:lpstr>'Range 3'!ExternalData_21</vt:lpstr>
      <vt:lpstr>Voltage!ExternalData_21</vt:lpstr>
      <vt:lpstr>'Range 0'!ExternalData_22</vt:lpstr>
      <vt:lpstr>'Range 1'!ExternalData_22</vt:lpstr>
      <vt:lpstr>'Range 2'!ExternalData_22</vt:lpstr>
      <vt:lpstr>'Range 3'!ExternalData_22</vt:lpstr>
      <vt:lpstr>Voltage!ExternalData_22</vt:lpstr>
      <vt:lpstr>'Range 0'!ExternalData_23</vt:lpstr>
      <vt:lpstr>'Range 1'!ExternalData_23</vt:lpstr>
      <vt:lpstr>'Range 2'!ExternalData_23</vt:lpstr>
      <vt:lpstr>'Range 3'!ExternalData_23</vt:lpstr>
      <vt:lpstr>Voltage!ExternalData_23</vt:lpstr>
      <vt:lpstr>'Range 0'!ExternalData_24</vt:lpstr>
      <vt:lpstr>'Range 1'!ExternalData_24</vt:lpstr>
      <vt:lpstr>'Range 2'!ExternalData_24</vt:lpstr>
      <vt:lpstr>'Range 3'!ExternalData_24</vt:lpstr>
      <vt:lpstr>Voltage!ExternalData_24</vt:lpstr>
      <vt:lpstr>'Range 0'!ExternalData_25</vt:lpstr>
      <vt:lpstr>'Range 1'!ExternalData_25</vt:lpstr>
      <vt:lpstr>'Range 2'!ExternalData_25</vt:lpstr>
      <vt:lpstr>'Range 3'!ExternalData_25</vt:lpstr>
      <vt:lpstr>Voltage!ExternalData_25</vt:lpstr>
      <vt:lpstr>'Range 0'!ExternalData_26</vt:lpstr>
      <vt:lpstr>'Range 1'!ExternalData_26</vt:lpstr>
      <vt:lpstr>'Range 2'!ExternalData_26</vt:lpstr>
      <vt:lpstr>'Range 3'!ExternalData_26</vt:lpstr>
      <vt:lpstr>Voltage!ExternalData_26</vt:lpstr>
      <vt:lpstr>'Range 0'!ExternalData_27</vt:lpstr>
      <vt:lpstr>'Range 1'!ExternalData_27</vt:lpstr>
      <vt:lpstr>'Range 2'!ExternalData_27</vt:lpstr>
      <vt:lpstr>'Range 3'!ExternalData_27</vt:lpstr>
      <vt:lpstr>Voltage!ExternalData_27</vt:lpstr>
      <vt:lpstr>'Range 0'!ExternalData_28</vt:lpstr>
      <vt:lpstr>'Range 1'!ExternalData_28</vt:lpstr>
      <vt:lpstr>'Range 2'!ExternalData_28</vt:lpstr>
      <vt:lpstr>'Range 3'!ExternalData_28</vt:lpstr>
      <vt:lpstr>Voltage!ExternalData_28</vt:lpstr>
      <vt:lpstr>'Range 0'!ExternalData_29</vt:lpstr>
      <vt:lpstr>'Range 1'!ExternalData_29</vt:lpstr>
      <vt:lpstr>'Range 2'!ExternalData_29</vt:lpstr>
      <vt:lpstr>'Range 3'!ExternalData_29</vt:lpstr>
      <vt:lpstr>Voltage!ExternalData_29</vt:lpstr>
      <vt:lpstr>Calibrate!ExternalData_3</vt:lpstr>
      <vt:lpstr>'Range 0'!ExternalData_3</vt:lpstr>
      <vt:lpstr>'Range 1'!ExternalData_3</vt:lpstr>
      <vt:lpstr>'Range 2'!ExternalData_3</vt:lpstr>
      <vt:lpstr>'Range 3'!ExternalData_3</vt:lpstr>
      <vt:lpstr>Voltage!ExternalData_3</vt:lpstr>
      <vt:lpstr>'Range 0'!ExternalData_30</vt:lpstr>
      <vt:lpstr>'Range 1'!ExternalData_30</vt:lpstr>
      <vt:lpstr>'Range 2'!ExternalData_30</vt:lpstr>
      <vt:lpstr>'Range 3'!ExternalData_30</vt:lpstr>
      <vt:lpstr>Voltage!ExternalData_30</vt:lpstr>
      <vt:lpstr>'Range 0'!ExternalData_31</vt:lpstr>
      <vt:lpstr>'Range 1'!ExternalData_31</vt:lpstr>
      <vt:lpstr>'Range 2'!ExternalData_31</vt:lpstr>
      <vt:lpstr>'Range 3'!ExternalData_31</vt:lpstr>
      <vt:lpstr>Voltage!ExternalData_31</vt:lpstr>
      <vt:lpstr>'Range 0'!ExternalData_32</vt:lpstr>
      <vt:lpstr>'Range 2'!ExternalData_32</vt:lpstr>
      <vt:lpstr>'Range 3'!ExternalData_32</vt:lpstr>
      <vt:lpstr>Voltage!ExternalData_32</vt:lpstr>
      <vt:lpstr>'Range 0'!ExternalData_33</vt:lpstr>
      <vt:lpstr>'Range 2'!ExternalData_33</vt:lpstr>
      <vt:lpstr>'Range 3'!ExternalData_33</vt:lpstr>
      <vt:lpstr>Voltage!ExternalData_33</vt:lpstr>
      <vt:lpstr>'Range 0'!ExternalData_34</vt:lpstr>
      <vt:lpstr>'Range 2'!ExternalData_34</vt:lpstr>
      <vt:lpstr>'Range 3'!ExternalData_34</vt:lpstr>
      <vt:lpstr>Voltage!ExternalData_34</vt:lpstr>
      <vt:lpstr>'Range 0'!ExternalData_35</vt:lpstr>
      <vt:lpstr>'Range 2'!ExternalData_35</vt:lpstr>
      <vt:lpstr>'Range 3'!ExternalData_35</vt:lpstr>
      <vt:lpstr>Voltage!ExternalData_35</vt:lpstr>
      <vt:lpstr>'Range 0'!ExternalData_36</vt:lpstr>
      <vt:lpstr>'Range 2'!ExternalData_36</vt:lpstr>
      <vt:lpstr>'Range 3'!ExternalData_36</vt:lpstr>
      <vt:lpstr>Voltage!ExternalData_36</vt:lpstr>
      <vt:lpstr>'Range 0'!ExternalData_37</vt:lpstr>
      <vt:lpstr>'Range 3'!ExternalData_37</vt:lpstr>
      <vt:lpstr>Voltage!ExternalData_37</vt:lpstr>
      <vt:lpstr>'Range 0'!ExternalData_38</vt:lpstr>
      <vt:lpstr>'Range 3'!ExternalData_38</vt:lpstr>
      <vt:lpstr>Voltage!ExternalData_38</vt:lpstr>
      <vt:lpstr>'Range 0'!ExternalData_39</vt:lpstr>
      <vt:lpstr>'Range 3'!ExternalData_39</vt:lpstr>
      <vt:lpstr>Voltage!ExternalData_39</vt:lpstr>
      <vt:lpstr>Calibrate!ExternalData_4</vt:lpstr>
      <vt:lpstr>'Range 0'!ExternalData_4</vt:lpstr>
      <vt:lpstr>'Range 1'!ExternalData_4</vt:lpstr>
      <vt:lpstr>'Range 2'!ExternalData_4</vt:lpstr>
      <vt:lpstr>'Range 3'!ExternalData_4</vt:lpstr>
      <vt:lpstr>Voltage!ExternalData_4</vt:lpstr>
      <vt:lpstr>'Range 0'!ExternalData_40</vt:lpstr>
      <vt:lpstr>'Range 3'!ExternalData_40</vt:lpstr>
      <vt:lpstr>Voltage!ExternalData_40</vt:lpstr>
      <vt:lpstr>'Range 0'!ExternalData_41</vt:lpstr>
      <vt:lpstr>'Range 3'!ExternalData_41</vt:lpstr>
      <vt:lpstr>Voltage!ExternalData_41</vt:lpstr>
      <vt:lpstr>'Range 0'!ExternalData_42</vt:lpstr>
      <vt:lpstr>'Range 3'!ExternalData_42</vt:lpstr>
      <vt:lpstr>Voltage!ExternalData_42</vt:lpstr>
      <vt:lpstr>'Range 0'!ExternalData_43</vt:lpstr>
      <vt:lpstr>'Range 3'!ExternalData_43</vt:lpstr>
      <vt:lpstr>Voltage!ExternalData_43</vt:lpstr>
      <vt:lpstr>'Range 0'!ExternalData_44</vt:lpstr>
      <vt:lpstr>'Range 3'!ExternalData_44</vt:lpstr>
      <vt:lpstr>Voltage!ExternalData_44</vt:lpstr>
      <vt:lpstr>'Range 0'!ExternalData_45</vt:lpstr>
      <vt:lpstr>'Range 3'!ExternalData_45</vt:lpstr>
      <vt:lpstr>Voltage!ExternalData_45</vt:lpstr>
      <vt:lpstr>'Range 0'!ExternalData_46</vt:lpstr>
      <vt:lpstr>'Range 3'!ExternalData_46</vt:lpstr>
      <vt:lpstr>Voltage!ExternalData_46</vt:lpstr>
      <vt:lpstr>'Range 0'!ExternalData_47</vt:lpstr>
      <vt:lpstr>'Range 3'!ExternalData_47</vt:lpstr>
      <vt:lpstr>Voltage!ExternalData_47</vt:lpstr>
      <vt:lpstr>'Range 0'!ExternalData_48</vt:lpstr>
      <vt:lpstr>'Range 3'!ExternalData_48</vt:lpstr>
      <vt:lpstr>Voltage!ExternalData_48</vt:lpstr>
      <vt:lpstr>'Range 0'!ExternalData_49</vt:lpstr>
      <vt:lpstr>'Range 3'!ExternalData_49</vt:lpstr>
      <vt:lpstr>Voltage!ExternalData_49</vt:lpstr>
      <vt:lpstr>Calibrate!ExternalData_5</vt:lpstr>
      <vt:lpstr>'Range 0'!ExternalData_5</vt:lpstr>
      <vt:lpstr>'Range 1'!ExternalData_5</vt:lpstr>
      <vt:lpstr>'Range 2'!ExternalData_5</vt:lpstr>
      <vt:lpstr>'Range 3'!ExternalData_5</vt:lpstr>
      <vt:lpstr>Voltage!ExternalData_5</vt:lpstr>
      <vt:lpstr>'Range 0'!ExternalData_50</vt:lpstr>
      <vt:lpstr>'Range 3'!ExternalData_50</vt:lpstr>
      <vt:lpstr>Voltage!ExternalData_50</vt:lpstr>
      <vt:lpstr>'Range 0'!ExternalData_51</vt:lpstr>
      <vt:lpstr>'Range 3'!ExternalData_51</vt:lpstr>
      <vt:lpstr>Voltage!ExternalData_51</vt:lpstr>
      <vt:lpstr>'Range 0'!ExternalData_52</vt:lpstr>
      <vt:lpstr>'Range 3'!ExternalData_52</vt:lpstr>
      <vt:lpstr>Voltage!ExternalData_52</vt:lpstr>
      <vt:lpstr>'Range 0'!ExternalData_53</vt:lpstr>
      <vt:lpstr>'Range 3'!ExternalData_53</vt:lpstr>
      <vt:lpstr>Voltage!ExternalData_53</vt:lpstr>
      <vt:lpstr>'Range 0'!ExternalData_54</vt:lpstr>
      <vt:lpstr>Voltage!ExternalData_54</vt:lpstr>
      <vt:lpstr>'Range 0'!ExternalData_55</vt:lpstr>
      <vt:lpstr>Voltage!ExternalData_55</vt:lpstr>
      <vt:lpstr>Voltage!ExternalData_56</vt:lpstr>
      <vt:lpstr>Voltage!ExternalData_57</vt:lpstr>
      <vt:lpstr>Voltage!ExternalData_58</vt:lpstr>
      <vt:lpstr>Voltage!ExternalData_59</vt:lpstr>
      <vt:lpstr>Calibrate!ExternalData_6</vt:lpstr>
      <vt:lpstr>'Range 0'!ExternalData_6</vt:lpstr>
      <vt:lpstr>'Range 1'!ExternalData_6</vt:lpstr>
      <vt:lpstr>'Range 2'!ExternalData_6</vt:lpstr>
      <vt:lpstr>'Range 3'!ExternalData_6</vt:lpstr>
      <vt:lpstr>Voltage!ExternalData_6</vt:lpstr>
      <vt:lpstr>Voltage!ExternalData_60</vt:lpstr>
      <vt:lpstr>Voltage!ExternalData_61</vt:lpstr>
      <vt:lpstr>Voltage!ExternalData_62</vt:lpstr>
      <vt:lpstr>Voltage!ExternalData_63</vt:lpstr>
      <vt:lpstr>Voltage!ExternalData_64</vt:lpstr>
      <vt:lpstr>Voltage!ExternalData_65</vt:lpstr>
      <vt:lpstr>Voltage!ExternalData_66</vt:lpstr>
      <vt:lpstr>Voltage!ExternalData_67</vt:lpstr>
      <vt:lpstr>Voltage!ExternalData_68</vt:lpstr>
      <vt:lpstr>Voltage!ExternalData_69</vt:lpstr>
      <vt:lpstr>Calibrate!ExternalData_7</vt:lpstr>
      <vt:lpstr>'Range 0'!ExternalData_7</vt:lpstr>
      <vt:lpstr>'Range 1'!ExternalData_7</vt:lpstr>
      <vt:lpstr>'Range 2'!ExternalData_7</vt:lpstr>
      <vt:lpstr>'Range 3'!ExternalData_7</vt:lpstr>
      <vt:lpstr>Voltage!ExternalData_7</vt:lpstr>
      <vt:lpstr>Voltage!ExternalData_70</vt:lpstr>
      <vt:lpstr>Voltage!ExternalData_71</vt:lpstr>
      <vt:lpstr>Voltage!ExternalData_72</vt:lpstr>
      <vt:lpstr>Voltage!ExternalData_73</vt:lpstr>
      <vt:lpstr>Voltage!ExternalData_74</vt:lpstr>
      <vt:lpstr>Voltage!ExternalData_75</vt:lpstr>
      <vt:lpstr>Voltage!ExternalData_76</vt:lpstr>
      <vt:lpstr>Voltage!ExternalData_77</vt:lpstr>
      <vt:lpstr>Voltage!ExternalData_78</vt:lpstr>
      <vt:lpstr>Voltage!ExternalData_79</vt:lpstr>
      <vt:lpstr>Calibrate!ExternalData_8</vt:lpstr>
      <vt:lpstr>'Range 0'!ExternalData_8</vt:lpstr>
      <vt:lpstr>'Range 1'!ExternalData_8</vt:lpstr>
      <vt:lpstr>'Range 2'!ExternalData_8</vt:lpstr>
      <vt:lpstr>'Range 3'!ExternalData_8</vt:lpstr>
      <vt:lpstr>Voltage!ExternalData_8</vt:lpstr>
      <vt:lpstr>Voltage!ExternalData_80</vt:lpstr>
      <vt:lpstr>Voltage!ExternalData_81</vt:lpstr>
      <vt:lpstr>Voltage!ExternalData_82</vt:lpstr>
      <vt:lpstr>Voltage!ExternalData_83</vt:lpstr>
      <vt:lpstr>Voltage!ExternalData_84</vt:lpstr>
      <vt:lpstr>Voltage!ExternalData_85</vt:lpstr>
      <vt:lpstr>Voltage!ExternalData_86</vt:lpstr>
      <vt:lpstr>Voltage!ExternalData_87</vt:lpstr>
      <vt:lpstr>Voltage!ExternalData_88</vt:lpstr>
      <vt:lpstr>Voltage!ExternalData_89</vt:lpstr>
      <vt:lpstr>Calibrate!ExternalData_9</vt:lpstr>
      <vt:lpstr>'Range 0'!ExternalData_9</vt:lpstr>
      <vt:lpstr>'Range 1'!ExternalData_9</vt:lpstr>
      <vt:lpstr>'Range 2'!ExternalData_9</vt:lpstr>
      <vt:lpstr>'Range 3'!ExternalData_9</vt:lpstr>
      <vt:lpstr>Voltage!ExternalData_90</vt:lpstr>
      <vt:lpstr>Voltage!ExternalData_91</vt:lpstr>
      <vt:lpstr>Voltage!ExternalData_92</vt:lpstr>
      <vt:lpstr>Voltage!ExternalData_93</vt:lpstr>
      <vt:lpstr>Voltage!ExternalData_94</vt:lpstr>
      <vt:lpstr>Voltage!ExternalData_95</vt:lpstr>
      <vt:lpstr>Voltage!ExternalData_96</vt:lpstr>
      <vt:lpstr>Voltage!ExternalData_97</vt:lpstr>
      <vt:lpstr>Voltage!ExternalData_98</vt:lpstr>
      <vt:lpstr>Voltage!ExternalData_99</vt:lpstr>
      <vt:lpstr>INT16_MAX</vt:lpstr>
      <vt:lpstr>INT16_MIN</vt:lpstr>
      <vt:lpstr>VOLT_RNG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Sclafani</dc:creator>
  <cp:lastModifiedBy>Matthew Sclafani</cp:lastModifiedBy>
  <dcterms:created xsi:type="dcterms:W3CDTF">2017-10-17T17:25:27Z</dcterms:created>
  <dcterms:modified xsi:type="dcterms:W3CDTF">2017-11-11T02:51:49Z</dcterms:modified>
</cp:coreProperties>
</file>