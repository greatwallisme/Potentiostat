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0.xml" ContentType="application/vnd.openxmlformats-officedocument.drawing+xml"/>
  <Override PartName="/xl/ctrlProps/ctrlProp19.xml" ContentType="application/vnd.ms-excel.controlproperties+xml"/>
  <Override PartName="/xl/queryTables/queryTable541.xml" ContentType="application/vnd.openxmlformats-officedocument.spreadsheetml.queryTable+xml"/>
  <Override PartName="/xl/drawings/drawing11.xml" ContentType="application/vnd.openxmlformats-officedocument.drawing+xml"/>
  <Override PartName="/xl/ctrlProps/ctrlProp20.xml" ContentType="application/vnd.ms-excel.controlproperties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drawings/drawing12.xml" ContentType="application/vnd.openxmlformats-officedocument.drawing+xml"/>
  <Override PartName="/xl/ctrlProps/ctrlProp21.xml" ContentType="application/vnd.ms-excel.controlproperties+xml"/>
  <Override PartName="/xl/queryTables/queryTable544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3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drawings/drawing14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otentiostat\SquidstatCalibrator\bin\Debug\"/>
    </mc:Choice>
  </mc:AlternateContent>
  <bookViews>
    <workbookView xWindow="0" yWindow="0" windowWidth="23040" windowHeight="8172" tabRatio="898" activeTab="15" xr2:uid="{00000000-000D-0000-FFFF-FFFF00000000}"/>
  </bookViews>
  <sheets>
    <sheet name="Connect" sheetId="10" r:id="rId1"/>
    <sheet name="Data" sheetId="1" r:id="rId2"/>
    <sheet name="Voltage" sheetId="2" r:id="rId3"/>
    <sheet name="Range 0" sheetId="12" r:id="rId4"/>
    <sheet name="Range 1" sheetId="13" r:id="rId5"/>
    <sheet name="Range 2" sheetId="14" r:id="rId6"/>
    <sheet name="Range 3" sheetId="15" r:id="rId7"/>
    <sheet name="Range 4" sheetId="16" r:id="rId8"/>
    <sheet name="Range 5" sheetId="17" r:id="rId9"/>
    <sheet name="Range 6" sheetId="18" r:id="rId10"/>
    <sheet name="Range 7" sheetId="19" r:id="rId11"/>
    <sheet name="HF phase angle" sheetId="23" r:id="rId12"/>
    <sheet name="DC gain" sheetId="24" r:id="rId13"/>
    <sheet name="HF gain" sheetId="25" r:id="rId14"/>
    <sheet name="Calibrate" sheetId="21" r:id="rId15"/>
    <sheet name="Hardware Data" sheetId="22" r:id="rId16"/>
    <sheet name="Internal" sheetId="11" r:id="rId17"/>
  </sheets>
  <externalReferences>
    <externalReference r:id="rId18"/>
  </externalReferences>
  <definedNames>
    <definedName name="CUR_RNG_R0" localSheetId="12">[1]Internal!$F$3</definedName>
    <definedName name="CUR_RNG_R0" localSheetId="13">[1]Internal!$F$3</definedName>
    <definedName name="CUR_RNG_R0" localSheetId="11">[1]Internal!$F$3</definedName>
    <definedName name="CUR_RNG_R0">Internal!$F$3</definedName>
    <definedName name="CUR_RNG_R1" localSheetId="12">[1]Internal!$F$4</definedName>
    <definedName name="CUR_RNG_R1" localSheetId="13">[1]Internal!$F$4</definedName>
    <definedName name="CUR_RNG_R1" localSheetId="11">[1]Internal!$F$4</definedName>
    <definedName name="CUR_RNG_R1">Internal!$F$4</definedName>
    <definedName name="CUR_RNG_R2" localSheetId="12">[1]Internal!$F$5</definedName>
    <definedName name="CUR_RNG_R2" localSheetId="13">[1]Internal!$F$5</definedName>
    <definedName name="CUR_RNG_R2" localSheetId="11">[1]Internal!$F$5</definedName>
    <definedName name="CUR_RNG_R2">Internal!$F$5</definedName>
    <definedName name="CUR_RNG_R3" localSheetId="12">[1]Internal!$F$6</definedName>
    <definedName name="CUR_RNG_R3" localSheetId="13">[1]Internal!$F$6</definedName>
    <definedName name="CUR_RNG_R3" localSheetId="11">[1]Internal!$F$6</definedName>
    <definedName name="CUR_RNG_R3">Internal!$F$6</definedName>
    <definedName name="CUR_RNG_R4">Internal!$F$7</definedName>
    <definedName name="CUR_RNG_R5">Internal!$F$8</definedName>
    <definedName name="CUR_RNG_R6">Internal!$F$9</definedName>
    <definedName name="CUR_RNG_R7">Internal!$F$10</definedName>
    <definedName name="ExternalData_1" localSheetId="14">Calibrate!$L$2:$L$65</definedName>
    <definedName name="ExternalData_1" localSheetId="12">'DC gain'!$B$2:$I$122</definedName>
    <definedName name="ExternalData_1" localSheetId="13">'HF gain'!$B$2:$I$892</definedName>
    <definedName name="ExternalData_1" localSheetId="11">'HF phase angle'!$B$2:$I$122</definedName>
    <definedName name="ExternalData_1" localSheetId="3">'Range 0'!#REF!</definedName>
    <definedName name="ExternalData_1" localSheetId="4">'Range 1'!$L$1:$M$22</definedName>
    <definedName name="ExternalData_1" localSheetId="5">'Range 2'!$L$1:$M$22</definedName>
    <definedName name="ExternalData_1" localSheetId="6">'Range 3'!$L$1:$M$22</definedName>
    <definedName name="ExternalData_1" localSheetId="7">'Range 4'!$L$1:$M$21</definedName>
    <definedName name="ExternalData_1" localSheetId="8">'Range 5'!$L$1:$M$21</definedName>
    <definedName name="ExternalData_1" localSheetId="9">'Range 6'!$L$1:$M$22</definedName>
    <definedName name="ExternalData_1" localSheetId="10">'Range 7'!$L$1:$M$22</definedName>
    <definedName name="ExternalData_1" localSheetId="2">Voltage!$L$1:$O$22</definedName>
    <definedName name="ExternalData_10" localSheetId="14">Calibrate!$L$2:$L$65</definedName>
    <definedName name="ExternalData_10" localSheetId="3">'Range 0'!$L$1:$M$22</definedName>
    <definedName name="ExternalData_10" localSheetId="4">'Range 1'!$L$1:$M$22</definedName>
    <definedName name="ExternalData_10" localSheetId="5">'Range 2'!$L$1:$M$23</definedName>
    <definedName name="ExternalData_100" localSheetId="3">'Range 0'!$L$1:$M$22</definedName>
    <definedName name="ExternalData_100" localSheetId="6">'Range 3'!$L$1:$M$22</definedName>
    <definedName name="ExternalData_100" localSheetId="2">Voltage!$L$1:$O$22</definedName>
    <definedName name="ExternalData_101" localSheetId="3">'Range 0'!$L$1:$M$22</definedName>
    <definedName name="ExternalData_101" localSheetId="6">'Range 3'!$L$1:$M$22</definedName>
    <definedName name="ExternalData_101" localSheetId="2">Voltage!$L$1:$O$22</definedName>
    <definedName name="ExternalData_102" localSheetId="3">'Range 0'!$L$1:$M$22</definedName>
    <definedName name="ExternalData_102" localSheetId="6">'Range 3'!$L$1:$M$22</definedName>
    <definedName name="ExternalData_102" localSheetId="2">Voltage!$L$1:$O$22</definedName>
    <definedName name="ExternalData_103" localSheetId="3">'Range 0'!$L$1:$M$22</definedName>
    <definedName name="ExternalData_103" localSheetId="6">'Range 3'!$L$1:$M$22</definedName>
    <definedName name="ExternalData_103" localSheetId="2">Voltage!$L$1:$O$22</definedName>
    <definedName name="ExternalData_104" localSheetId="3">'Range 0'!$L$1:$M$22</definedName>
    <definedName name="ExternalData_104" localSheetId="2">Voltage!$L$1:$O$22</definedName>
    <definedName name="ExternalData_105" localSheetId="3">'Range 0'!$L$1:$M$22</definedName>
    <definedName name="ExternalData_105" localSheetId="2">Voltage!$L$1:$O$22</definedName>
    <definedName name="ExternalData_106" localSheetId="3">'Range 0'!$L$1:$M$22</definedName>
    <definedName name="ExternalData_106" localSheetId="2">Voltage!$L$1:$O$22</definedName>
    <definedName name="ExternalData_107" localSheetId="3">'Range 0'!$L$1:$M$22</definedName>
    <definedName name="ExternalData_107" localSheetId="2">Voltage!$L$1:$O$22</definedName>
    <definedName name="ExternalData_108" localSheetId="3">'Range 0'!$L$1:$M$22</definedName>
    <definedName name="ExternalData_108" localSheetId="2">Voltage!$L$1:$O$22</definedName>
    <definedName name="ExternalData_109" localSheetId="2">Voltage!$L$1:$O$22</definedName>
    <definedName name="ExternalData_11" localSheetId="14">Calibrate!$L$2:$L$65</definedName>
    <definedName name="ExternalData_11" localSheetId="3">'Range 0'!$L$1:$M$22</definedName>
    <definedName name="ExternalData_11" localSheetId="4">'Range 1'!$L$1:$M$22</definedName>
    <definedName name="ExternalData_11" localSheetId="5">'Range 2'!$L$1:$M$23</definedName>
    <definedName name="ExternalData_11" localSheetId="6">'Range 3'!$L$1:$M$22</definedName>
    <definedName name="ExternalData_110" localSheetId="2">Voltage!$L$1:$O$22</definedName>
    <definedName name="ExternalData_111" localSheetId="2">Voltage!$L$1:$O$22</definedName>
    <definedName name="ExternalData_112" localSheetId="2">Voltage!$L$1:$O$22</definedName>
    <definedName name="ExternalData_113" localSheetId="2">Voltage!$L$1:$O$22</definedName>
    <definedName name="ExternalData_114" localSheetId="2">Voltage!$L$1:$O$22</definedName>
    <definedName name="ExternalData_115" localSheetId="2">Voltage!$L$1:$O$22</definedName>
    <definedName name="ExternalData_116" localSheetId="2">Voltage!$L$1:$O$22</definedName>
    <definedName name="ExternalData_117" localSheetId="2">Voltage!$L$1:$O$22</definedName>
    <definedName name="ExternalData_118" localSheetId="2">Voltage!$L$1:$O$22</definedName>
    <definedName name="ExternalData_119" localSheetId="2">Voltage!$L$1:$O$22</definedName>
    <definedName name="ExternalData_12" localSheetId="14">Calibrate!$L$2:$L$65</definedName>
    <definedName name="ExternalData_12" localSheetId="3">'Range 0'!$L$1:$M$22</definedName>
    <definedName name="ExternalData_12" localSheetId="4">'Range 1'!$L$1:$M$22</definedName>
    <definedName name="ExternalData_12" localSheetId="5">'Range 2'!$L$1:$M$23</definedName>
    <definedName name="ExternalData_12" localSheetId="6">'Range 3'!$L$1:$M$22</definedName>
    <definedName name="ExternalData_120" localSheetId="2">Voltage!$L$1:$O$22</definedName>
    <definedName name="ExternalData_121" localSheetId="2">Voltage!$L$1:$O$22</definedName>
    <definedName name="ExternalData_122" localSheetId="2">Voltage!$L$1:$O$22</definedName>
    <definedName name="ExternalData_123" localSheetId="2">Voltage!$L$1:$O$22</definedName>
    <definedName name="ExternalData_124" localSheetId="2">Voltage!$L$1:$O$22</definedName>
    <definedName name="ExternalData_125" localSheetId="2">Voltage!$L$1:$O$22</definedName>
    <definedName name="ExternalData_126" localSheetId="2">Voltage!$L$1:$M$22</definedName>
    <definedName name="ExternalData_127" localSheetId="2">Voltage!$L$1:$O$22</definedName>
    <definedName name="ExternalData_128" localSheetId="2">Voltage!$L$1:$O$22</definedName>
    <definedName name="ExternalData_129" localSheetId="2">Voltage!$L$1:$O$22</definedName>
    <definedName name="ExternalData_13" localSheetId="14">Calibrate!$L$2:$L$65</definedName>
    <definedName name="ExternalData_13" localSheetId="3">'Range 0'!$L$1:$M$22</definedName>
    <definedName name="ExternalData_13" localSheetId="4">'Range 1'!$L$1:$M$22</definedName>
    <definedName name="ExternalData_13" localSheetId="5">'Range 2'!$L$1:$M$23</definedName>
    <definedName name="ExternalData_13" localSheetId="6">'Range 3'!$L$1:$M$22</definedName>
    <definedName name="ExternalData_130" localSheetId="2">Voltage!$L$1:$O$22</definedName>
    <definedName name="ExternalData_131" localSheetId="2">Voltage!$L$1:$O$22</definedName>
    <definedName name="ExternalData_132" localSheetId="2">Voltage!$L$1:$O$22</definedName>
    <definedName name="ExternalData_133" localSheetId="2">Voltage!$L$1:$O$22</definedName>
    <definedName name="ExternalData_134" localSheetId="2">Voltage!$L$1:$O$22</definedName>
    <definedName name="ExternalData_135" localSheetId="2">Voltage!$L$1:$O$22</definedName>
    <definedName name="ExternalData_136" localSheetId="2">Voltage!$L$1:$O$22</definedName>
    <definedName name="ExternalData_137" localSheetId="2">Voltage!$L$1:$O$22</definedName>
    <definedName name="ExternalData_138" localSheetId="2">Voltage!$L$1:$O$22</definedName>
    <definedName name="ExternalData_139" localSheetId="2">Voltage!$L$1:$O$22</definedName>
    <definedName name="ExternalData_14" localSheetId="14">Calibrate!$L$2:$L$65</definedName>
    <definedName name="ExternalData_14" localSheetId="3">'Range 0'!$L$1:$M$22</definedName>
    <definedName name="ExternalData_14" localSheetId="4">'Range 1'!$L$1:$M$22</definedName>
    <definedName name="ExternalData_14" localSheetId="5">'Range 2'!$L$1:$M$22</definedName>
    <definedName name="ExternalData_14" localSheetId="6">'Range 3'!$L$1:$M$22</definedName>
    <definedName name="ExternalData_140" localSheetId="2">Voltage!$L$1:$O$22</definedName>
    <definedName name="ExternalData_141" localSheetId="2">Voltage!$L$1:$O$22</definedName>
    <definedName name="ExternalData_142" localSheetId="2">Voltage!$L$1:$O$22</definedName>
    <definedName name="ExternalData_143" localSheetId="2">Voltage!$L$1:$O$22</definedName>
    <definedName name="ExternalData_144" localSheetId="2">Voltage!$L$1:$O$22</definedName>
    <definedName name="ExternalData_145" localSheetId="2">Voltage!$L$1:$O$22</definedName>
    <definedName name="ExternalData_146" localSheetId="2">Voltage!$L$1:$O$22</definedName>
    <definedName name="ExternalData_147" localSheetId="2">Voltage!$L$1:$O$22</definedName>
    <definedName name="ExternalData_148" localSheetId="2">Voltage!$L$1:$O$22</definedName>
    <definedName name="ExternalData_149" localSheetId="2">Voltage!$L$1:$O$22</definedName>
    <definedName name="ExternalData_15" localSheetId="14">Calibrate!$L$2:$L$65</definedName>
    <definedName name="ExternalData_15" localSheetId="3">'Range 0'!$L$1:$M$22</definedName>
    <definedName name="ExternalData_15" localSheetId="4">'Range 1'!$L$1:$M$22</definedName>
    <definedName name="ExternalData_15" localSheetId="5">'Range 2'!$L$1:$M$22</definedName>
    <definedName name="ExternalData_15" localSheetId="6">'Range 3'!$L$1:$M$22</definedName>
    <definedName name="ExternalData_150" localSheetId="2">Voltage!$L$1:$O$22</definedName>
    <definedName name="ExternalData_151" localSheetId="2">Voltage!$L$1:$O$22</definedName>
    <definedName name="ExternalData_152" localSheetId="2">Voltage!$L$1:$O$22</definedName>
    <definedName name="ExternalData_153" localSheetId="2">Voltage!$L$1:$O$22</definedName>
    <definedName name="ExternalData_154" localSheetId="2">Voltage!$L$1:$O$22</definedName>
    <definedName name="ExternalData_155" localSheetId="2">Voltage!$L$1:$O$22</definedName>
    <definedName name="ExternalData_156" localSheetId="2">Voltage!$L$1:$O$22</definedName>
    <definedName name="ExternalData_157" localSheetId="2">Voltage!$L$1:$O$22</definedName>
    <definedName name="ExternalData_158" localSheetId="2">Voltage!$L$1:$O$23</definedName>
    <definedName name="ExternalData_159" localSheetId="2">Voltage!$L$1:$O$22</definedName>
    <definedName name="ExternalData_16" localSheetId="14">Calibrate!$L$2:$L$65</definedName>
    <definedName name="ExternalData_16" localSheetId="3">'Range 0'!$L$1:$M$22</definedName>
    <definedName name="ExternalData_16" localSheetId="4">'Range 1'!$L$1:$M$22</definedName>
    <definedName name="ExternalData_16" localSheetId="5">'Range 2'!$L$1:$M$22</definedName>
    <definedName name="ExternalData_16" localSheetId="6">'Range 3'!$L$1:$M$22</definedName>
    <definedName name="ExternalData_160" localSheetId="2">Voltage!$L$1:$O$22</definedName>
    <definedName name="ExternalData_161" localSheetId="2">Voltage!$L$1:$O$22</definedName>
    <definedName name="ExternalData_17" localSheetId="14">Calibrate!$L$2:$L$65</definedName>
    <definedName name="ExternalData_17" localSheetId="3">'Range 0'!$L$1:$M$22</definedName>
    <definedName name="ExternalData_17" localSheetId="4">'Range 1'!$L$1:$M$22</definedName>
    <definedName name="ExternalData_17" localSheetId="5">'Range 2'!$L$1:$M$22</definedName>
    <definedName name="ExternalData_17" localSheetId="6">'Range 3'!$L$1:$M$22</definedName>
    <definedName name="ExternalData_17" localSheetId="2">Voltage!$L$1:$O$22</definedName>
    <definedName name="ExternalData_18" localSheetId="14">Calibrate!$L$2:$L$65</definedName>
    <definedName name="ExternalData_18" localSheetId="3">'Range 0'!$L$1:$M$22</definedName>
    <definedName name="ExternalData_18" localSheetId="4">'Range 1'!$L$1:$M$22</definedName>
    <definedName name="ExternalData_18" localSheetId="5">'Range 2'!$L$1:$M$23</definedName>
    <definedName name="ExternalData_18" localSheetId="6">'Range 3'!$L$1:$M$22</definedName>
    <definedName name="ExternalData_18" localSheetId="2">Voltage!$L$1:$O$22</definedName>
    <definedName name="ExternalData_19" localSheetId="14">Calibrate!$L$2:$L$65</definedName>
    <definedName name="ExternalData_19" localSheetId="3">'Range 0'!$L$1:$M$22</definedName>
    <definedName name="ExternalData_19" localSheetId="4">'Range 1'!$L$1:$M$22</definedName>
    <definedName name="ExternalData_19" localSheetId="5">'Range 2'!$L$1:$M$22</definedName>
    <definedName name="ExternalData_19" localSheetId="6">'Range 3'!$L$1:$M$22</definedName>
    <definedName name="ExternalData_19" localSheetId="2">Voltage!$L$1:$O$22</definedName>
    <definedName name="ExternalData_2" localSheetId="14">Calibrate!$L$2:$L$65</definedName>
    <definedName name="ExternalData_2" localSheetId="12">'DC gain'!$B$2:$I$122</definedName>
    <definedName name="ExternalData_2" localSheetId="3">'Range 0'!$L$2:$M$22</definedName>
    <definedName name="ExternalData_2" localSheetId="4">'Range 1'!$L$1:$M$22</definedName>
    <definedName name="ExternalData_2" localSheetId="5">'Range 2'!$L$1:$M$22</definedName>
    <definedName name="ExternalData_2" localSheetId="6">'Range 3'!$L$1:$M$22</definedName>
    <definedName name="ExternalData_2" localSheetId="7">'Range 4'!$L$1:$M$21</definedName>
    <definedName name="ExternalData_2" localSheetId="8">'Range 5'!$L$1:$M$22</definedName>
    <definedName name="ExternalData_2" localSheetId="9">'Range 6'!$L$1:$M$22</definedName>
    <definedName name="ExternalData_2" localSheetId="10">'Range 7'!$L$1:$M$22</definedName>
    <definedName name="ExternalData_2" localSheetId="2">Voltage!$L$1:$O$22</definedName>
    <definedName name="ExternalData_20" localSheetId="14">Calibrate!$L$2:$L$65</definedName>
    <definedName name="ExternalData_20" localSheetId="3">'Range 0'!$L$1:$M$22</definedName>
    <definedName name="ExternalData_20" localSheetId="4">'Range 1'!$L$1:$M$22</definedName>
    <definedName name="ExternalData_20" localSheetId="5">'Range 2'!$L$1:$M$22</definedName>
    <definedName name="ExternalData_20" localSheetId="6">'Range 3'!$L$1:$M$22</definedName>
    <definedName name="ExternalData_20" localSheetId="2">Voltage!$L$1:$O$22</definedName>
    <definedName name="ExternalData_21" localSheetId="14">Calibrate!$L$2:$L$65</definedName>
    <definedName name="ExternalData_21" localSheetId="3">'Range 0'!$L$1:$M$22</definedName>
    <definedName name="ExternalData_21" localSheetId="4">'Range 1'!$L$1:$M$22</definedName>
    <definedName name="ExternalData_21" localSheetId="5">'Range 2'!$L$1:$M$22</definedName>
    <definedName name="ExternalData_21" localSheetId="6">'Range 3'!$L$1:$M$22</definedName>
    <definedName name="ExternalData_21" localSheetId="2">Voltage!$L$1:$O$22</definedName>
    <definedName name="ExternalData_22" localSheetId="14">Calibrate!$L$2:$L$65</definedName>
    <definedName name="ExternalData_22" localSheetId="3">'Range 0'!$L$1:$M$22</definedName>
    <definedName name="ExternalData_22" localSheetId="4">'Range 1'!$L$1:$M$22</definedName>
    <definedName name="ExternalData_22" localSheetId="5">'Range 2'!$L$1:$M$22</definedName>
    <definedName name="ExternalData_22" localSheetId="6">'Range 3'!$L$1:$M$22</definedName>
    <definedName name="ExternalData_22" localSheetId="2">Voltage!$L$1:$O$22</definedName>
    <definedName name="ExternalData_23" localSheetId="14">Calibrate!$L$2:$L$65</definedName>
    <definedName name="ExternalData_23" localSheetId="3">'Range 0'!$L$1:$M$22</definedName>
    <definedName name="ExternalData_23" localSheetId="4">'Range 1'!$L$1:$M$22</definedName>
    <definedName name="ExternalData_23" localSheetId="5">'Range 2'!$L$1:$M$22</definedName>
    <definedName name="ExternalData_23" localSheetId="6">'Range 3'!$L$1:$M$22</definedName>
    <definedName name="ExternalData_23" localSheetId="2">Voltage!$L$1:$O$22</definedName>
    <definedName name="ExternalData_24" localSheetId="14">Calibrate!$L$2:$L$65</definedName>
    <definedName name="ExternalData_24" localSheetId="3">'Range 0'!$L$1:$M$22</definedName>
    <definedName name="ExternalData_24" localSheetId="4">'Range 1'!$L$1:$M$22</definedName>
    <definedName name="ExternalData_24" localSheetId="5">'Range 2'!$L$1:$M$22</definedName>
    <definedName name="ExternalData_24" localSheetId="6">'Range 3'!$L$1:$M$22</definedName>
    <definedName name="ExternalData_24" localSheetId="2">Voltage!$L$1:$O$22</definedName>
    <definedName name="ExternalData_25" localSheetId="14">Calibrate!$L$2:$L$65</definedName>
    <definedName name="ExternalData_25" localSheetId="3">'Range 0'!$L$1:$M$22</definedName>
    <definedName name="ExternalData_25" localSheetId="4">'Range 1'!$L$1:$M$22</definedName>
    <definedName name="ExternalData_25" localSheetId="5">'Range 2'!$L$1:$M$22</definedName>
    <definedName name="ExternalData_25" localSheetId="6">'Range 3'!$L$1:$M$22</definedName>
    <definedName name="ExternalData_25" localSheetId="2">Voltage!$L$1:$O$22</definedName>
    <definedName name="ExternalData_26" localSheetId="14">Calibrate!$L$2:$L$65</definedName>
    <definedName name="ExternalData_26" localSheetId="3">'Range 0'!$L$1:$M$22</definedName>
    <definedName name="ExternalData_26" localSheetId="4">'Range 1'!$L$1:$M$22</definedName>
    <definedName name="ExternalData_26" localSheetId="5">'Range 2'!$L$1:$M$22</definedName>
    <definedName name="ExternalData_26" localSheetId="6">'Range 3'!$L$1:$M$22</definedName>
    <definedName name="ExternalData_26" localSheetId="2">Voltage!$L$1:$O$22</definedName>
    <definedName name="ExternalData_27" localSheetId="14">Calibrate!$L$2:$L$65</definedName>
    <definedName name="ExternalData_27" localSheetId="3">'Range 0'!$L$1:$M$22</definedName>
    <definedName name="ExternalData_27" localSheetId="4">'Range 1'!$L$1:$M$22</definedName>
    <definedName name="ExternalData_27" localSheetId="5">'Range 2'!$L$1:$M$22</definedName>
    <definedName name="ExternalData_27" localSheetId="6">'Range 3'!$L$1:$M$22</definedName>
    <definedName name="ExternalData_27" localSheetId="2">Voltage!$L$2:$O$23</definedName>
    <definedName name="ExternalData_28" localSheetId="14">Calibrate!$L$2:$L$65</definedName>
    <definedName name="ExternalData_28" localSheetId="3">'Range 0'!$L$1:$M$22</definedName>
    <definedName name="ExternalData_28" localSheetId="4">'Range 1'!$L$1:$M$22</definedName>
    <definedName name="ExternalData_28" localSheetId="5">'Range 2'!$L$1:$M$22</definedName>
    <definedName name="ExternalData_28" localSheetId="6">'Range 3'!$L$1:$M$22</definedName>
    <definedName name="ExternalData_28" localSheetId="2">Voltage!$L$1:$O$22</definedName>
    <definedName name="ExternalData_29" localSheetId="14">Calibrate!$L$2:$L$65</definedName>
    <definedName name="ExternalData_29" localSheetId="3">'Range 0'!$L$1:$M$22</definedName>
    <definedName name="ExternalData_29" localSheetId="4">'Range 1'!$L$1:$M$22</definedName>
    <definedName name="ExternalData_29" localSheetId="5">'Range 2'!$L$1:$M$22</definedName>
    <definedName name="ExternalData_29" localSheetId="6">'Range 3'!$L$1:$M$22</definedName>
    <definedName name="ExternalData_29" localSheetId="2">Voltage!$L$1:$O$22</definedName>
    <definedName name="ExternalData_3" localSheetId="14">Calibrate!$L$2:$L$65</definedName>
    <definedName name="ExternalData_3" localSheetId="3">'Range 0'!$L$2:$M$22</definedName>
    <definedName name="ExternalData_3" localSheetId="4">'Range 1'!$L$1:$M$22</definedName>
    <definedName name="ExternalData_3" localSheetId="5">'Range 2'!$L$1:$M$22</definedName>
    <definedName name="ExternalData_3" localSheetId="6">'Range 3'!$L$1:$M$22</definedName>
    <definedName name="ExternalData_3" localSheetId="7">'Range 4'!$L$1:$M$21</definedName>
    <definedName name="ExternalData_3" localSheetId="8">'Range 5'!$L$1:$M$22</definedName>
    <definedName name="ExternalData_3" localSheetId="9">'Range 6'!$L$1:$M$22</definedName>
    <definedName name="ExternalData_3" localSheetId="10">'Range 7'!$L$1:$M$22</definedName>
    <definedName name="ExternalData_3" localSheetId="2">Voltage!$L$1:$O$22</definedName>
    <definedName name="ExternalData_30" localSheetId="14">Calibrate!$L$2:$L$65</definedName>
    <definedName name="ExternalData_30" localSheetId="3">'Range 0'!$L$1:$M$22</definedName>
    <definedName name="ExternalData_30" localSheetId="4">'Range 1'!$L$1:$M$22</definedName>
    <definedName name="ExternalData_30" localSheetId="5">'Range 2'!$L$1:$M$22</definedName>
    <definedName name="ExternalData_30" localSheetId="6">'Range 3'!$L$1:$M$22</definedName>
    <definedName name="ExternalData_30" localSheetId="2">Voltage!$L$1:$O$22</definedName>
    <definedName name="ExternalData_31" localSheetId="14">Calibrate!$L$2:$L$65</definedName>
    <definedName name="ExternalData_31" localSheetId="3">'Range 0'!$L$1:$M$22</definedName>
    <definedName name="ExternalData_31" localSheetId="4">'Range 1'!$L$1:$M$22</definedName>
    <definedName name="ExternalData_31" localSheetId="5">'Range 2'!$L$1:$M$22</definedName>
    <definedName name="ExternalData_31" localSheetId="6">'Range 3'!$L$1:$M$23</definedName>
    <definedName name="ExternalData_31" localSheetId="2">Voltage!$L$1:$O$22</definedName>
    <definedName name="ExternalData_32" localSheetId="14">Calibrate!$L$2:$L$65</definedName>
    <definedName name="ExternalData_32" localSheetId="3">'Range 0'!$L$1:$M$22</definedName>
    <definedName name="ExternalData_32" localSheetId="4">'Range 1'!$L$1:$M$22</definedName>
    <definedName name="ExternalData_32" localSheetId="5">'Range 2'!$L$1:$M$22</definedName>
    <definedName name="ExternalData_32" localSheetId="6">'Range 3'!$L$1:$M$23</definedName>
    <definedName name="ExternalData_32" localSheetId="2">Voltage!$L$1:$M$22</definedName>
    <definedName name="ExternalData_33" localSheetId="14">Calibrate!$L$2:$L$65</definedName>
    <definedName name="ExternalData_33" localSheetId="3">'Range 0'!$L$1:$M$22</definedName>
    <definedName name="ExternalData_33" localSheetId="4">'Range 1'!$L$1:$M$22</definedName>
    <definedName name="ExternalData_33" localSheetId="5">'Range 2'!$L$1:$M$22</definedName>
    <definedName name="ExternalData_33" localSheetId="6">'Range 3'!$L$1:$M$23</definedName>
    <definedName name="ExternalData_33" localSheetId="2">Voltage!$L$1:$O$22</definedName>
    <definedName name="ExternalData_34" localSheetId="14">Calibrate!$L$2:$L$65</definedName>
    <definedName name="ExternalData_34" localSheetId="3">'Range 0'!$L$1:$M$22</definedName>
    <definedName name="ExternalData_34" localSheetId="4">'Range 1'!$L$1:$M$22</definedName>
    <definedName name="ExternalData_34" localSheetId="5">'Range 2'!$L$1:$M$22</definedName>
    <definedName name="ExternalData_34" localSheetId="6">'Range 3'!$L$1:$M$23</definedName>
    <definedName name="ExternalData_34" localSheetId="2">Voltage!$L$1:$O$22</definedName>
    <definedName name="ExternalData_35" localSheetId="14">Calibrate!$L$2:$L$65</definedName>
    <definedName name="ExternalData_35" localSheetId="3">'Range 0'!$L$1:$M$22</definedName>
    <definedName name="ExternalData_35" localSheetId="4">'Range 1'!$L$1:$M$22</definedName>
    <definedName name="ExternalData_35" localSheetId="5">'Range 2'!$L$1:$M$22</definedName>
    <definedName name="ExternalData_35" localSheetId="6">'Range 3'!$L$1:$M$22</definedName>
    <definedName name="ExternalData_35" localSheetId="2">Voltage!$L$1:$O$22</definedName>
    <definedName name="ExternalData_36" localSheetId="14">Calibrate!$L$2:$L$65</definedName>
    <definedName name="ExternalData_36" localSheetId="3">'Range 0'!$L$1:$M$22</definedName>
    <definedName name="ExternalData_36" localSheetId="4">'Range 1'!$L$1:$M$22</definedName>
    <definedName name="ExternalData_36" localSheetId="5">'Range 2'!$L$1:$M$22</definedName>
    <definedName name="ExternalData_36" localSheetId="6">'Range 3'!$L$1:$M$22</definedName>
    <definedName name="ExternalData_36" localSheetId="2">Voltage!$L$1:$O$22</definedName>
    <definedName name="ExternalData_37" localSheetId="14">Calibrate!$L$2:$L$65</definedName>
    <definedName name="ExternalData_37" localSheetId="3">'Range 0'!$L$1:$M$22</definedName>
    <definedName name="ExternalData_37" localSheetId="4">'Range 1'!$L$1:$M$22</definedName>
    <definedName name="ExternalData_37" localSheetId="5">'Range 2'!$L$1:$M$22</definedName>
    <definedName name="ExternalData_37" localSheetId="6">'Range 3'!$L$1:$M$22</definedName>
    <definedName name="ExternalData_37" localSheetId="2">Voltage!$L$1:$O$22</definedName>
    <definedName name="ExternalData_38" localSheetId="14">Calibrate!$L$2:$L$65</definedName>
    <definedName name="ExternalData_38" localSheetId="3">'Range 0'!$L$1:$M$22</definedName>
    <definedName name="ExternalData_38" localSheetId="4">'Range 1'!$L$1:$M$22</definedName>
    <definedName name="ExternalData_38" localSheetId="5">'Range 2'!$L$1:$M$22</definedName>
    <definedName name="ExternalData_38" localSheetId="6">'Range 3'!$L$1:$M$22</definedName>
    <definedName name="ExternalData_38" localSheetId="2">Voltage!$L$1:$O$22</definedName>
    <definedName name="ExternalData_39" localSheetId="14">Calibrate!$L$2:$L$65</definedName>
    <definedName name="ExternalData_39" localSheetId="3">'Range 0'!$L$1:$M$22</definedName>
    <definedName name="ExternalData_39" localSheetId="4">'Range 1'!$L$1:$M$22</definedName>
    <definedName name="ExternalData_39" localSheetId="5">'Range 2'!$L$1:$M$22</definedName>
    <definedName name="ExternalData_39" localSheetId="6">'Range 3'!$L$1:$M$22</definedName>
    <definedName name="ExternalData_39" localSheetId="2">Voltage!$L$1:$O$22</definedName>
    <definedName name="ExternalData_4" localSheetId="14">Calibrate!$L$2:$L$65</definedName>
    <definedName name="ExternalData_4" localSheetId="3">'Range 0'!$L$1:$M$22</definedName>
    <definedName name="ExternalData_4" localSheetId="4">'Range 1'!$L$1:$M$22</definedName>
    <definedName name="ExternalData_4" localSheetId="5">'Range 2'!$L$1:$M$22</definedName>
    <definedName name="ExternalData_4" localSheetId="6">'Range 3'!$L$1:$M$22</definedName>
    <definedName name="ExternalData_4" localSheetId="7">'Range 4'!$L$1:$M$21</definedName>
    <definedName name="ExternalData_4" localSheetId="8">'Range 5'!$L$1:$M$22</definedName>
    <definedName name="ExternalData_4" localSheetId="9">'Range 6'!$L$1:$M$22</definedName>
    <definedName name="ExternalData_4" localSheetId="10">'Range 7'!$L$1:$M$22</definedName>
    <definedName name="ExternalData_4" localSheetId="2">Voltage!$L$1:$O$22</definedName>
    <definedName name="ExternalData_40" localSheetId="14">Calibrate!$L$2:$L$65</definedName>
    <definedName name="ExternalData_40" localSheetId="3">'Range 0'!$L$1:$M$22</definedName>
    <definedName name="ExternalData_40" localSheetId="4">'Range 1'!$L$1:$M$22</definedName>
    <definedName name="ExternalData_40" localSheetId="5">'Range 2'!$L$1:$M$22</definedName>
    <definedName name="ExternalData_40" localSheetId="6">'Range 3'!$L$1:$M$22</definedName>
    <definedName name="ExternalData_40" localSheetId="2">Voltage!$L$1:$O$22</definedName>
    <definedName name="ExternalData_41" localSheetId="14">Calibrate!$L$2:$L$65</definedName>
    <definedName name="ExternalData_41" localSheetId="3">'Range 0'!$L$1:$M$22</definedName>
    <definedName name="ExternalData_41" localSheetId="4">'Range 1'!$L$1:$M$22</definedName>
    <definedName name="ExternalData_41" localSheetId="5">'Range 2'!$L$1:$M$22</definedName>
    <definedName name="ExternalData_41" localSheetId="6">'Range 3'!$L$1:$M$22</definedName>
    <definedName name="ExternalData_41" localSheetId="2">Voltage!$L$1:$O$22</definedName>
    <definedName name="ExternalData_42" localSheetId="14">Calibrate!$L$2:$L$65</definedName>
    <definedName name="ExternalData_42" localSheetId="3">'Range 0'!$L$1:$M$22</definedName>
    <definedName name="ExternalData_42" localSheetId="4">'Range 1'!$L$1:$M$22</definedName>
    <definedName name="ExternalData_42" localSheetId="5">'Range 2'!$L$1:$M$22</definedName>
    <definedName name="ExternalData_42" localSheetId="6">'Range 3'!$L$1:$M$22</definedName>
    <definedName name="ExternalData_42" localSheetId="2">Voltage!$L$1:$O$22</definedName>
    <definedName name="ExternalData_43" localSheetId="14">Calibrate!$L$2:$L$65</definedName>
    <definedName name="ExternalData_43" localSheetId="3">'Range 0'!$L$1:$M$22</definedName>
    <definedName name="ExternalData_43" localSheetId="4">'Range 1'!$L$1:$M$22</definedName>
    <definedName name="ExternalData_43" localSheetId="5">'Range 2'!$L$1:$M$22</definedName>
    <definedName name="ExternalData_43" localSheetId="6">'Range 3'!$L$1:$M$22</definedName>
    <definedName name="ExternalData_43" localSheetId="2">Voltage!$L$1:$O$22</definedName>
    <definedName name="ExternalData_44" localSheetId="14">Calibrate!$L$2:$L$65</definedName>
    <definedName name="ExternalData_44" localSheetId="3">'Range 0'!$L$1:$M$22</definedName>
    <definedName name="ExternalData_44" localSheetId="4">'Range 1'!$L$1:$M$22</definedName>
    <definedName name="ExternalData_44" localSheetId="5">'Range 2'!$L$1:$M$22</definedName>
    <definedName name="ExternalData_44" localSheetId="6">'Range 3'!$L$1:$M$22</definedName>
    <definedName name="ExternalData_44" localSheetId="2">Voltage!$L$1:$M$22</definedName>
    <definedName name="ExternalData_45" localSheetId="14">Calibrate!$L$2:$L$65</definedName>
    <definedName name="ExternalData_45" localSheetId="3">'Range 0'!$L$1:$M$22</definedName>
    <definedName name="ExternalData_45" localSheetId="4">'Range 1'!$L$1:$M$22</definedName>
    <definedName name="ExternalData_45" localSheetId="5">'Range 2'!$L$1:$M$22</definedName>
    <definedName name="ExternalData_45" localSheetId="6">'Range 3'!$L$1:$M$22</definedName>
    <definedName name="ExternalData_45" localSheetId="2">Voltage!$L$1:$O$22</definedName>
    <definedName name="ExternalData_46" localSheetId="14">Calibrate!$L$2:$L$65</definedName>
    <definedName name="ExternalData_46" localSheetId="3">'Range 0'!$L$1:$M$22</definedName>
    <definedName name="ExternalData_46" localSheetId="4">'Range 1'!$L$1:$M$22</definedName>
    <definedName name="ExternalData_46" localSheetId="5">'Range 2'!$L$1:$M$22</definedName>
    <definedName name="ExternalData_46" localSheetId="6">'Range 3'!$L$1:$M$22</definedName>
    <definedName name="ExternalData_46" localSheetId="2">Voltage!$L$1:$O$22</definedName>
    <definedName name="ExternalData_47" localSheetId="14">Calibrate!$L$2:$L$65</definedName>
    <definedName name="ExternalData_47" localSheetId="3">'Range 0'!$L$1:$M$22</definedName>
    <definedName name="ExternalData_47" localSheetId="4">'Range 1'!$L$1:$M$22</definedName>
    <definedName name="ExternalData_47" localSheetId="5">'Range 2'!$L$1:$M$22</definedName>
    <definedName name="ExternalData_47" localSheetId="6">'Range 3'!$L$1:$M$22</definedName>
    <definedName name="ExternalData_47" localSheetId="2">Voltage!$L$1:$O$22</definedName>
    <definedName name="ExternalData_48" localSheetId="14">Calibrate!$L$2:$L$65</definedName>
    <definedName name="ExternalData_48" localSheetId="3">'Range 0'!$L$1:$M$22</definedName>
    <definedName name="ExternalData_48" localSheetId="4">'Range 1'!$L$1:$M$22</definedName>
    <definedName name="ExternalData_48" localSheetId="5">'Range 2'!$L$1:$M$22</definedName>
    <definedName name="ExternalData_48" localSheetId="6">'Range 3'!$L$1:$M$22</definedName>
    <definedName name="ExternalData_48" localSheetId="2">Voltage!$L$1:$O$22</definedName>
    <definedName name="ExternalData_49" localSheetId="14">Calibrate!$L$2:$L$65</definedName>
    <definedName name="ExternalData_49" localSheetId="3">'Range 0'!$L$1:$M$22</definedName>
    <definedName name="ExternalData_49" localSheetId="4">'Range 1'!$L$1:$M$22</definedName>
    <definedName name="ExternalData_49" localSheetId="5">'Range 2'!$L$1:$M$22</definedName>
    <definedName name="ExternalData_49" localSheetId="6">'Range 3'!$L$1:$M$22</definedName>
    <definedName name="ExternalData_49" localSheetId="2">Voltage!$L$1:$O$22</definedName>
    <definedName name="ExternalData_5" localSheetId="14">Calibrate!$L$2:$L$65</definedName>
    <definedName name="ExternalData_5" localSheetId="3">'Range 0'!$L$1:$M$22</definedName>
    <definedName name="ExternalData_5" localSheetId="4">'Range 1'!$L$1:$M$22</definedName>
    <definedName name="ExternalData_5" localSheetId="5">'Range 2'!$L$1:$M$22</definedName>
    <definedName name="ExternalData_5" localSheetId="6">'Range 3'!$L$1:$M$22</definedName>
    <definedName name="ExternalData_5" localSheetId="7">'Range 4'!$L$1:$M$22</definedName>
    <definedName name="ExternalData_5" localSheetId="9">'Range 6'!$L$1:$M$22</definedName>
    <definedName name="ExternalData_5" localSheetId="10">'Range 7'!$L$1:$M$22</definedName>
    <definedName name="ExternalData_5" localSheetId="2">Voltage!$L$1:$O$22</definedName>
    <definedName name="ExternalData_50" localSheetId="14">Calibrate!$L$2:$L$65</definedName>
    <definedName name="ExternalData_50" localSheetId="3">'Range 0'!$L$1:$M$22</definedName>
    <definedName name="ExternalData_50" localSheetId="4">'Range 1'!$L$1:$M$22</definedName>
    <definedName name="ExternalData_50" localSheetId="5">'Range 2'!$L$1:$M$22</definedName>
    <definedName name="ExternalData_50" localSheetId="6">'Range 3'!$L$1:$M$22</definedName>
    <definedName name="ExternalData_50" localSheetId="2">Voltage!$L$1:$O$22</definedName>
    <definedName name="ExternalData_51" localSheetId="14">Calibrate!$L$2:$L$65</definedName>
    <definedName name="ExternalData_51" localSheetId="3">'Range 0'!$L$1:$M$22</definedName>
    <definedName name="ExternalData_51" localSheetId="4">'Range 1'!$L$1:$M$22</definedName>
    <definedName name="ExternalData_51" localSheetId="5">'Range 2'!$L$1:$M$22</definedName>
    <definedName name="ExternalData_51" localSheetId="6">'Range 3'!$L$1:$M$22</definedName>
    <definedName name="ExternalData_51" localSheetId="2">Voltage!$L$1:$O$22</definedName>
    <definedName name="ExternalData_52" localSheetId="14">Calibrate!$L$2:$L$65</definedName>
    <definedName name="ExternalData_52" localSheetId="3">'Range 0'!$L$1:$M$22</definedName>
    <definedName name="ExternalData_52" localSheetId="4">'Range 1'!$L$1:$M$22</definedName>
    <definedName name="ExternalData_52" localSheetId="5">'Range 2'!$L$1:$M$22</definedName>
    <definedName name="ExternalData_52" localSheetId="6">'Range 3'!$L$1:$M$22</definedName>
    <definedName name="ExternalData_52" localSheetId="2">Voltage!$L$1:$O$22</definedName>
    <definedName name="ExternalData_53" localSheetId="14">Calibrate!$L$2:$L$65</definedName>
    <definedName name="ExternalData_53" localSheetId="3">'Range 0'!$L$1:$M$22</definedName>
    <definedName name="ExternalData_53" localSheetId="4">'Range 1'!$L$1:$M$22</definedName>
    <definedName name="ExternalData_53" localSheetId="5">'Range 2'!$L$1:$M$22</definedName>
    <definedName name="ExternalData_53" localSheetId="6">'Range 3'!$L$1:$M$22</definedName>
    <definedName name="ExternalData_53" localSheetId="2">Voltage!$L$1:$O$22</definedName>
    <definedName name="ExternalData_54" localSheetId="14">Calibrate!$L$2:$L$65</definedName>
    <definedName name="ExternalData_54" localSheetId="3">'Range 0'!$L$1:$M$22</definedName>
    <definedName name="ExternalData_54" localSheetId="4">'Range 1'!$L$1:$M$22</definedName>
    <definedName name="ExternalData_54" localSheetId="5">'Range 2'!$L$1:$M$22</definedName>
    <definedName name="ExternalData_54" localSheetId="6">'Range 3'!$L$1:$M$22</definedName>
    <definedName name="ExternalData_54" localSheetId="2">Voltage!$L$1:$O$22</definedName>
    <definedName name="ExternalData_55" localSheetId="14">Calibrate!$L$2:$L$65</definedName>
    <definedName name="ExternalData_55" localSheetId="3">'Range 0'!$L$1:$M$22</definedName>
    <definedName name="ExternalData_55" localSheetId="4">'Range 1'!$L$1:$M$22</definedName>
    <definedName name="ExternalData_55" localSheetId="5">'Range 2'!$L$1:$M$21</definedName>
    <definedName name="ExternalData_55" localSheetId="6">'Range 3'!$L$1:$M$22</definedName>
    <definedName name="ExternalData_55" localSheetId="2">Voltage!$L$1:$O$22</definedName>
    <definedName name="ExternalData_56" localSheetId="14">Calibrate!$L$2:$L$65</definedName>
    <definedName name="ExternalData_56" localSheetId="3">'Range 0'!$L$1:$M$22</definedName>
    <definedName name="ExternalData_56" localSheetId="4">'Range 1'!$L$1:$M$22</definedName>
    <definedName name="ExternalData_56" localSheetId="5">'Range 2'!$L$1:$M$22</definedName>
    <definedName name="ExternalData_56" localSheetId="6">'Range 3'!$L$1:$M$22</definedName>
    <definedName name="ExternalData_56" localSheetId="2">Voltage!$L$1:$O$22</definedName>
    <definedName name="ExternalData_57" localSheetId="14">Calibrate!$L$2:$L$65</definedName>
    <definedName name="ExternalData_57" localSheetId="3">'Range 0'!$L$1:$M$22</definedName>
    <definedName name="ExternalData_57" localSheetId="4">'Range 1'!$L$1:$M$22</definedName>
    <definedName name="ExternalData_57" localSheetId="5">'Range 2'!$L$1:$M$22</definedName>
    <definedName name="ExternalData_57" localSheetId="6">'Range 3'!$L$1:$M$22</definedName>
    <definedName name="ExternalData_57" localSheetId="2">Voltage!$L$1:$O$22</definedName>
    <definedName name="ExternalData_58" localSheetId="14">Calibrate!$L$2:$L$65</definedName>
    <definedName name="ExternalData_58" localSheetId="3">'Range 0'!$L$1:$M$22</definedName>
    <definedName name="ExternalData_58" localSheetId="4">'Range 1'!$L$1:$M$22</definedName>
    <definedName name="ExternalData_58" localSheetId="5">'Range 2'!$L$1:$M$22</definedName>
    <definedName name="ExternalData_58" localSheetId="6">'Range 3'!$L$1:$M$22</definedName>
    <definedName name="ExternalData_58" localSheetId="2">Voltage!$L$1:$O$22</definedName>
    <definedName name="ExternalData_59" localSheetId="14">Calibrate!$L$2:$L$65</definedName>
    <definedName name="ExternalData_59" localSheetId="3">'Range 0'!$L$1:$M$22</definedName>
    <definedName name="ExternalData_59" localSheetId="4">'Range 1'!$L$1:$M$22</definedName>
    <definedName name="ExternalData_59" localSheetId="5">'Range 2'!$L$1:$M$22</definedName>
    <definedName name="ExternalData_59" localSheetId="6">'Range 3'!$L$1:$M$22</definedName>
    <definedName name="ExternalData_59" localSheetId="2">Voltage!$L$1:$O$22</definedName>
    <definedName name="ExternalData_6" localSheetId="14">Calibrate!$L$2:$L$65</definedName>
    <definedName name="ExternalData_6" localSheetId="3">'Range 0'!$L$1:$M$22</definedName>
    <definedName name="ExternalData_6" localSheetId="4">'Range 1'!$L$1:$M$22</definedName>
    <definedName name="ExternalData_6" localSheetId="5">'Range 2'!$L$1:$M$22</definedName>
    <definedName name="ExternalData_6" localSheetId="6">'Range 3'!$L$1:$M$22</definedName>
    <definedName name="ExternalData_6" localSheetId="7">'Range 4'!$L$1:$M$22</definedName>
    <definedName name="ExternalData_6" localSheetId="2">Voltage!$L$1:$O$22</definedName>
    <definedName name="ExternalData_60" localSheetId="14">Calibrate!$L$2:$L$65</definedName>
    <definedName name="ExternalData_60" localSheetId="3">'Range 0'!$L$1:$M$22</definedName>
    <definedName name="ExternalData_60" localSheetId="4">'Range 1'!$L$1:$M$22</definedName>
    <definedName name="ExternalData_60" localSheetId="5">'Range 2'!$L$1:$M$22</definedName>
    <definedName name="ExternalData_60" localSheetId="6">'Range 3'!$L$1:$M$22</definedName>
    <definedName name="ExternalData_60" localSheetId="2">Voltage!$L$1:$O$22</definedName>
    <definedName name="ExternalData_61" localSheetId="14">Calibrate!$L$2:$L$65</definedName>
    <definedName name="ExternalData_61" localSheetId="3">'Range 0'!$L$1:$M$22</definedName>
    <definedName name="ExternalData_61" localSheetId="4">'Range 1'!$L$1:$M$22</definedName>
    <definedName name="ExternalData_61" localSheetId="5">'Range 2'!$L$1:$M$22</definedName>
    <definedName name="ExternalData_61" localSheetId="6">'Range 3'!$L$1:$M$22</definedName>
    <definedName name="ExternalData_61" localSheetId="2">Voltage!$L$1:$O$22</definedName>
    <definedName name="ExternalData_62" localSheetId="14">Calibrate!$L$2:$L$65</definedName>
    <definedName name="ExternalData_62" localSheetId="3">'Range 0'!$L$1:$M$22</definedName>
    <definedName name="ExternalData_62" localSheetId="4">'Range 1'!$L$1:$M$22</definedName>
    <definedName name="ExternalData_62" localSheetId="5">'Range 2'!$L$1:$M$22</definedName>
    <definedName name="ExternalData_62" localSheetId="6">'Range 3'!$L$1:$M$22</definedName>
    <definedName name="ExternalData_62" localSheetId="2">Voltage!$L$1:$O$22</definedName>
    <definedName name="ExternalData_63" localSheetId="14">Calibrate!$L$2:$L$65</definedName>
    <definedName name="ExternalData_63" localSheetId="3">'Range 0'!$L$1:$M$22</definedName>
    <definedName name="ExternalData_63" localSheetId="4">'Range 1'!$L$1:$M$22</definedName>
    <definedName name="ExternalData_63" localSheetId="5">'Range 2'!$L$1:$M$22</definedName>
    <definedName name="ExternalData_63" localSheetId="6">'Range 3'!$L$1:$M$22</definedName>
    <definedName name="ExternalData_63" localSheetId="2">Voltage!$L$1:$O$22</definedName>
    <definedName name="ExternalData_64" localSheetId="14">Calibrate!$L$2:$L$65</definedName>
    <definedName name="ExternalData_64" localSheetId="3">'Range 0'!$L$1:$M$22</definedName>
    <definedName name="ExternalData_64" localSheetId="4">'Range 1'!$L$1:$M$22</definedName>
    <definedName name="ExternalData_64" localSheetId="5">'Range 2'!$L$1:$M$22</definedName>
    <definedName name="ExternalData_64" localSheetId="6">'Range 3'!$L$1:$M$22</definedName>
    <definedName name="ExternalData_64" localSheetId="2">Voltage!$L$1:$O$22</definedName>
    <definedName name="ExternalData_65" localSheetId="14">Calibrate!$L$2:$L$65</definedName>
    <definedName name="ExternalData_65" localSheetId="3">'Range 0'!$L$1:$M$22</definedName>
    <definedName name="ExternalData_65" localSheetId="4">'Range 1'!$L$1:$M$22</definedName>
    <definedName name="ExternalData_65" localSheetId="5">'Range 2'!$L$1:$M$22</definedName>
    <definedName name="ExternalData_65" localSheetId="6">'Range 3'!$L$1:$M$22</definedName>
    <definedName name="ExternalData_65" localSheetId="2">Voltage!$L$1:$O$22</definedName>
    <definedName name="ExternalData_66" localSheetId="14">Calibrate!$L$2:$L$65</definedName>
    <definedName name="ExternalData_66" localSheetId="3">'Range 0'!$L$1:$M$22</definedName>
    <definedName name="ExternalData_66" localSheetId="4">'Range 1'!$L$1:$M$22</definedName>
    <definedName name="ExternalData_66" localSheetId="5">'Range 2'!$L$1:$M$22</definedName>
    <definedName name="ExternalData_66" localSheetId="6">'Range 3'!$L$1:$M$22</definedName>
    <definedName name="ExternalData_66" localSheetId="2">Voltage!$L$1:$O$22</definedName>
    <definedName name="ExternalData_67" localSheetId="14">Calibrate!$L$2:$L$65</definedName>
    <definedName name="ExternalData_67" localSheetId="3">'Range 0'!$L$1:$M$22</definedName>
    <definedName name="ExternalData_67" localSheetId="4">'Range 1'!$L$1:$M$22</definedName>
    <definedName name="ExternalData_67" localSheetId="5">'Range 2'!$L$1:$M$22</definedName>
    <definedName name="ExternalData_67" localSheetId="6">'Range 3'!$L$1:$M$22</definedName>
    <definedName name="ExternalData_67" localSheetId="2">Voltage!$L$1:$O$22</definedName>
    <definedName name="ExternalData_68" localSheetId="14">Calibrate!$L$2:$L$65</definedName>
    <definedName name="ExternalData_68" localSheetId="3">'Range 0'!$L$1:$M$22</definedName>
    <definedName name="ExternalData_68" localSheetId="4">'Range 1'!$L$1:$M$22</definedName>
    <definedName name="ExternalData_68" localSheetId="5">'Range 2'!$L$1:$M$22</definedName>
    <definedName name="ExternalData_68" localSheetId="6">'Range 3'!$L$1:$M$22</definedName>
    <definedName name="ExternalData_68" localSheetId="2">Voltage!$L$1:$O$22</definedName>
    <definedName name="ExternalData_69" localSheetId="14">Calibrate!$L$2:$L$65</definedName>
    <definedName name="ExternalData_69" localSheetId="3">'Range 0'!$L$1:$M$22</definedName>
    <definedName name="ExternalData_69" localSheetId="4">'Range 1'!$L$1:$M$22</definedName>
    <definedName name="ExternalData_69" localSheetId="5">'Range 2'!$L$1:$M$22</definedName>
    <definedName name="ExternalData_69" localSheetId="6">'Range 3'!$L$1:$M$22</definedName>
    <definedName name="ExternalData_69" localSheetId="2">Voltage!$L$1:$O$22</definedName>
    <definedName name="ExternalData_7" localSheetId="14">Calibrate!$L$2:$L$65</definedName>
    <definedName name="ExternalData_7" localSheetId="3">'Range 0'!$L$1:$M$22</definedName>
    <definedName name="ExternalData_7" localSheetId="4">'Range 1'!$L$1:$M$22</definedName>
    <definedName name="ExternalData_7" localSheetId="5">'Range 2'!$L$1:$M$23</definedName>
    <definedName name="ExternalData_7" localSheetId="6">'Range 3'!$L$1:$M$2</definedName>
    <definedName name="ExternalData_7" localSheetId="2">Voltage!$L$1:$O$22</definedName>
    <definedName name="ExternalData_70" localSheetId="14">Calibrate!$L$2:$L$65</definedName>
    <definedName name="ExternalData_70" localSheetId="3">'Range 0'!$L$1:$M$22</definedName>
    <definedName name="ExternalData_70" localSheetId="4">'Range 1'!$L$1:$M$22</definedName>
    <definedName name="ExternalData_70" localSheetId="5">'Range 2'!$L$1:$M$22</definedName>
    <definedName name="ExternalData_70" localSheetId="6">'Range 3'!$L$1:$M$22</definedName>
    <definedName name="ExternalData_70" localSheetId="2">Voltage!$L$1:$O$22</definedName>
    <definedName name="ExternalData_71" localSheetId="14">Calibrate!$L$2:$L$65</definedName>
    <definedName name="ExternalData_71" localSheetId="3">'Range 0'!$L$1:$M$22</definedName>
    <definedName name="ExternalData_71" localSheetId="4">'Range 1'!$L$1:$M$22</definedName>
    <definedName name="ExternalData_71" localSheetId="5">'Range 2'!$L$1:$M$22</definedName>
    <definedName name="ExternalData_71" localSheetId="6">'Range 3'!$L$1:$M$21</definedName>
    <definedName name="ExternalData_71" localSheetId="2">Voltage!$L$1:$O$22</definedName>
    <definedName name="ExternalData_72" localSheetId="14">Calibrate!$L$2:$L$65</definedName>
    <definedName name="ExternalData_72" localSheetId="3">'Range 0'!$L$1:$M$22</definedName>
    <definedName name="ExternalData_72" localSheetId="4">'Range 1'!$L$1:$M$22</definedName>
    <definedName name="ExternalData_72" localSheetId="5">'Range 2'!$L$1:$M$22</definedName>
    <definedName name="ExternalData_72" localSheetId="6">'Range 3'!$L$1:$M$22</definedName>
    <definedName name="ExternalData_72" localSheetId="2">Voltage!$L$1:$O$22</definedName>
    <definedName name="ExternalData_73" localSheetId="14">Calibrate!$L$2:$L$65</definedName>
    <definedName name="ExternalData_73" localSheetId="3">'Range 0'!$L$1:$M$22</definedName>
    <definedName name="ExternalData_73" localSheetId="4">'Range 1'!$L$1:$M$22</definedName>
    <definedName name="ExternalData_73" localSheetId="5">'Range 2'!$L$1:$M$22</definedName>
    <definedName name="ExternalData_73" localSheetId="6">'Range 3'!$L$1:$M$22</definedName>
    <definedName name="ExternalData_73" localSheetId="2">Voltage!$L$1:$O$22</definedName>
    <definedName name="ExternalData_74" localSheetId="14">Calibrate!$L$2:$L$65</definedName>
    <definedName name="ExternalData_74" localSheetId="3">'Range 0'!$L$1:$M$22</definedName>
    <definedName name="ExternalData_74" localSheetId="4">'Range 1'!$L$1:$M$22</definedName>
    <definedName name="ExternalData_74" localSheetId="5">'Range 2'!$L$1:$M$22</definedName>
    <definedName name="ExternalData_74" localSheetId="6">'Range 3'!$L$1:$M$22</definedName>
    <definedName name="ExternalData_74" localSheetId="2">Voltage!$L$1:$O$22</definedName>
    <definedName name="ExternalData_75" localSheetId="14">Calibrate!$L$2:$L$95</definedName>
    <definedName name="ExternalData_75" localSheetId="3">'Range 0'!$L$1:$M$22</definedName>
    <definedName name="ExternalData_75" localSheetId="4">'Range 1'!$L$1:$M$22</definedName>
    <definedName name="ExternalData_75" localSheetId="5">'Range 2'!$L$1:$M$22</definedName>
    <definedName name="ExternalData_75" localSheetId="6">'Range 3'!$L$1:$M$22</definedName>
    <definedName name="ExternalData_75" localSheetId="2">Voltage!$L$1:$O$22</definedName>
    <definedName name="ExternalData_76" localSheetId="14">Calibrate!$L$2:$L$95</definedName>
    <definedName name="ExternalData_76" localSheetId="3">'Range 0'!$L$1:$M$22</definedName>
    <definedName name="ExternalData_76" localSheetId="4">'Range 1'!$L$1:$M$22</definedName>
    <definedName name="ExternalData_76" localSheetId="5">'Range 2'!$L$1:$M$22</definedName>
    <definedName name="ExternalData_76" localSheetId="6">'Range 3'!$L$1:$M$22</definedName>
    <definedName name="ExternalData_76" localSheetId="2">Voltage!$L$1:$O$22</definedName>
    <definedName name="ExternalData_77" localSheetId="14">Calibrate!$L$2:$L$95</definedName>
    <definedName name="ExternalData_77" localSheetId="3">'Range 0'!$L$1:$M$22</definedName>
    <definedName name="ExternalData_77" localSheetId="4">'Range 1'!$L$1:$M$22</definedName>
    <definedName name="ExternalData_77" localSheetId="5">'Range 2'!$L$1:$M$22</definedName>
    <definedName name="ExternalData_77" localSheetId="6">'Range 3'!$L$1:$M$22</definedName>
    <definedName name="ExternalData_77" localSheetId="2">Voltage!$L$1:$O$22</definedName>
    <definedName name="ExternalData_78" localSheetId="14">Calibrate!$L$2:$L$115</definedName>
    <definedName name="ExternalData_78" localSheetId="3">'Range 0'!$L$1:$M$22</definedName>
    <definedName name="ExternalData_78" localSheetId="4">'Range 1'!$L$1:$M$22</definedName>
    <definedName name="ExternalData_78" localSheetId="5">'Range 2'!$L$1:$M$22</definedName>
    <definedName name="ExternalData_78" localSheetId="6">'Range 3'!$L$1:$M$22</definedName>
    <definedName name="ExternalData_78" localSheetId="2">Voltage!$L$1:$O$22</definedName>
    <definedName name="ExternalData_79" localSheetId="14">Calibrate!$L$2:$L$115</definedName>
    <definedName name="ExternalData_79" localSheetId="3">'Range 0'!$L$1:$M$22</definedName>
    <definedName name="ExternalData_79" localSheetId="5">'Range 2'!$L$1:$M$22</definedName>
    <definedName name="ExternalData_79" localSheetId="6">'Range 3'!$L$1:$M$22</definedName>
    <definedName name="ExternalData_79" localSheetId="2">Voltage!$L$1:$O$22</definedName>
    <definedName name="ExternalData_8" localSheetId="14">Calibrate!$L$2:$L$65</definedName>
    <definedName name="ExternalData_8" localSheetId="3">'Range 0'!$L$1:$M$22</definedName>
    <definedName name="ExternalData_8" localSheetId="4">'Range 1'!$L$1:$M$22</definedName>
    <definedName name="ExternalData_8" localSheetId="5">'Range 2'!$L$1:$M$23</definedName>
    <definedName name="ExternalData_8" localSheetId="6">'Range 3'!$L$1:$M$2</definedName>
    <definedName name="ExternalData_8" localSheetId="2">Voltage!$L$1:$O$22</definedName>
    <definedName name="ExternalData_80" localSheetId="3">'Range 0'!$L$1:$M$22</definedName>
    <definedName name="ExternalData_80" localSheetId="5">'Range 2'!$L$1:$M$22</definedName>
    <definedName name="ExternalData_80" localSheetId="6">'Range 3'!$L$1:$M$22</definedName>
    <definedName name="ExternalData_80" localSheetId="2">Voltage!$L$1:$O$22</definedName>
    <definedName name="ExternalData_81" localSheetId="3">'Range 0'!$L$1:$M$22</definedName>
    <definedName name="ExternalData_81" localSheetId="6">'Range 3'!$L$1:$M$22</definedName>
    <definedName name="ExternalData_81" localSheetId="2">Voltage!$L$1:$O$22</definedName>
    <definedName name="ExternalData_82" localSheetId="3">'Range 0'!$L$1:$M$22</definedName>
    <definedName name="ExternalData_82" localSheetId="6">'Range 3'!$L$1:$M$22</definedName>
    <definedName name="ExternalData_82" localSheetId="2">Voltage!$L$1:$O$22</definedName>
    <definedName name="ExternalData_83" localSheetId="3">'Range 0'!$L$1:$M$22</definedName>
    <definedName name="ExternalData_83" localSheetId="6">'Range 3'!$L$1:$M$22</definedName>
    <definedName name="ExternalData_83" localSheetId="2">Voltage!$L$1:$O$22</definedName>
    <definedName name="ExternalData_84" localSheetId="3">'Range 0'!$L$1:$M$22</definedName>
    <definedName name="ExternalData_84" localSheetId="6">'Range 3'!$L$1:$M$22</definedName>
    <definedName name="ExternalData_84" localSheetId="2">Voltage!$L$1:$O$22</definedName>
    <definedName name="ExternalData_85" localSheetId="3">'Range 0'!$L$1:$M$22</definedName>
    <definedName name="ExternalData_85" localSheetId="6">'Range 3'!$L$1:$M$21</definedName>
    <definedName name="ExternalData_85" localSheetId="2">Voltage!$L$1:$O$22</definedName>
    <definedName name="ExternalData_86" localSheetId="3">'Range 0'!$L$1:$M$22</definedName>
    <definedName name="ExternalData_86" localSheetId="6">'Range 3'!$L$1:$M$21</definedName>
    <definedName name="ExternalData_86" localSheetId="2">Voltage!$L$1:$O$22</definedName>
    <definedName name="ExternalData_87" localSheetId="3">'Range 0'!$L$1:$M$22</definedName>
    <definedName name="ExternalData_87" localSheetId="6">'Range 3'!$L$1:$M$21</definedName>
    <definedName name="ExternalData_87" localSheetId="2">Voltage!$L$1:$O$22</definedName>
    <definedName name="ExternalData_88" localSheetId="3">'Range 0'!$L$1:$M$22</definedName>
    <definedName name="ExternalData_88" localSheetId="6">'Range 3'!$L$1:$M$21</definedName>
    <definedName name="ExternalData_88" localSheetId="2">Voltage!$L$1:$O$22</definedName>
    <definedName name="ExternalData_89" localSheetId="3">'Range 0'!$L$1:$M$22</definedName>
    <definedName name="ExternalData_89" localSheetId="6">'Range 3'!$L$1:$M$22</definedName>
    <definedName name="ExternalData_89" localSheetId="2">Voltage!$L$1:$O$22</definedName>
    <definedName name="ExternalData_9" localSheetId="14">Calibrate!$L$2:$L$65</definedName>
    <definedName name="ExternalData_9" localSheetId="3">'Range 0'!$L$1:$M$22</definedName>
    <definedName name="ExternalData_9" localSheetId="4">'Range 1'!$L$1:$M$22</definedName>
    <definedName name="ExternalData_9" localSheetId="5">'Range 2'!$L$1:$M$23</definedName>
    <definedName name="ExternalData_9" localSheetId="6">'Range 3'!$L$1:$M$2</definedName>
    <definedName name="ExternalData_90" localSheetId="3">'Range 0'!$L$1:$M$21</definedName>
    <definedName name="ExternalData_90" localSheetId="6">'Range 3'!$L$1:$M$22</definedName>
    <definedName name="ExternalData_90" localSheetId="2">Voltage!$L$1:$O$22</definedName>
    <definedName name="ExternalData_91" localSheetId="3">'Range 0'!$L$1:$M$21</definedName>
    <definedName name="ExternalData_91" localSheetId="6">'Range 3'!$L$1:$M$22</definedName>
    <definedName name="ExternalData_91" localSheetId="2">Voltage!$L$1:$O$22</definedName>
    <definedName name="ExternalData_92" localSheetId="3">'Range 0'!$L$1:$M$21</definedName>
    <definedName name="ExternalData_92" localSheetId="6">'Range 3'!$L$1:$M$22</definedName>
    <definedName name="ExternalData_92" localSheetId="2">Voltage!$L$1:$O$22</definedName>
    <definedName name="ExternalData_93" localSheetId="3">'Range 0'!$L$1:$M$21</definedName>
    <definedName name="ExternalData_93" localSheetId="6">'Range 3'!$L$1:$M$22</definedName>
    <definedName name="ExternalData_93" localSheetId="2">Voltage!$L$1:$O$22</definedName>
    <definedName name="ExternalData_94" localSheetId="3">'Range 0'!$L$1:$M$22</definedName>
    <definedName name="ExternalData_94" localSheetId="6">'Range 3'!$L$1:$M$22</definedName>
    <definedName name="ExternalData_94" localSheetId="2">Voltage!$L$1:$O$22</definedName>
    <definedName name="ExternalData_95" localSheetId="3">'Range 0'!$L$1:$M$22</definedName>
    <definedName name="ExternalData_95" localSheetId="6">'Range 3'!$L$1:$M$22</definedName>
    <definedName name="ExternalData_95" localSheetId="2">Voltage!$L$1:$O$22</definedName>
    <definedName name="ExternalData_96" localSheetId="3">'Range 0'!$L$1:$M$22</definedName>
    <definedName name="ExternalData_96" localSheetId="6">'Range 3'!$L$1:$M$22</definedName>
    <definedName name="ExternalData_96" localSheetId="2">Voltage!$L$1:$O$22</definedName>
    <definedName name="ExternalData_97" localSheetId="3">'Range 0'!$L$1:$M$22</definedName>
    <definedName name="ExternalData_97" localSheetId="6">'Range 3'!$L$1:$M$22</definedName>
    <definedName name="ExternalData_97" localSheetId="2">Voltage!$L$1:$O$22</definedName>
    <definedName name="ExternalData_98" localSheetId="3">'Range 0'!$L$1:$M$22</definedName>
    <definedName name="ExternalData_98" localSheetId="6">'Range 3'!$L$1:$M$22</definedName>
    <definedName name="ExternalData_98" localSheetId="2">Voltage!$L$1:$O$22</definedName>
    <definedName name="ExternalData_99" localSheetId="3">'Range 0'!$L$1:$M$22</definedName>
    <definedName name="ExternalData_99" localSheetId="6">'Range 3'!$L$1:$M$22</definedName>
    <definedName name="ExternalData_99" localSheetId="2">Voltage!$L$1:$O$22</definedName>
    <definedName name="Igain">Internal!$R$4</definedName>
    <definedName name="INT16_MAX">Internal!$L$3</definedName>
    <definedName name="INT16_MIN">Internal!$L$2</definedName>
    <definedName name="Vgain">Internal!$R$3</definedName>
    <definedName name="VOLT_RNG">Internal!$F$2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3" i="25" l="1"/>
  <c r="N18" i="24"/>
  <c r="M13" i="24"/>
  <c r="N13" i="25" l="1"/>
  <c r="M83" i="25"/>
  <c r="M84" i="25" s="1"/>
  <c r="M85" i="25" s="1"/>
  <c r="M86" i="25" s="1"/>
  <c r="M87" i="25" s="1"/>
  <c r="M88" i="25" s="1"/>
  <c r="M89" i="25" s="1"/>
  <c r="M90" i="25" s="1"/>
  <c r="M91" i="25" s="1"/>
  <c r="M92" i="25" s="1"/>
  <c r="M73" i="25"/>
  <c r="M74" i="25" s="1"/>
  <c r="M75" i="25" s="1"/>
  <c r="M76" i="25" s="1"/>
  <c r="M77" i="25" s="1"/>
  <c r="M78" i="25" s="1"/>
  <c r="M79" i="25" s="1"/>
  <c r="M80" i="25" s="1"/>
  <c r="M81" i="25" s="1"/>
  <c r="M82" i="25" s="1"/>
  <c r="M63" i="25"/>
  <c r="M64" i="25" s="1"/>
  <c r="M65" i="25" s="1"/>
  <c r="M66" i="25" s="1"/>
  <c r="M67" i="25" s="1"/>
  <c r="M68" i="25" s="1"/>
  <c r="M69" i="25" s="1"/>
  <c r="M70" i="25" s="1"/>
  <c r="M71" i="25" s="1"/>
  <c r="M72" i="25" s="1"/>
  <c r="M53" i="25"/>
  <c r="M54" i="25" s="1"/>
  <c r="M55" i="25" s="1"/>
  <c r="M56" i="25" s="1"/>
  <c r="M57" i="25" s="1"/>
  <c r="M58" i="25" s="1"/>
  <c r="M59" i="25" s="1"/>
  <c r="M60" i="25" s="1"/>
  <c r="M61" i="25" s="1"/>
  <c r="M62" i="25" s="1"/>
  <c r="M43" i="25"/>
  <c r="M44" i="25" s="1"/>
  <c r="M45" i="25" s="1"/>
  <c r="M46" i="25" s="1"/>
  <c r="M47" i="25" s="1"/>
  <c r="M48" i="25" s="1"/>
  <c r="M49" i="25" s="1"/>
  <c r="M50" i="25" s="1"/>
  <c r="M51" i="25" s="1"/>
  <c r="M52" i="25" s="1"/>
  <c r="M33" i="25"/>
  <c r="M34" i="25" s="1"/>
  <c r="M35" i="25" s="1"/>
  <c r="M36" i="25" s="1"/>
  <c r="M37" i="25" s="1"/>
  <c r="M38" i="25" s="1"/>
  <c r="M39" i="25" s="1"/>
  <c r="M40" i="25" s="1"/>
  <c r="M41" i="25" s="1"/>
  <c r="M42" i="25" s="1"/>
  <c r="M23" i="25"/>
  <c r="M24" i="25" s="1"/>
  <c r="M25" i="25" s="1"/>
  <c r="M26" i="25" s="1"/>
  <c r="M27" i="25" s="1"/>
  <c r="M28" i="25" s="1"/>
  <c r="M29" i="25" s="1"/>
  <c r="M30" i="25" s="1"/>
  <c r="M31" i="25" s="1"/>
  <c r="M32" i="25" s="1"/>
  <c r="M13" i="25"/>
  <c r="M14" i="25" s="1"/>
  <c r="M15" i="25" s="1"/>
  <c r="M16" i="25" s="1"/>
  <c r="M17" i="25" s="1"/>
  <c r="M18" i="25" s="1"/>
  <c r="M19" i="25" s="1"/>
  <c r="M20" i="25" s="1"/>
  <c r="M21" i="25" s="1"/>
  <c r="M22" i="25" s="1"/>
  <c r="AB15" i="25"/>
  <c r="AB16" i="25"/>
  <c r="AB17" i="25"/>
  <c r="AB18" i="25"/>
  <c r="AB19" i="25"/>
  <c r="AB20" i="25"/>
  <c r="AB21" i="25"/>
  <c r="AB22" i="25"/>
  <c r="AB23" i="25"/>
  <c r="C8" i="21" l="1"/>
  <c r="B11" i="21" l="1"/>
  <c r="B10" i="21"/>
  <c r="B9" i="21"/>
  <c r="F41" i="1"/>
  <c r="F44" i="1"/>
  <c r="F38" i="1"/>
  <c r="C9" i="21"/>
  <c r="G38" i="1" s="1"/>
  <c r="C10" i="21"/>
  <c r="G41" i="1" s="1"/>
  <c r="C11" i="21"/>
  <c r="G44" i="1" s="1"/>
  <c r="R26" i="1"/>
  <c r="F35" i="1"/>
  <c r="I7" i="22"/>
  <c r="I2" i="22"/>
  <c r="I1" i="22"/>
  <c r="B2" i="22"/>
  <c r="B113" i="21" l="1"/>
  <c r="B114" i="21"/>
  <c r="B115" i="21"/>
  <c r="B116" i="21"/>
  <c r="B117" i="21"/>
  <c r="B118" i="21"/>
  <c r="B119" i="21"/>
  <c r="B120" i="21"/>
  <c r="B121" i="21"/>
  <c r="B112" i="21"/>
  <c r="B103" i="21"/>
  <c r="B104" i="21"/>
  <c r="B105" i="21"/>
  <c r="B106" i="21"/>
  <c r="B107" i="21"/>
  <c r="B108" i="21"/>
  <c r="B109" i="21"/>
  <c r="B110" i="21"/>
  <c r="B111" i="21"/>
  <c r="B102" i="21"/>
  <c r="B93" i="21"/>
  <c r="B94" i="21"/>
  <c r="B95" i="21"/>
  <c r="B96" i="21"/>
  <c r="B97" i="21"/>
  <c r="B98" i="21"/>
  <c r="B99" i="21"/>
  <c r="B100" i="21"/>
  <c r="B101" i="21"/>
  <c r="B92" i="21"/>
  <c r="L18" i="24"/>
  <c r="L13" i="24"/>
  <c r="L22" i="24"/>
  <c r="L21" i="24"/>
  <c r="L20" i="24"/>
  <c r="L19" i="24"/>
  <c r="L17" i="24"/>
  <c r="L16" i="24"/>
  <c r="L15" i="24"/>
  <c r="L14" i="24"/>
  <c r="L12" i="24"/>
  <c r="K13" i="25" s="1"/>
  <c r="N18" i="23" l="1"/>
  <c r="N19" i="23"/>
  <c r="N20" i="23"/>
  <c r="N21" i="23"/>
  <c r="N22" i="23"/>
  <c r="N17" i="23"/>
  <c r="N14" i="23"/>
  <c r="N13" i="23"/>
  <c r="N12" i="23"/>
  <c r="O12" i="23" s="1"/>
  <c r="N15" i="23"/>
  <c r="N16" i="23"/>
  <c r="C102" i="21"/>
  <c r="AC14" i="25" s="1"/>
  <c r="C103" i="21"/>
  <c r="AC15" i="25" s="1"/>
  <c r="C104" i="21"/>
  <c r="AC16" i="25" s="1"/>
  <c r="C105" i="21"/>
  <c r="AC17" i="25" s="1"/>
  <c r="C106" i="21"/>
  <c r="AC18" i="25" s="1"/>
  <c r="C107" i="21"/>
  <c r="AC19" i="25" s="1"/>
  <c r="C108" i="21"/>
  <c r="AC20" i="25" s="1"/>
  <c r="C109" i="21"/>
  <c r="AC21" i="25" s="1"/>
  <c r="C110" i="21"/>
  <c r="AC22" i="25" s="1"/>
  <c r="C111" i="21"/>
  <c r="AC23" i="25" s="1"/>
  <c r="C112" i="21"/>
  <c r="AD14" i="25" s="1"/>
  <c r="C113" i="21"/>
  <c r="AD15" i="25" s="1"/>
  <c r="C114" i="21"/>
  <c r="AD16" i="25" s="1"/>
  <c r="C115" i="21"/>
  <c r="AD17" i="25" s="1"/>
  <c r="C116" i="21"/>
  <c r="AD18" i="25" s="1"/>
  <c r="C117" i="21"/>
  <c r="AD19" i="25" s="1"/>
  <c r="C118" i="21"/>
  <c r="AD20" i="25" s="1"/>
  <c r="C119" i="21"/>
  <c r="AD21" i="25" s="1"/>
  <c r="C120" i="21"/>
  <c r="AD22" i="25" s="1"/>
  <c r="C121" i="21"/>
  <c r="AD23" i="25" s="1"/>
  <c r="C72" i="21" l="1"/>
  <c r="O13" i="23" s="1"/>
  <c r="C73" i="21"/>
  <c r="O14" i="23" s="1"/>
  <c r="C74" i="21"/>
  <c r="O15" i="23" s="1"/>
  <c r="C75" i="21"/>
  <c r="O16" i="23" s="1"/>
  <c r="C76" i="21"/>
  <c r="O17" i="23" s="1"/>
  <c r="C77" i="21"/>
  <c r="O18" i="23" s="1"/>
  <c r="C78" i="21"/>
  <c r="O19" i="23" s="1"/>
  <c r="C79" i="21"/>
  <c r="O20" i="23" s="1"/>
  <c r="C80" i="21"/>
  <c r="O21" i="23" s="1"/>
  <c r="C81" i="21"/>
  <c r="O22" i="23" s="1"/>
  <c r="C82" i="21"/>
  <c r="B82" i="21" s="1"/>
  <c r="C83" i="21"/>
  <c r="M14" i="24" s="1"/>
  <c r="B83" i="21" s="1"/>
  <c r="C84" i="21"/>
  <c r="M15" i="24" s="1"/>
  <c r="B84" i="21" s="1"/>
  <c r="C85" i="21"/>
  <c r="M16" i="24" s="1"/>
  <c r="B85" i="21" s="1"/>
  <c r="C86" i="21"/>
  <c r="M17" i="24" s="1"/>
  <c r="B86" i="21" s="1"/>
  <c r="C87" i="21"/>
  <c r="C88" i="21"/>
  <c r="N19" i="24" s="1"/>
  <c r="C89" i="21"/>
  <c r="N20" i="24" s="1"/>
  <c r="C90" i="21"/>
  <c r="N21" i="24" s="1"/>
  <c r="C91" i="21"/>
  <c r="N22" i="24" s="1"/>
  <c r="C92" i="21"/>
  <c r="AB14" i="25" s="1"/>
  <c r="C93" i="21"/>
  <c r="C94" i="21"/>
  <c r="C95" i="21"/>
  <c r="C96" i="21"/>
  <c r="C97" i="21"/>
  <c r="C98" i="21"/>
  <c r="C99" i="21"/>
  <c r="C100" i="21"/>
  <c r="C101" i="21"/>
  <c r="O13" i="25" l="1"/>
  <c r="N14" i="25"/>
  <c r="P13" i="25" l="1"/>
  <c r="Q13" i="25" s="1"/>
  <c r="R13" i="25"/>
  <c r="T13" i="25"/>
  <c r="U13" i="25"/>
  <c r="B91" i="21"/>
  <c r="B87" i="21"/>
  <c r="B79" i="21"/>
  <c r="B75" i="21"/>
  <c r="B76" i="21"/>
  <c r="B73" i="21"/>
  <c r="B72" i="21"/>
  <c r="B78" i="21"/>
  <c r="B77" i="21"/>
  <c r="B74" i="21"/>
  <c r="B80" i="21"/>
  <c r="B81" i="21"/>
  <c r="N15" i="25"/>
  <c r="O14" i="25"/>
  <c r="B90" i="21"/>
  <c r="B88" i="21"/>
  <c r="B89" i="21"/>
  <c r="BH32" i="1"/>
  <c r="BH29" i="1"/>
  <c r="BH26" i="1"/>
  <c r="BB32" i="1"/>
  <c r="BB29" i="1"/>
  <c r="BB26" i="1"/>
  <c r="AV32" i="1"/>
  <c r="AV29" i="1"/>
  <c r="AV26" i="1"/>
  <c r="AP32" i="1"/>
  <c r="AP29" i="1"/>
  <c r="AP26" i="1"/>
  <c r="AJ32" i="1"/>
  <c r="AJ29" i="1"/>
  <c r="AJ26" i="1"/>
  <c r="AD32" i="1"/>
  <c r="AD29" i="1"/>
  <c r="AD26" i="1"/>
  <c r="X32" i="1"/>
  <c r="X29" i="1"/>
  <c r="X26" i="1"/>
  <c r="R32" i="1"/>
  <c r="R29" i="1"/>
  <c r="S13" i="25" l="1"/>
  <c r="V13" i="25"/>
  <c r="P14" i="25"/>
  <c r="Q14" i="25" s="1"/>
  <c r="U14" i="25"/>
  <c r="T14" i="25"/>
  <c r="R14" i="25"/>
  <c r="O15" i="25"/>
  <c r="N16" i="25"/>
  <c r="BB2" i="1"/>
  <c r="BB3" i="1"/>
  <c r="BB4" i="1"/>
  <c r="BB5" i="1"/>
  <c r="BB6" i="1"/>
  <c r="BB7" i="1"/>
  <c r="BB8" i="1"/>
  <c r="BB9" i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R4" i="11"/>
  <c r="R3" i="11"/>
  <c r="P15" i="25" l="1"/>
  <c r="Q15" i="25" s="1"/>
  <c r="T15" i="25"/>
  <c r="R15" i="25"/>
  <c r="U15" i="25"/>
  <c r="O16" i="25"/>
  <c r="N17" i="25"/>
  <c r="BH3" i="1"/>
  <c r="BI3" i="1"/>
  <c r="BH4" i="1"/>
  <c r="BI4" i="1"/>
  <c r="BH5" i="1"/>
  <c r="BI5" i="1"/>
  <c r="BH6" i="1"/>
  <c r="BI6" i="1"/>
  <c r="BH7" i="1"/>
  <c r="BI7" i="1"/>
  <c r="BH8" i="1"/>
  <c r="BI8" i="1"/>
  <c r="BH9" i="1"/>
  <c r="BI9" i="1"/>
  <c r="BH10" i="1"/>
  <c r="BI10" i="1"/>
  <c r="BH11" i="1"/>
  <c r="BI11" i="1"/>
  <c r="BH12" i="1"/>
  <c r="BI12" i="1"/>
  <c r="BH13" i="1"/>
  <c r="BI13" i="1"/>
  <c r="BH14" i="1"/>
  <c r="BI14" i="1"/>
  <c r="BH15" i="1"/>
  <c r="BI15" i="1"/>
  <c r="BH16" i="1"/>
  <c r="BI16" i="1"/>
  <c r="BH17" i="1"/>
  <c r="BI17" i="1"/>
  <c r="BH18" i="1"/>
  <c r="BI18" i="1"/>
  <c r="BH19" i="1"/>
  <c r="BI19" i="1"/>
  <c r="BH20" i="1"/>
  <c r="BI20" i="1"/>
  <c r="BH21" i="1"/>
  <c r="BI21" i="1"/>
  <c r="BH22" i="1"/>
  <c r="BI22" i="1"/>
  <c r="BC3" i="1"/>
  <c r="BC4" i="1"/>
  <c r="BC5" i="1"/>
  <c r="BC6" i="1"/>
  <c r="BC7" i="1"/>
  <c r="BC8" i="1"/>
  <c r="BC9" i="1"/>
  <c r="BC10" i="1"/>
  <c r="BC11" i="1"/>
  <c r="BC12" i="1"/>
  <c r="BC13" i="1"/>
  <c r="BC14" i="1"/>
  <c r="BC15" i="1"/>
  <c r="BC16" i="1"/>
  <c r="BC17" i="1"/>
  <c r="BC18" i="1"/>
  <c r="BC19" i="1"/>
  <c r="BC20" i="1"/>
  <c r="BC21" i="1"/>
  <c r="BC22" i="1"/>
  <c r="BI2" i="1"/>
  <c r="BC2" i="1"/>
  <c r="BH2" i="1"/>
  <c r="AV2" i="1"/>
  <c r="AV3" i="1"/>
  <c r="AW3" i="1"/>
  <c r="AV4" i="1"/>
  <c r="AW4" i="1"/>
  <c r="AV5" i="1"/>
  <c r="AW5" i="1"/>
  <c r="AV6" i="1"/>
  <c r="AW6" i="1"/>
  <c r="AV7" i="1"/>
  <c r="AW7" i="1"/>
  <c r="AV8" i="1"/>
  <c r="AW8" i="1"/>
  <c r="AV9" i="1"/>
  <c r="AW9" i="1"/>
  <c r="AV10" i="1"/>
  <c r="AW10" i="1"/>
  <c r="AV11" i="1"/>
  <c r="AW11" i="1"/>
  <c r="AV12" i="1"/>
  <c r="AW12" i="1"/>
  <c r="AV13" i="1"/>
  <c r="AW13" i="1"/>
  <c r="AV14" i="1"/>
  <c r="AW14" i="1"/>
  <c r="AV15" i="1"/>
  <c r="AW15" i="1"/>
  <c r="AV16" i="1"/>
  <c r="AW16" i="1"/>
  <c r="AV17" i="1"/>
  <c r="AW17" i="1"/>
  <c r="AV18" i="1"/>
  <c r="AW18" i="1"/>
  <c r="AV19" i="1"/>
  <c r="AW19" i="1"/>
  <c r="AV20" i="1"/>
  <c r="AW20" i="1"/>
  <c r="AV21" i="1"/>
  <c r="AW21" i="1"/>
  <c r="AV22" i="1"/>
  <c r="AW22" i="1"/>
  <c r="AW2" i="1"/>
  <c r="AQ2" i="1"/>
  <c r="AP2" i="1"/>
  <c r="S14" i="25" l="1"/>
  <c r="V14" i="25"/>
  <c r="S15" i="25"/>
  <c r="V15" i="25"/>
  <c r="P16" i="25"/>
  <c r="U16" i="25"/>
  <c r="T16" i="25"/>
  <c r="R16" i="25"/>
  <c r="N18" i="25"/>
  <c r="O17" i="25"/>
  <c r="AX26" i="1"/>
  <c r="AX29" i="1"/>
  <c r="B29" i="21" s="1"/>
  <c r="BD26" i="1"/>
  <c r="BD32" i="1"/>
  <c r="BJ26" i="1"/>
  <c r="BD29" i="1"/>
  <c r="BJ29" i="1"/>
  <c r="AX3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Q16" i="25" l="1"/>
  <c r="S16" i="25" s="1"/>
  <c r="P17" i="25"/>
  <c r="T17" i="25"/>
  <c r="R17" i="25"/>
  <c r="U17" i="25"/>
  <c r="N19" i="25"/>
  <c r="O18" i="25"/>
  <c r="BD4" i="1"/>
  <c r="BD8" i="1"/>
  <c r="BD12" i="1"/>
  <c r="BD16" i="1"/>
  <c r="BD20" i="1"/>
  <c r="BD2" i="1"/>
  <c r="BD5" i="1"/>
  <c r="BD9" i="1"/>
  <c r="BD13" i="1"/>
  <c r="BD17" i="1"/>
  <c r="BD21" i="1"/>
  <c r="BD6" i="1"/>
  <c r="BD10" i="1"/>
  <c r="BD14" i="1"/>
  <c r="BD18" i="1"/>
  <c r="BD22" i="1"/>
  <c r="BD3" i="1"/>
  <c r="BD7" i="1"/>
  <c r="BD11" i="1"/>
  <c r="BD15" i="1"/>
  <c r="BD19" i="1"/>
  <c r="AX4" i="1"/>
  <c r="AX8" i="1"/>
  <c r="AX12" i="1"/>
  <c r="AX16" i="1"/>
  <c r="AX20" i="1"/>
  <c r="AX5" i="1"/>
  <c r="AX9" i="1"/>
  <c r="AX13" i="1"/>
  <c r="AX17" i="1"/>
  <c r="AX21" i="1"/>
  <c r="AX2" i="1"/>
  <c r="AX11" i="1"/>
  <c r="AX19" i="1"/>
  <c r="AX6" i="1"/>
  <c r="AX10" i="1"/>
  <c r="AX14" i="1"/>
  <c r="AX18" i="1"/>
  <c r="AX22" i="1"/>
  <c r="AX3" i="1"/>
  <c r="AX7" i="1"/>
  <c r="AX15" i="1"/>
  <c r="F4" i="11"/>
  <c r="F5" i="11"/>
  <c r="F6" i="11"/>
  <c r="F7" i="11"/>
  <c r="F8" i="11"/>
  <c r="F9" i="11"/>
  <c r="F10" i="11"/>
  <c r="F3" i="11"/>
  <c r="AQ3" i="1"/>
  <c r="AQ4" i="1"/>
  <c r="AQ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K2" i="1"/>
  <c r="AP3" i="1"/>
  <c r="AP4" i="1"/>
  <c r="AP5" i="1"/>
  <c r="AP6" i="1"/>
  <c r="AP7" i="1"/>
  <c r="AP8" i="1"/>
  <c r="AP9" i="1"/>
  <c r="AP10" i="1"/>
  <c r="AP11" i="1"/>
  <c r="AP12" i="1"/>
  <c r="AP13" i="1"/>
  <c r="AP14" i="1"/>
  <c r="AP15" i="1"/>
  <c r="AP16" i="1"/>
  <c r="AP17" i="1"/>
  <c r="AP18" i="1"/>
  <c r="AP19" i="1"/>
  <c r="AP20" i="1"/>
  <c r="AP21" i="1"/>
  <c r="AP22" i="1"/>
  <c r="AJ2" i="1"/>
  <c r="V16" i="25" l="1"/>
  <c r="Q17" i="25"/>
  <c r="P18" i="25"/>
  <c r="U18" i="25"/>
  <c r="T18" i="25"/>
  <c r="R18" i="25"/>
  <c r="O19" i="25"/>
  <c r="N20" i="25"/>
  <c r="AY2" i="1"/>
  <c r="AZ2" i="1" s="1"/>
  <c r="AY3" i="1"/>
  <c r="AZ3" i="1" s="1"/>
  <c r="AR29" i="1"/>
  <c r="AR32" i="1"/>
  <c r="AR26" i="1"/>
  <c r="B45" i="21"/>
  <c r="B37" i="21"/>
  <c r="S17" i="25" l="1"/>
  <c r="V17" i="25"/>
  <c r="Q18" i="25"/>
  <c r="S18" i="25" s="1"/>
  <c r="P19" i="25"/>
  <c r="T19" i="25"/>
  <c r="R19" i="25"/>
  <c r="U19" i="25"/>
  <c r="O20" i="25"/>
  <c r="N21" i="25"/>
  <c r="C7" i="22"/>
  <c r="V18" i="25" l="1"/>
  <c r="Q19" i="25"/>
  <c r="S19" i="25" s="1"/>
  <c r="P20" i="25"/>
  <c r="U20" i="25"/>
  <c r="T20" i="25"/>
  <c r="R20" i="25"/>
  <c r="N22" i="25"/>
  <c r="O21" i="25"/>
  <c r="C2" i="21"/>
  <c r="V19" i="25" l="1"/>
  <c r="Q20" i="25"/>
  <c r="S20" i="25" s="1"/>
  <c r="P21" i="25"/>
  <c r="T21" i="25"/>
  <c r="R21" i="25"/>
  <c r="U21" i="25"/>
  <c r="N23" i="25"/>
  <c r="O22" i="25"/>
  <c r="B2" i="21"/>
  <c r="B1" i="22"/>
  <c r="AY22" i="1"/>
  <c r="AZ22" i="1" s="1"/>
  <c r="AY21" i="1"/>
  <c r="AZ21" i="1" s="1"/>
  <c r="AY20" i="1"/>
  <c r="AZ20" i="1" s="1"/>
  <c r="AY19" i="1"/>
  <c r="AZ19" i="1" s="1"/>
  <c r="AY18" i="1"/>
  <c r="AZ18" i="1" s="1"/>
  <c r="AY17" i="1"/>
  <c r="AZ17" i="1" s="1"/>
  <c r="AY16" i="1"/>
  <c r="AZ16" i="1" s="1"/>
  <c r="AY15" i="1"/>
  <c r="AZ15" i="1" s="1"/>
  <c r="AY14" i="1"/>
  <c r="AZ14" i="1" s="1"/>
  <c r="AY13" i="1"/>
  <c r="AZ13" i="1" s="1"/>
  <c r="AY12" i="1"/>
  <c r="AZ12" i="1" s="1"/>
  <c r="AY11" i="1"/>
  <c r="AZ11" i="1" s="1"/>
  <c r="AY10" i="1"/>
  <c r="AZ10" i="1" s="1"/>
  <c r="AY9" i="1"/>
  <c r="AZ9" i="1" s="1"/>
  <c r="AY8" i="1"/>
  <c r="AZ8" i="1" s="1"/>
  <c r="AY7" i="1"/>
  <c r="AZ7" i="1" s="1"/>
  <c r="AY6" i="1"/>
  <c r="AZ6" i="1" s="1"/>
  <c r="AY5" i="1"/>
  <c r="AZ5" i="1" s="1"/>
  <c r="AY4" i="1"/>
  <c r="AZ4" i="1" s="1"/>
  <c r="V20" i="25" l="1"/>
  <c r="Q21" i="25"/>
  <c r="S21" i="25" s="1"/>
  <c r="P22" i="25"/>
  <c r="U22" i="25"/>
  <c r="T22" i="25"/>
  <c r="R22" i="25"/>
  <c r="N24" i="25"/>
  <c r="O23" i="25"/>
  <c r="D6" i="11"/>
  <c r="D5" i="11"/>
  <c r="D4" i="11"/>
  <c r="X2" i="1"/>
  <c r="Y2" i="1"/>
  <c r="AD2" i="1"/>
  <c r="AE2" i="1"/>
  <c r="D3" i="11"/>
  <c r="C12" i="21"/>
  <c r="G29" i="1" s="1"/>
  <c r="C13" i="21"/>
  <c r="G26" i="1" s="1"/>
  <c r="C14" i="21"/>
  <c r="G32" i="1" s="1"/>
  <c r="C15" i="21"/>
  <c r="I29" i="1" s="1"/>
  <c r="C16" i="21"/>
  <c r="I26" i="1" s="1"/>
  <c r="C17" i="21"/>
  <c r="I32" i="1" s="1"/>
  <c r="C18" i="21"/>
  <c r="K29" i="1" s="1"/>
  <c r="C19" i="21"/>
  <c r="K26" i="1" s="1"/>
  <c r="C20" i="21"/>
  <c r="K32" i="1" s="1"/>
  <c r="C21" i="21"/>
  <c r="O29" i="1" s="1"/>
  <c r="C22" i="21"/>
  <c r="O26" i="1" s="1"/>
  <c r="C23" i="21"/>
  <c r="O32" i="1" s="1"/>
  <c r="C24" i="21"/>
  <c r="U29" i="1" s="1"/>
  <c r="C25" i="21"/>
  <c r="AA29" i="1" s="1"/>
  <c r="C26" i="21"/>
  <c r="AG29" i="1" s="1"/>
  <c r="C27" i="21"/>
  <c r="AM29" i="1" s="1"/>
  <c r="C28" i="21"/>
  <c r="AS29" i="1" s="1"/>
  <c r="C29" i="21"/>
  <c r="AY29" i="1" s="1"/>
  <c r="C30" i="21"/>
  <c r="BE29" i="1" s="1"/>
  <c r="C31" i="21"/>
  <c r="BK29" i="1" s="1"/>
  <c r="C32" i="21"/>
  <c r="U26" i="1" s="1"/>
  <c r="C33" i="21"/>
  <c r="AA26" i="1" s="1"/>
  <c r="C34" i="21"/>
  <c r="AG26" i="1" s="1"/>
  <c r="C35" i="21"/>
  <c r="AM26" i="1" s="1"/>
  <c r="C36" i="21"/>
  <c r="AS26" i="1" s="1"/>
  <c r="C37" i="21"/>
  <c r="AY26" i="1" s="1"/>
  <c r="C38" i="21"/>
  <c r="BE26" i="1" s="1"/>
  <c r="C39" i="21"/>
  <c r="BK26" i="1" s="1"/>
  <c r="C40" i="21"/>
  <c r="U32" i="1" s="1"/>
  <c r="C41" i="21"/>
  <c r="AA32" i="1" s="1"/>
  <c r="C42" i="21"/>
  <c r="AG32" i="1" s="1"/>
  <c r="C43" i="21"/>
  <c r="AM32" i="1" s="1"/>
  <c r="C44" i="21"/>
  <c r="AS32" i="1" s="1"/>
  <c r="C45" i="21"/>
  <c r="AY32" i="1" s="1"/>
  <c r="C46" i="21"/>
  <c r="BE32" i="1" s="1"/>
  <c r="C47" i="21"/>
  <c r="BK32" i="1" s="1"/>
  <c r="C48" i="21"/>
  <c r="S29" i="1" s="1"/>
  <c r="C49" i="21"/>
  <c r="Y29" i="1" s="1"/>
  <c r="C50" i="21"/>
  <c r="AE29" i="1" s="1"/>
  <c r="C51" i="21"/>
  <c r="AK29" i="1" s="1"/>
  <c r="C52" i="21"/>
  <c r="AQ29" i="1" s="1"/>
  <c r="C53" i="21"/>
  <c r="AW29" i="1" s="1"/>
  <c r="C54" i="21"/>
  <c r="BC29" i="1" s="1"/>
  <c r="C55" i="21"/>
  <c r="BI29" i="1" s="1"/>
  <c r="C56" i="21"/>
  <c r="S26" i="1" s="1"/>
  <c r="C57" i="21"/>
  <c r="Y26" i="1" s="1"/>
  <c r="C58" i="21"/>
  <c r="AE26" i="1" s="1"/>
  <c r="C59" i="21"/>
  <c r="AK26" i="1" s="1"/>
  <c r="C60" i="21"/>
  <c r="AQ26" i="1" s="1"/>
  <c r="C61" i="21"/>
  <c r="AW26" i="1" s="1"/>
  <c r="C62" i="21"/>
  <c r="BC26" i="1" s="1"/>
  <c r="C63" i="21"/>
  <c r="BI26" i="1" s="1"/>
  <c r="C64" i="21"/>
  <c r="S32" i="1" s="1"/>
  <c r="C65" i="21"/>
  <c r="Y32" i="1" s="1"/>
  <c r="C66" i="21"/>
  <c r="AE32" i="1" s="1"/>
  <c r="C67" i="21"/>
  <c r="AK32" i="1" s="1"/>
  <c r="C68" i="21"/>
  <c r="AQ32" i="1" s="1"/>
  <c r="C69" i="21"/>
  <c r="AW32" i="1" s="1"/>
  <c r="C70" i="21"/>
  <c r="BC32" i="1" s="1"/>
  <c r="C71" i="21"/>
  <c r="BI32" i="1" s="1"/>
  <c r="G35" i="1"/>
  <c r="V21" i="25" l="1"/>
  <c r="Q22" i="25"/>
  <c r="S22" i="25" s="1"/>
  <c r="T2" i="1"/>
  <c r="P23" i="25"/>
  <c r="T23" i="25"/>
  <c r="R23" i="25"/>
  <c r="U23" i="25"/>
  <c r="O24" i="25"/>
  <c r="N25" i="25"/>
  <c r="BM3" i="1"/>
  <c r="BM7" i="1"/>
  <c r="BM11" i="1"/>
  <c r="BM15" i="1"/>
  <c r="BM19" i="1"/>
  <c r="BM4" i="1"/>
  <c r="BM8" i="1"/>
  <c r="BM12" i="1"/>
  <c r="BM16" i="1"/>
  <c r="BM20" i="1"/>
  <c r="BM10" i="1"/>
  <c r="BM18" i="1"/>
  <c r="BM2" i="1"/>
  <c r="BM5" i="1"/>
  <c r="BM9" i="1"/>
  <c r="BM13" i="1"/>
  <c r="BM17" i="1"/>
  <c r="BM21" i="1"/>
  <c r="BM6" i="1"/>
  <c r="BM14" i="1"/>
  <c r="BM22" i="1"/>
  <c r="BG3" i="1"/>
  <c r="BG7" i="1"/>
  <c r="BG11" i="1"/>
  <c r="BG15" i="1"/>
  <c r="BG19" i="1"/>
  <c r="BG4" i="1"/>
  <c r="BG8" i="1"/>
  <c r="BG12" i="1"/>
  <c r="BG16" i="1"/>
  <c r="BG20" i="1"/>
  <c r="BG6" i="1"/>
  <c r="BG14" i="1"/>
  <c r="BG22" i="1"/>
  <c r="BG5" i="1"/>
  <c r="BG9" i="1"/>
  <c r="BG13" i="1"/>
  <c r="BG17" i="1"/>
  <c r="BG21" i="1"/>
  <c r="BG2" i="1"/>
  <c r="BG10" i="1"/>
  <c r="BG18" i="1"/>
  <c r="AC3" i="1"/>
  <c r="AC7" i="1"/>
  <c r="AC11" i="1"/>
  <c r="AC15" i="1"/>
  <c r="AC19" i="1"/>
  <c r="AC14" i="1"/>
  <c r="AC4" i="1"/>
  <c r="AC8" i="1"/>
  <c r="AC12" i="1"/>
  <c r="AC16" i="1"/>
  <c r="AC20" i="1"/>
  <c r="AC2" i="1"/>
  <c r="AC10" i="1"/>
  <c r="AC22" i="1"/>
  <c r="AC5" i="1"/>
  <c r="AC9" i="1"/>
  <c r="AC13" i="1"/>
  <c r="AC17" i="1"/>
  <c r="AC21" i="1"/>
  <c r="AC6" i="1"/>
  <c r="AC18" i="1"/>
  <c r="AO3" i="1"/>
  <c r="AO7" i="1"/>
  <c r="AO11" i="1"/>
  <c r="AO15" i="1"/>
  <c r="AO19" i="1"/>
  <c r="AO6" i="1"/>
  <c r="AO2" i="1"/>
  <c r="AO4" i="1"/>
  <c r="AO8" i="1"/>
  <c r="AO12" i="1"/>
  <c r="AO16" i="1"/>
  <c r="AO20" i="1"/>
  <c r="AO10" i="1"/>
  <c r="AO18" i="1"/>
  <c r="AO5" i="1"/>
  <c r="AO9" i="1"/>
  <c r="AO13" i="1"/>
  <c r="AO17" i="1"/>
  <c r="AO21" i="1"/>
  <c r="AO14" i="1"/>
  <c r="AO22" i="1"/>
  <c r="AI3" i="1"/>
  <c r="AI7" i="1"/>
  <c r="AI11" i="1"/>
  <c r="AI15" i="1"/>
  <c r="AI19" i="1"/>
  <c r="AI4" i="1"/>
  <c r="AI8" i="1"/>
  <c r="AI12" i="1"/>
  <c r="AI16" i="1"/>
  <c r="AI20" i="1"/>
  <c r="AI6" i="1"/>
  <c r="AI14" i="1"/>
  <c r="AI22" i="1"/>
  <c r="AI5" i="1"/>
  <c r="AI9" i="1"/>
  <c r="AI13" i="1"/>
  <c r="AI17" i="1"/>
  <c r="AI21" i="1"/>
  <c r="AI2" i="1"/>
  <c r="AI10" i="1"/>
  <c r="AI18" i="1"/>
  <c r="BA3" i="1"/>
  <c r="BA7" i="1"/>
  <c r="BA11" i="1"/>
  <c r="BA15" i="1"/>
  <c r="BA19" i="1"/>
  <c r="BA4" i="1"/>
  <c r="BA8" i="1"/>
  <c r="BA12" i="1"/>
  <c r="BA16" i="1"/>
  <c r="BA20" i="1"/>
  <c r="BA2" i="1"/>
  <c r="BA10" i="1"/>
  <c r="BA18" i="1"/>
  <c r="BA22" i="1"/>
  <c r="BA5" i="1"/>
  <c r="BA9" i="1"/>
  <c r="BA13" i="1"/>
  <c r="BA17" i="1"/>
  <c r="BA21" i="1"/>
  <c r="BA6" i="1"/>
  <c r="BA14" i="1"/>
  <c r="AU3" i="1"/>
  <c r="AU7" i="1"/>
  <c r="AU11" i="1"/>
  <c r="AU15" i="1"/>
  <c r="AU19" i="1"/>
  <c r="AU2" i="1"/>
  <c r="AU4" i="1"/>
  <c r="AU8" i="1"/>
  <c r="AU12" i="1"/>
  <c r="AU16" i="1"/>
  <c r="AU20" i="1"/>
  <c r="AU10" i="1"/>
  <c r="AU18" i="1"/>
  <c r="AU5" i="1"/>
  <c r="AU9" i="1"/>
  <c r="AU13" i="1"/>
  <c r="AU17" i="1"/>
  <c r="AU21" i="1"/>
  <c r="AU6" i="1"/>
  <c r="AU14" i="1"/>
  <c r="AU22" i="1"/>
  <c r="W3" i="1"/>
  <c r="W7" i="1"/>
  <c r="W11" i="1"/>
  <c r="W15" i="1"/>
  <c r="W19" i="1"/>
  <c r="W2" i="1"/>
  <c r="W14" i="1"/>
  <c r="W4" i="1"/>
  <c r="W8" i="1"/>
  <c r="W12" i="1"/>
  <c r="W16" i="1"/>
  <c r="W20" i="1"/>
  <c r="W10" i="1"/>
  <c r="W18" i="1"/>
  <c r="W5" i="1"/>
  <c r="W9" i="1"/>
  <c r="W13" i="1"/>
  <c r="W17" i="1"/>
  <c r="W21" i="1"/>
  <c r="W6" i="1"/>
  <c r="W22" i="1"/>
  <c r="AF6" i="1"/>
  <c r="AF10" i="1"/>
  <c r="AF14" i="1"/>
  <c r="AF18" i="1"/>
  <c r="AF22" i="1"/>
  <c r="AF3" i="1"/>
  <c r="AF7" i="1"/>
  <c r="AF11" i="1"/>
  <c r="AF15" i="1"/>
  <c r="AF19" i="1"/>
  <c r="AF4" i="1"/>
  <c r="AF8" i="1"/>
  <c r="AF12" i="1"/>
  <c r="AF16" i="1"/>
  <c r="AF20" i="1"/>
  <c r="AF2" i="1"/>
  <c r="AF5" i="1"/>
  <c r="AF9" i="1"/>
  <c r="AF13" i="1"/>
  <c r="AF17" i="1"/>
  <c r="AF21" i="1"/>
  <c r="Z6" i="1"/>
  <c r="Z10" i="1"/>
  <c r="Z14" i="1"/>
  <c r="Z18" i="1"/>
  <c r="Z22" i="1"/>
  <c r="Z3" i="1"/>
  <c r="Z7" i="1"/>
  <c r="Z11" i="1"/>
  <c r="Z15" i="1"/>
  <c r="Z19" i="1"/>
  <c r="Z4" i="1"/>
  <c r="Z8" i="1"/>
  <c r="Z12" i="1"/>
  <c r="Z16" i="1"/>
  <c r="Z20" i="1"/>
  <c r="Z5" i="1"/>
  <c r="Z9" i="1"/>
  <c r="Z13" i="1"/>
  <c r="Z17" i="1"/>
  <c r="Z21" i="1"/>
  <c r="Z2" i="1"/>
  <c r="AR6" i="1"/>
  <c r="AR10" i="1"/>
  <c r="AR14" i="1"/>
  <c r="AR18" i="1"/>
  <c r="AR22" i="1"/>
  <c r="AR2" i="1"/>
  <c r="AR3" i="1"/>
  <c r="AR7" i="1"/>
  <c r="AR11" i="1"/>
  <c r="AR15" i="1"/>
  <c r="AR19" i="1"/>
  <c r="AR4" i="1"/>
  <c r="AR8" i="1"/>
  <c r="AR12" i="1"/>
  <c r="AR16" i="1"/>
  <c r="AR20" i="1"/>
  <c r="AR5" i="1"/>
  <c r="AR9" i="1"/>
  <c r="AR13" i="1"/>
  <c r="AS13" i="1" s="1"/>
  <c r="AT13" i="1" s="1"/>
  <c r="AR17" i="1"/>
  <c r="AR21" i="1"/>
  <c r="T6" i="1"/>
  <c r="T10" i="1"/>
  <c r="T14" i="1"/>
  <c r="T18" i="1"/>
  <c r="T22" i="1"/>
  <c r="T3" i="1"/>
  <c r="T7" i="1"/>
  <c r="T11" i="1"/>
  <c r="T15" i="1"/>
  <c r="T19" i="1"/>
  <c r="T4" i="1"/>
  <c r="T8" i="1"/>
  <c r="T12" i="1"/>
  <c r="T16" i="1"/>
  <c r="T20" i="1"/>
  <c r="T5" i="1"/>
  <c r="T9" i="1"/>
  <c r="T13" i="1"/>
  <c r="T17" i="1"/>
  <c r="T21" i="1"/>
  <c r="AL6" i="1"/>
  <c r="AL10" i="1"/>
  <c r="AL14" i="1"/>
  <c r="AL18" i="1"/>
  <c r="AL22" i="1"/>
  <c r="AL3" i="1"/>
  <c r="AL7" i="1"/>
  <c r="AL11" i="1"/>
  <c r="AL15" i="1"/>
  <c r="AL19" i="1"/>
  <c r="AL2" i="1"/>
  <c r="AL4" i="1"/>
  <c r="AL8" i="1"/>
  <c r="AL12" i="1"/>
  <c r="AL16" i="1"/>
  <c r="AL20" i="1"/>
  <c r="AL5" i="1"/>
  <c r="AL9" i="1"/>
  <c r="AL13" i="1"/>
  <c r="AL17" i="1"/>
  <c r="AL21" i="1"/>
  <c r="K3" i="1"/>
  <c r="V22" i="25" l="1"/>
  <c r="Q23" i="25"/>
  <c r="S23" i="25" s="1"/>
  <c r="P24" i="25"/>
  <c r="U24" i="25"/>
  <c r="T24" i="25"/>
  <c r="R24" i="25"/>
  <c r="O25" i="25"/>
  <c r="N26" i="25"/>
  <c r="AS17" i="1"/>
  <c r="AT17" i="1" s="1"/>
  <c r="AS4" i="1"/>
  <c r="AT4" i="1" s="1"/>
  <c r="AS22" i="1"/>
  <c r="AT22" i="1" s="1"/>
  <c r="AS10" i="1"/>
  <c r="AT10" i="1" s="1"/>
  <c r="AS7" i="1"/>
  <c r="AT7" i="1" s="1"/>
  <c r="AS16" i="1"/>
  <c r="AT16" i="1" s="1"/>
  <c r="AS14" i="1"/>
  <c r="AT14" i="1" s="1"/>
  <c r="AS15" i="1"/>
  <c r="AT15" i="1" s="1"/>
  <c r="AS3" i="1"/>
  <c r="AT3" i="1" s="1"/>
  <c r="AS19" i="1"/>
  <c r="AT19" i="1" s="1"/>
  <c r="AS18" i="1"/>
  <c r="AT18" i="1" s="1"/>
  <c r="AS8" i="1"/>
  <c r="AT8" i="1" s="1"/>
  <c r="AS2" i="1"/>
  <c r="AT2" i="1" s="1"/>
  <c r="AS11" i="1"/>
  <c r="AT11" i="1" s="1"/>
  <c r="AS6" i="1"/>
  <c r="AT6" i="1" s="1"/>
  <c r="AS5" i="1"/>
  <c r="AT5" i="1" s="1"/>
  <c r="AS12" i="1"/>
  <c r="AT12" i="1" s="1"/>
  <c r="AS21" i="1"/>
  <c r="AT21" i="1" s="1"/>
  <c r="AS20" i="1"/>
  <c r="AT20" i="1" s="1"/>
  <c r="AS9" i="1"/>
  <c r="AT9" i="1" s="1"/>
  <c r="AM2" i="1"/>
  <c r="AN2" i="1" s="1"/>
  <c r="AG2" i="1"/>
  <c r="AH2" i="1" s="1"/>
  <c r="AA2" i="1"/>
  <c r="AB2" i="1" s="1"/>
  <c r="U2" i="2"/>
  <c r="T2" i="2"/>
  <c r="S2" i="2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" i="1"/>
  <c r="V23" i="25" l="1"/>
  <c r="Q24" i="25"/>
  <c r="S24" i="25" s="1"/>
  <c r="P25" i="25"/>
  <c r="T25" i="25"/>
  <c r="R25" i="25"/>
  <c r="U25" i="25"/>
  <c r="N27" i="25"/>
  <c r="O26" i="25"/>
  <c r="C1" i="19"/>
  <c r="B2" i="19" s="1"/>
  <c r="C1" i="18"/>
  <c r="B2" i="18" s="1"/>
  <c r="C1" i="17"/>
  <c r="B2" i="17" s="1"/>
  <c r="C1" i="16"/>
  <c r="B2" i="16" s="1"/>
  <c r="C1" i="14"/>
  <c r="B2" i="14" s="1"/>
  <c r="C1" i="13"/>
  <c r="B2" i="13" s="1"/>
  <c r="C1" i="12"/>
  <c r="B2" i="12" s="1"/>
  <c r="C1" i="2"/>
  <c r="B2" i="2" s="1"/>
  <c r="C1" i="15"/>
  <c r="B2" i="15" s="1"/>
  <c r="B8" i="21"/>
  <c r="V24" i="25" l="1"/>
  <c r="Q25" i="25"/>
  <c r="S25" i="25" s="1"/>
  <c r="P26" i="25"/>
  <c r="U26" i="25"/>
  <c r="T26" i="25"/>
  <c r="R26" i="25"/>
  <c r="N28" i="25"/>
  <c r="O27" i="25"/>
  <c r="BH23" i="1"/>
  <c r="AV23" i="1"/>
  <c r="AP23" i="1"/>
  <c r="AJ23" i="1"/>
  <c r="AD23" i="1"/>
  <c r="X23" i="1"/>
  <c r="R23" i="1"/>
  <c r="F23" i="1"/>
  <c r="V25" i="25" l="1"/>
  <c r="Q26" i="25"/>
  <c r="S26" i="25" s="1"/>
  <c r="P27" i="25"/>
  <c r="T27" i="25"/>
  <c r="U27" i="25"/>
  <c r="R27" i="25"/>
  <c r="N29" i="25"/>
  <c r="O28" i="25"/>
  <c r="AK3" i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F2" i="1"/>
  <c r="Y3" i="1"/>
  <c r="AE3" i="1"/>
  <c r="Y4" i="1"/>
  <c r="AE4" i="1"/>
  <c r="Y5" i="1"/>
  <c r="AE5" i="1"/>
  <c r="Y6" i="1"/>
  <c r="AE6" i="1"/>
  <c r="Y7" i="1"/>
  <c r="AE7" i="1"/>
  <c r="Y8" i="1"/>
  <c r="AE8" i="1"/>
  <c r="Y9" i="1"/>
  <c r="AE9" i="1"/>
  <c r="Y10" i="1"/>
  <c r="AE10" i="1"/>
  <c r="Y11" i="1"/>
  <c r="AE11" i="1"/>
  <c r="Y12" i="1"/>
  <c r="AE12" i="1"/>
  <c r="Y13" i="1"/>
  <c r="AE13" i="1"/>
  <c r="Y14" i="1"/>
  <c r="AE14" i="1"/>
  <c r="Y15" i="1"/>
  <c r="AE15" i="1"/>
  <c r="Y16" i="1"/>
  <c r="AE16" i="1"/>
  <c r="Y17" i="1"/>
  <c r="AE17" i="1"/>
  <c r="Y18" i="1"/>
  <c r="AE18" i="1"/>
  <c r="Y19" i="1"/>
  <c r="AE19" i="1"/>
  <c r="Y20" i="1"/>
  <c r="AE20" i="1"/>
  <c r="Y21" i="1"/>
  <c r="AE21" i="1"/>
  <c r="Y22" i="1"/>
  <c r="AE22" i="1"/>
  <c r="B70" i="21"/>
  <c r="B68" i="2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" i="1"/>
  <c r="F3" i="1"/>
  <c r="H3" i="1"/>
  <c r="J3" i="1"/>
  <c r="N3" i="1"/>
  <c r="O3" i="1" s="1"/>
  <c r="F4" i="1"/>
  <c r="H4" i="1"/>
  <c r="J4" i="1"/>
  <c r="K4" i="1" s="1"/>
  <c r="N4" i="1"/>
  <c r="O4" i="1" s="1"/>
  <c r="F5" i="1"/>
  <c r="H5" i="1"/>
  <c r="J5" i="1"/>
  <c r="K5" i="1" s="1"/>
  <c r="N5" i="1"/>
  <c r="O5" i="1" s="1"/>
  <c r="F6" i="1"/>
  <c r="H6" i="1"/>
  <c r="J6" i="1"/>
  <c r="K6" i="1" s="1"/>
  <c r="N6" i="1"/>
  <c r="O6" i="1" s="1"/>
  <c r="F7" i="1"/>
  <c r="H7" i="1"/>
  <c r="J7" i="1"/>
  <c r="K7" i="1" s="1"/>
  <c r="N7" i="1"/>
  <c r="O7" i="1" s="1"/>
  <c r="F8" i="1"/>
  <c r="H8" i="1"/>
  <c r="J8" i="1"/>
  <c r="K8" i="1" s="1"/>
  <c r="N8" i="1"/>
  <c r="O8" i="1" s="1"/>
  <c r="F9" i="1"/>
  <c r="H9" i="1"/>
  <c r="J9" i="1"/>
  <c r="K9" i="1" s="1"/>
  <c r="N9" i="1"/>
  <c r="O9" i="1" s="1"/>
  <c r="F10" i="1"/>
  <c r="H10" i="1"/>
  <c r="J10" i="1"/>
  <c r="K10" i="1" s="1"/>
  <c r="N10" i="1"/>
  <c r="O10" i="1" s="1"/>
  <c r="F11" i="1"/>
  <c r="H11" i="1"/>
  <c r="J11" i="1"/>
  <c r="K11" i="1" s="1"/>
  <c r="N11" i="1"/>
  <c r="O11" i="1" s="1"/>
  <c r="F12" i="1"/>
  <c r="H12" i="1"/>
  <c r="J12" i="1"/>
  <c r="K12" i="1" s="1"/>
  <c r="N12" i="1"/>
  <c r="O12" i="1" s="1"/>
  <c r="F13" i="1"/>
  <c r="H13" i="1"/>
  <c r="J13" i="1"/>
  <c r="K13" i="1" s="1"/>
  <c r="N13" i="1"/>
  <c r="O13" i="1" s="1"/>
  <c r="F14" i="1"/>
  <c r="G14" i="1" s="1"/>
  <c r="H14" i="1"/>
  <c r="J14" i="1"/>
  <c r="K14" i="1" s="1"/>
  <c r="N14" i="1"/>
  <c r="O14" i="1" s="1"/>
  <c r="F15" i="1"/>
  <c r="H15" i="1"/>
  <c r="J15" i="1"/>
  <c r="K15" i="1" s="1"/>
  <c r="N15" i="1"/>
  <c r="O15" i="1" s="1"/>
  <c r="F16" i="1"/>
  <c r="H16" i="1"/>
  <c r="J16" i="1"/>
  <c r="K16" i="1" s="1"/>
  <c r="N16" i="1"/>
  <c r="O16" i="1" s="1"/>
  <c r="F17" i="1"/>
  <c r="H17" i="1"/>
  <c r="J17" i="1"/>
  <c r="K17" i="1" s="1"/>
  <c r="N17" i="1"/>
  <c r="O17" i="1" s="1"/>
  <c r="F18" i="1"/>
  <c r="H18" i="1"/>
  <c r="J18" i="1"/>
  <c r="K18" i="1" s="1"/>
  <c r="N18" i="1"/>
  <c r="O18" i="1" s="1"/>
  <c r="F19" i="1"/>
  <c r="H19" i="1"/>
  <c r="J19" i="1"/>
  <c r="K19" i="1" s="1"/>
  <c r="N19" i="1"/>
  <c r="O19" i="1" s="1"/>
  <c r="F20" i="1"/>
  <c r="H20" i="1"/>
  <c r="J20" i="1"/>
  <c r="K20" i="1" s="1"/>
  <c r="N20" i="1"/>
  <c r="O20" i="1" s="1"/>
  <c r="F21" i="1"/>
  <c r="H21" i="1"/>
  <c r="J21" i="1"/>
  <c r="K21" i="1" s="1"/>
  <c r="N21" i="1"/>
  <c r="O21" i="1" s="1"/>
  <c r="F22" i="1"/>
  <c r="H22" i="1"/>
  <c r="J22" i="1"/>
  <c r="K22" i="1" s="1"/>
  <c r="N22" i="1"/>
  <c r="O22" i="1" s="1"/>
  <c r="H2" i="1"/>
  <c r="J2" i="1"/>
  <c r="K2" i="1" s="1"/>
  <c r="L2" i="1" s="1"/>
  <c r="N2" i="1"/>
  <c r="O2" i="1" s="1"/>
  <c r="V26" i="25" l="1"/>
  <c r="Q27" i="25"/>
  <c r="S27" i="25" s="1"/>
  <c r="P28" i="25"/>
  <c r="U28" i="25"/>
  <c r="T28" i="25"/>
  <c r="R28" i="25"/>
  <c r="O29" i="25"/>
  <c r="N30" i="25"/>
  <c r="T32" i="1"/>
  <c r="B40" i="21" s="1"/>
  <c r="T26" i="1"/>
  <c r="B32" i="21" s="1"/>
  <c r="AA12" i="1"/>
  <c r="AB12" i="1" s="1"/>
  <c r="Z29" i="1"/>
  <c r="B25" i="21" s="1"/>
  <c r="AG3" i="1"/>
  <c r="AH3" i="1" s="1"/>
  <c r="AF26" i="1"/>
  <c r="B34" i="21" s="1"/>
  <c r="AM17" i="1"/>
  <c r="AN17" i="1" s="1"/>
  <c r="AM13" i="1"/>
  <c r="AN13" i="1" s="1"/>
  <c r="AA3" i="1"/>
  <c r="AB3" i="1" s="1"/>
  <c r="Z26" i="1"/>
  <c r="B33" i="21" s="1"/>
  <c r="Z32" i="1"/>
  <c r="B41" i="21" s="1"/>
  <c r="AM20" i="1"/>
  <c r="AN20" i="1" s="1"/>
  <c r="AL29" i="1"/>
  <c r="B27" i="21" s="1"/>
  <c r="AM4" i="1"/>
  <c r="AN4" i="1" s="1"/>
  <c r="H29" i="1"/>
  <c r="B15" i="21" s="1"/>
  <c r="N29" i="1"/>
  <c r="B21" i="21" s="1"/>
  <c r="J29" i="1"/>
  <c r="F29" i="1"/>
  <c r="B12" i="21" s="1"/>
  <c r="T29" i="1"/>
  <c r="B24" i="21" s="1"/>
  <c r="AG12" i="1"/>
  <c r="AH12" i="1" s="1"/>
  <c r="AF29" i="1"/>
  <c r="B26" i="21" s="1"/>
  <c r="J32" i="1"/>
  <c r="B20" i="21" s="1"/>
  <c r="F26" i="1"/>
  <c r="N26" i="1"/>
  <c r="B22" i="21" s="1"/>
  <c r="F32" i="1"/>
  <c r="B14" i="21" s="1"/>
  <c r="N32" i="1"/>
  <c r="B23" i="21" s="1"/>
  <c r="J26" i="1"/>
  <c r="B19" i="21" s="1"/>
  <c r="H32" i="1"/>
  <c r="B17" i="21" s="1"/>
  <c r="H26" i="1"/>
  <c r="B16" i="21" s="1"/>
  <c r="AM19" i="1"/>
  <c r="AN19" i="1" s="1"/>
  <c r="AM11" i="1"/>
  <c r="AN11" i="1" s="1"/>
  <c r="AM3" i="1"/>
  <c r="AN3" i="1" s="1"/>
  <c r="AL26" i="1"/>
  <c r="B35" i="21" s="1"/>
  <c r="G22" i="1"/>
  <c r="L22" i="1"/>
  <c r="M22" i="1" s="1"/>
  <c r="G21" i="1"/>
  <c r="L21" i="1"/>
  <c r="M21" i="1" s="1"/>
  <c r="G20" i="1"/>
  <c r="L20" i="1"/>
  <c r="M20" i="1" s="1"/>
  <c r="G19" i="1"/>
  <c r="L19" i="1"/>
  <c r="M19" i="1" s="1"/>
  <c r="G18" i="1"/>
  <c r="L18" i="1"/>
  <c r="M18" i="1" s="1"/>
  <c r="G17" i="1"/>
  <c r="L17" i="1"/>
  <c r="M17" i="1" s="1"/>
  <c r="G16" i="1"/>
  <c r="L16" i="1"/>
  <c r="M16" i="1" s="1"/>
  <c r="G15" i="1"/>
  <c r="L15" i="1"/>
  <c r="M15" i="1" s="1"/>
  <c r="L14" i="1"/>
  <c r="M14" i="1" s="1"/>
  <c r="G13" i="1"/>
  <c r="L13" i="1"/>
  <c r="M13" i="1" s="1"/>
  <c r="G12" i="1"/>
  <c r="L12" i="1"/>
  <c r="M12" i="1" s="1"/>
  <c r="G11" i="1"/>
  <c r="L11" i="1"/>
  <c r="M11" i="1" s="1"/>
  <c r="G10" i="1"/>
  <c r="L10" i="1"/>
  <c r="M10" i="1" s="1"/>
  <c r="G9" i="1"/>
  <c r="L9" i="1"/>
  <c r="M9" i="1" s="1"/>
  <c r="G8" i="1"/>
  <c r="L8" i="1"/>
  <c r="M8" i="1" s="1"/>
  <c r="G7" i="1"/>
  <c r="L7" i="1"/>
  <c r="M7" i="1" s="1"/>
  <c r="G6" i="1"/>
  <c r="L6" i="1"/>
  <c r="M6" i="1" s="1"/>
  <c r="G5" i="1"/>
  <c r="L5" i="1"/>
  <c r="M5" i="1" s="1"/>
  <c r="G4" i="1"/>
  <c r="L4" i="1"/>
  <c r="M4" i="1" s="1"/>
  <c r="G3" i="1"/>
  <c r="L3" i="1"/>
  <c r="M3" i="1" s="1"/>
  <c r="G2" i="1"/>
  <c r="M2" i="1"/>
  <c r="AM14" i="1"/>
  <c r="AN14" i="1" s="1"/>
  <c r="AM5" i="1"/>
  <c r="AN5" i="1" s="1"/>
  <c r="AG21" i="1"/>
  <c r="AH21" i="1" s="1"/>
  <c r="AG19" i="1"/>
  <c r="AH19" i="1" s="1"/>
  <c r="AG17" i="1"/>
  <c r="AH17" i="1" s="1"/>
  <c r="AG15" i="1"/>
  <c r="AH15" i="1" s="1"/>
  <c r="AG13" i="1"/>
  <c r="AH13" i="1" s="1"/>
  <c r="AG11" i="1"/>
  <c r="AH11" i="1" s="1"/>
  <c r="AG9" i="1"/>
  <c r="AH9" i="1" s="1"/>
  <c r="AG7" i="1"/>
  <c r="AH7" i="1" s="1"/>
  <c r="AG5" i="1"/>
  <c r="AH5" i="1" s="1"/>
  <c r="AG22" i="1"/>
  <c r="AH22" i="1" s="1"/>
  <c r="AG20" i="1"/>
  <c r="AH20" i="1" s="1"/>
  <c r="AG18" i="1"/>
  <c r="AH18" i="1" s="1"/>
  <c r="AG16" i="1"/>
  <c r="AH16" i="1" s="1"/>
  <c r="AG14" i="1"/>
  <c r="AH14" i="1" s="1"/>
  <c r="AG10" i="1"/>
  <c r="AH10" i="1" s="1"/>
  <c r="AG8" i="1"/>
  <c r="AH8" i="1" s="1"/>
  <c r="AG6" i="1"/>
  <c r="AH6" i="1" s="1"/>
  <c r="AG4" i="1"/>
  <c r="AH4" i="1" s="1"/>
  <c r="AA22" i="1"/>
  <c r="AB22" i="1" s="1"/>
  <c r="AA18" i="1"/>
  <c r="AB18" i="1" s="1"/>
  <c r="AA16" i="1"/>
  <c r="AB16" i="1" s="1"/>
  <c r="AA10" i="1"/>
  <c r="AB10" i="1" s="1"/>
  <c r="AA6" i="1"/>
  <c r="AB6" i="1" s="1"/>
  <c r="AA4" i="1"/>
  <c r="AB4" i="1" s="1"/>
  <c r="AA21" i="1"/>
  <c r="AB21" i="1" s="1"/>
  <c r="AA19" i="1"/>
  <c r="AB19" i="1" s="1"/>
  <c r="AA17" i="1"/>
  <c r="AB17" i="1" s="1"/>
  <c r="AA15" i="1"/>
  <c r="AB15" i="1" s="1"/>
  <c r="AA13" i="1"/>
  <c r="AB13" i="1" s="1"/>
  <c r="AA11" i="1"/>
  <c r="AB11" i="1" s="1"/>
  <c r="AA9" i="1"/>
  <c r="AB9" i="1" s="1"/>
  <c r="AA7" i="1"/>
  <c r="AB7" i="1" s="1"/>
  <c r="AA5" i="1"/>
  <c r="AB5" i="1" s="1"/>
  <c r="AA20" i="1"/>
  <c r="AB20" i="1" s="1"/>
  <c r="AA14" i="1"/>
  <c r="AB14" i="1" s="1"/>
  <c r="AA8" i="1"/>
  <c r="AB8" i="1" s="1"/>
  <c r="U2" i="1"/>
  <c r="V2" i="1" s="1"/>
  <c r="P12" i="1"/>
  <c r="Q12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P14" i="1"/>
  <c r="Q14" i="1" s="1"/>
  <c r="P13" i="1"/>
  <c r="Q13" i="1" s="1"/>
  <c r="P11" i="1"/>
  <c r="Q11" i="1" s="1"/>
  <c r="P10" i="1"/>
  <c r="Q10" i="1" s="1"/>
  <c r="P9" i="1"/>
  <c r="Q9" i="1" s="1"/>
  <c r="P8" i="1"/>
  <c r="Q8" i="1" s="1"/>
  <c r="P7" i="1"/>
  <c r="Q7" i="1" s="1"/>
  <c r="P6" i="1"/>
  <c r="Q6" i="1" s="1"/>
  <c r="P5" i="1"/>
  <c r="Q5" i="1" s="1"/>
  <c r="P4" i="1"/>
  <c r="Q4" i="1" s="1"/>
  <c r="P3" i="1"/>
  <c r="Q3" i="1" s="1"/>
  <c r="P2" i="1"/>
  <c r="Q2" i="1" s="1"/>
  <c r="B44" i="21"/>
  <c r="B36" i="21"/>
  <c r="B28" i="21"/>
  <c r="AF32" i="1"/>
  <c r="B42" i="21" s="1"/>
  <c r="BJ32" i="1"/>
  <c r="AL32" i="1"/>
  <c r="B43" i="21" s="1"/>
  <c r="B55" i="21"/>
  <c r="B63" i="21"/>
  <c r="B62" i="21"/>
  <c r="B60" i="21"/>
  <c r="B52" i="21"/>
  <c r="B50" i="21"/>
  <c r="B51" i="21"/>
  <c r="B48" i="21"/>
  <c r="B64" i="21"/>
  <c r="B56" i="21"/>
  <c r="B54" i="21"/>
  <c r="B61" i="21"/>
  <c r="B69" i="21"/>
  <c r="B67" i="21"/>
  <c r="B49" i="21"/>
  <c r="B71" i="21"/>
  <c r="B59" i="21"/>
  <c r="B58" i="21"/>
  <c r="B66" i="21"/>
  <c r="B65" i="21"/>
  <c r="B57" i="21"/>
  <c r="V27" i="25" l="1"/>
  <c r="Q28" i="25"/>
  <c r="S28" i="25" s="1"/>
  <c r="BJ4" i="1"/>
  <c r="BJ20" i="1"/>
  <c r="BJ17" i="1"/>
  <c r="BJ14" i="1"/>
  <c r="BK14" i="1" s="1"/>
  <c r="BL14" i="1" s="1"/>
  <c r="BJ7" i="1"/>
  <c r="BJ2" i="1"/>
  <c r="BK2" i="1" s="1"/>
  <c r="BL2" i="1" s="1"/>
  <c r="BJ8" i="1"/>
  <c r="BJ21" i="1"/>
  <c r="BK21" i="1" s="1"/>
  <c r="BL21" i="1" s="1"/>
  <c r="BJ18" i="1"/>
  <c r="BJ11" i="1"/>
  <c r="BJ12" i="1"/>
  <c r="BJ9" i="1"/>
  <c r="BJ22" i="1"/>
  <c r="BJ15" i="1"/>
  <c r="BJ16" i="1"/>
  <c r="BJ13" i="1"/>
  <c r="BK13" i="1" s="1"/>
  <c r="BL13" i="1" s="1"/>
  <c r="BJ10" i="1"/>
  <c r="BJ19" i="1"/>
  <c r="BJ5" i="1"/>
  <c r="BJ6" i="1"/>
  <c r="BJ3" i="1"/>
  <c r="P29" i="25"/>
  <c r="T29" i="25"/>
  <c r="U29" i="25"/>
  <c r="R29" i="25"/>
  <c r="N31" i="25"/>
  <c r="O30" i="25"/>
  <c r="AM8" i="1"/>
  <c r="AN8" i="1" s="1"/>
  <c r="AM10" i="1"/>
  <c r="AN10" i="1" s="1"/>
  <c r="AM7" i="1"/>
  <c r="AN7" i="1" s="1"/>
  <c r="AM16" i="1"/>
  <c r="AN16" i="1" s="1"/>
  <c r="AM21" i="1"/>
  <c r="AN21" i="1" s="1"/>
  <c r="AM18" i="1"/>
  <c r="AN18" i="1" s="1"/>
  <c r="AM12" i="1"/>
  <c r="AN12" i="1" s="1"/>
  <c r="AM15" i="1"/>
  <c r="AN15" i="1" s="1"/>
  <c r="AM6" i="1"/>
  <c r="AN6" i="1" s="1"/>
  <c r="AM9" i="1"/>
  <c r="AN9" i="1" s="1"/>
  <c r="AM22" i="1"/>
  <c r="AN22" i="1" s="1"/>
  <c r="BK3" i="1"/>
  <c r="BL3" i="1" s="1"/>
  <c r="BE3" i="1"/>
  <c r="BF3" i="1" s="1"/>
  <c r="BE2" i="1"/>
  <c r="BF2" i="1" s="1"/>
  <c r="U16" i="1"/>
  <c r="V16" i="1" s="1"/>
  <c r="U9" i="1"/>
  <c r="V9" i="1" s="1"/>
  <c r="U11" i="1"/>
  <c r="V11" i="1" s="1"/>
  <c r="U18" i="1"/>
  <c r="V18" i="1" s="1"/>
  <c r="U20" i="1"/>
  <c r="V20" i="1" s="1"/>
  <c r="U7" i="1"/>
  <c r="V7" i="1" s="1"/>
  <c r="U13" i="1"/>
  <c r="V13" i="1" s="1"/>
  <c r="U6" i="1"/>
  <c r="V6" i="1" s="1"/>
  <c r="U22" i="1"/>
  <c r="V22" i="1" s="1"/>
  <c r="U4" i="1"/>
  <c r="V4" i="1" s="1"/>
  <c r="U15" i="1"/>
  <c r="V15" i="1" s="1"/>
  <c r="U17" i="1"/>
  <c r="V17" i="1" s="1"/>
  <c r="U10" i="1"/>
  <c r="V10" i="1" s="1"/>
  <c r="U3" i="1"/>
  <c r="V3" i="1" s="1"/>
  <c r="U12" i="1"/>
  <c r="V12" i="1" s="1"/>
  <c r="U8" i="1"/>
  <c r="V8" i="1" s="1"/>
  <c r="U5" i="1"/>
  <c r="V5" i="1" s="1"/>
  <c r="U21" i="1"/>
  <c r="V21" i="1" s="1"/>
  <c r="U14" i="1"/>
  <c r="V14" i="1" s="1"/>
  <c r="U19" i="1"/>
  <c r="V19" i="1" s="1"/>
  <c r="B30" i="21"/>
  <c r="BE21" i="1"/>
  <c r="BF21" i="1" s="1"/>
  <c r="BE18" i="1"/>
  <c r="BF18" i="1" s="1"/>
  <c r="BE15" i="1"/>
  <c r="BF15" i="1" s="1"/>
  <c r="BE20" i="1"/>
  <c r="BF20" i="1" s="1"/>
  <c r="BE17" i="1"/>
  <c r="BF17" i="1" s="1"/>
  <c r="BE14" i="1"/>
  <c r="BF14" i="1" s="1"/>
  <c r="BE19" i="1"/>
  <c r="BF19" i="1" s="1"/>
  <c r="BE16" i="1"/>
  <c r="BF16" i="1" s="1"/>
  <c r="BE13" i="1"/>
  <c r="BF13" i="1" s="1"/>
  <c r="BE22" i="1"/>
  <c r="BF22" i="1" s="1"/>
  <c r="B47" i="21"/>
  <c r="B38" i="21"/>
  <c r="BE9" i="1"/>
  <c r="BF9" i="1" s="1"/>
  <c r="BE6" i="1"/>
  <c r="BF6" i="1" s="1"/>
  <c r="BE11" i="1"/>
  <c r="BF11" i="1" s="1"/>
  <c r="BE8" i="1"/>
  <c r="BF8" i="1" s="1"/>
  <c r="BE4" i="1"/>
  <c r="BF4" i="1" s="1"/>
  <c r="BE10" i="1"/>
  <c r="BF10" i="1" s="1"/>
  <c r="BE5" i="1"/>
  <c r="BF5" i="1" s="1"/>
  <c r="BE7" i="1"/>
  <c r="BF7" i="1" s="1"/>
  <c r="B39" i="21"/>
  <c r="B46" i="21"/>
  <c r="BE12" i="1"/>
  <c r="BF12" i="1" s="1"/>
  <c r="B53" i="21"/>
  <c r="B31" i="21"/>
  <c r="BK22" i="1"/>
  <c r="BL22" i="1" s="1"/>
  <c r="B18" i="21"/>
  <c r="B13" i="21"/>
  <c r="V28" i="25" l="1"/>
  <c r="Q29" i="25"/>
  <c r="S29" i="25" s="1"/>
  <c r="P30" i="25"/>
  <c r="U30" i="25"/>
  <c r="T30" i="25"/>
  <c r="R30" i="25"/>
  <c r="N32" i="25"/>
  <c r="O31" i="25"/>
  <c r="BK19" i="1"/>
  <c r="BL19" i="1" s="1"/>
  <c r="BK20" i="1"/>
  <c r="BL20" i="1" s="1"/>
  <c r="BK8" i="1"/>
  <c r="BL8" i="1" s="1"/>
  <c r="BK4" i="1"/>
  <c r="BL4" i="1" s="1"/>
  <c r="BK10" i="1"/>
  <c r="BL10" i="1" s="1"/>
  <c r="BK15" i="1"/>
  <c r="BL15" i="1" s="1"/>
  <c r="BK11" i="1"/>
  <c r="BL11" i="1" s="1"/>
  <c r="BK18" i="1"/>
  <c r="BL18" i="1" s="1"/>
  <c r="BK16" i="1"/>
  <c r="BL16" i="1" s="1"/>
  <c r="BK5" i="1"/>
  <c r="BL5" i="1" s="1"/>
  <c r="BK17" i="1"/>
  <c r="BL17" i="1" s="1"/>
  <c r="BK9" i="1"/>
  <c r="BL9" i="1" s="1"/>
  <c r="BK6" i="1"/>
  <c r="BL6" i="1" s="1"/>
  <c r="BK12" i="1"/>
  <c r="BL12" i="1" s="1"/>
  <c r="BK7" i="1"/>
  <c r="BL7" i="1" s="1"/>
  <c r="V29" i="25" l="1"/>
  <c r="Q30" i="25"/>
  <c r="S30" i="25" s="1"/>
  <c r="P31" i="25"/>
  <c r="T31" i="25"/>
  <c r="R31" i="25"/>
  <c r="U31" i="25"/>
  <c r="N33" i="25"/>
  <c r="O32" i="25"/>
  <c r="V30" i="25" l="1"/>
  <c r="Q31" i="25"/>
  <c r="S31" i="25" s="1"/>
  <c r="P32" i="25"/>
  <c r="U32" i="25"/>
  <c r="T32" i="25"/>
  <c r="R32" i="25"/>
  <c r="O33" i="25"/>
  <c r="N34" i="25"/>
  <c r="V31" i="25" l="1"/>
  <c r="Q32" i="25"/>
  <c r="S32" i="25" s="1"/>
  <c r="P33" i="25"/>
  <c r="T33" i="25"/>
  <c r="R33" i="25"/>
  <c r="U33" i="25"/>
  <c r="N35" i="25"/>
  <c r="O34" i="25"/>
  <c r="V32" i="25" l="1"/>
  <c r="Q33" i="25"/>
  <c r="S33" i="25" s="1"/>
  <c r="P34" i="25"/>
  <c r="U34" i="25"/>
  <c r="T34" i="25"/>
  <c r="R34" i="25"/>
  <c r="O35" i="25"/>
  <c r="N36" i="25"/>
  <c r="V33" i="25" l="1"/>
  <c r="Q34" i="25"/>
  <c r="S34" i="25" s="1"/>
  <c r="P35" i="25"/>
  <c r="T35" i="25"/>
  <c r="U35" i="25"/>
  <c r="R35" i="25"/>
  <c r="O36" i="25"/>
  <c r="N37" i="25"/>
  <c r="V34" i="25" l="1"/>
  <c r="Q35" i="25"/>
  <c r="V35" i="25" s="1"/>
  <c r="P36" i="25"/>
  <c r="U36" i="25"/>
  <c r="T36" i="25"/>
  <c r="R36" i="25"/>
  <c r="N38" i="25"/>
  <c r="O37" i="25"/>
  <c r="S35" i="25" l="1"/>
  <c r="Q36" i="25"/>
  <c r="V36" i="25" s="1"/>
  <c r="P37" i="25"/>
  <c r="T37" i="25"/>
  <c r="U37" i="25"/>
  <c r="R37" i="25"/>
  <c r="N39" i="25"/>
  <c r="O38" i="25"/>
  <c r="Q37" i="25" l="1"/>
  <c r="S37" i="25" s="1"/>
  <c r="S36" i="25"/>
  <c r="P38" i="25"/>
  <c r="U38" i="25"/>
  <c r="T38" i="25"/>
  <c r="R38" i="25"/>
  <c r="O39" i="25"/>
  <c r="N40" i="25"/>
  <c r="V37" i="25" l="1"/>
  <c r="Q38" i="25"/>
  <c r="S38" i="25" s="1"/>
  <c r="P39" i="25"/>
  <c r="T39" i="25"/>
  <c r="R39" i="25"/>
  <c r="U39" i="25"/>
  <c r="O40" i="25"/>
  <c r="N41" i="25"/>
  <c r="V38" i="25" l="1"/>
  <c r="Q39" i="25"/>
  <c r="S39" i="25" s="1"/>
  <c r="P40" i="25"/>
  <c r="U40" i="25"/>
  <c r="T40" i="25"/>
  <c r="R40" i="25"/>
  <c r="N42" i="25"/>
  <c r="O41" i="25"/>
  <c r="V39" i="25" l="1"/>
  <c r="Q40" i="25"/>
  <c r="V40" i="25" s="1"/>
  <c r="P41" i="25"/>
  <c r="T41" i="25"/>
  <c r="R41" i="25"/>
  <c r="U41" i="25"/>
  <c r="N43" i="25"/>
  <c r="O42" i="25"/>
  <c r="S40" i="25" l="1"/>
  <c r="Q41" i="25"/>
  <c r="S41" i="25" s="1"/>
  <c r="P42" i="25"/>
  <c r="U42" i="25"/>
  <c r="T42" i="25"/>
  <c r="R42" i="25"/>
  <c r="N44" i="25"/>
  <c r="O43" i="25"/>
  <c r="V41" i="25" l="1"/>
  <c r="Q42" i="25"/>
  <c r="S42" i="25" s="1"/>
  <c r="P43" i="25"/>
  <c r="T43" i="25"/>
  <c r="U43" i="25"/>
  <c r="R43" i="25"/>
  <c r="N45" i="25"/>
  <c r="O44" i="25"/>
  <c r="V42" i="25" l="1"/>
  <c r="Q43" i="25"/>
  <c r="S43" i="25" s="1"/>
  <c r="P44" i="25"/>
  <c r="U44" i="25"/>
  <c r="T44" i="25"/>
  <c r="R44" i="25"/>
  <c r="O45" i="25"/>
  <c r="N46" i="25"/>
  <c r="V43" i="25" l="1"/>
  <c r="Q44" i="25"/>
  <c r="S44" i="25" s="1"/>
  <c r="P45" i="25"/>
  <c r="T45" i="25"/>
  <c r="U45" i="25"/>
  <c r="R45" i="25"/>
  <c r="O46" i="25"/>
  <c r="N47" i="25"/>
  <c r="V44" i="25" l="1"/>
  <c r="Q45" i="25"/>
  <c r="S45" i="25" s="1"/>
  <c r="P46" i="25"/>
  <c r="U46" i="25"/>
  <c r="T46" i="25"/>
  <c r="R46" i="25"/>
  <c r="N48" i="25"/>
  <c r="O47" i="25"/>
  <c r="V45" i="25" l="1"/>
  <c r="Q46" i="25"/>
  <c r="S46" i="25" s="1"/>
  <c r="P47" i="25"/>
  <c r="T47" i="25"/>
  <c r="R47" i="25"/>
  <c r="U47" i="25"/>
  <c r="N49" i="25"/>
  <c r="O48" i="25"/>
  <c r="V46" i="25" l="1"/>
  <c r="Q47" i="25"/>
  <c r="S47" i="25" s="1"/>
  <c r="P48" i="25"/>
  <c r="U48" i="25"/>
  <c r="T48" i="25"/>
  <c r="R48" i="25"/>
  <c r="N50" i="25"/>
  <c r="O49" i="25"/>
  <c r="V47" i="25" l="1"/>
  <c r="Q48" i="25"/>
  <c r="V48" i="25" s="1"/>
  <c r="P49" i="25"/>
  <c r="T49" i="25"/>
  <c r="R49" i="25"/>
  <c r="U49" i="25"/>
  <c r="O50" i="25"/>
  <c r="N51" i="25"/>
  <c r="S48" i="25" l="1"/>
  <c r="Q49" i="25"/>
  <c r="S49" i="25" s="1"/>
  <c r="P50" i="25"/>
  <c r="U50" i="25"/>
  <c r="T50" i="25"/>
  <c r="R50" i="25"/>
  <c r="N52" i="25"/>
  <c r="O51" i="25"/>
  <c r="V49" i="25" l="1"/>
  <c r="Q50" i="25"/>
  <c r="S50" i="25" s="1"/>
  <c r="P51" i="25"/>
  <c r="T51" i="25"/>
  <c r="U51" i="25"/>
  <c r="R51" i="25"/>
  <c r="N53" i="25"/>
  <c r="O52" i="25"/>
  <c r="V50" i="25" l="1"/>
  <c r="Q51" i="25"/>
  <c r="V51" i="25" s="1"/>
  <c r="P52" i="25"/>
  <c r="U52" i="25"/>
  <c r="T52" i="25"/>
  <c r="R52" i="25"/>
  <c r="N54" i="25"/>
  <c r="O53" i="25"/>
  <c r="S51" i="25" l="1"/>
  <c r="Q52" i="25"/>
  <c r="V52" i="25" s="1"/>
  <c r="P53" i="25"/>
  <c r="T53" i="25"/>
  <c r="U53" i="25"/>
  <c r="R53" i="25"/>
  <c r="O54" i="25"/>
  <c r="N55" i="25"/>
  <c r="S52" i="25" l="1"/>
  <c r="Q53" i="25"/>
  <c r="S53" i="25" s="1"/>
  <c r="P54" i="25"/>
  <c r="U54" i="25"/>
  <c r="T54" i="25"/>
  <c r="R54" i="25"/>
  <c r="O55" i="25"/>
  <c r="N56" i="25"/>
  <c r="V53" i="25" l="1"/>
  <c r="Q54" i="25"/>
  <c r="S54" i="25" s="1"/>
  <c r="P55" i="25"/>
  <c r="T55" i="25"/>
  <c r="R55" i="25"/>
  <c r="U55" i="25"/>
  <c r="N57" i="25"/>
  <c r="O56" i="25"/>
  <c r="V54" i="25" l="1"/>
  <c r="Q55" i="25"/>
  <c r="S55" i="25" s="1"/>
  <c r="P56" i="25"/>
  <c r="U56" i="25"/>
  <c r="T56" i="25"/>
  <c r="R56" i="25"/>
  <c r="N58" i="25"/>
  <c r="O57" i="25"/>
  <c r="V55" i="25" l="1"/>
  <c r="Q56" i="25"/>
  <c r="S56" i="25" s="1"/>
  <c r="P57" i="25"/>
  <c r="T57" i="25"/>
  <c r="R57" i="25"/>
  <c r="U57" i="25"/>
  <c r="N59" i="25"/>
  <c r="O58" i="25"/>
  <c r="V56" i="25" l="1"/>
  <c r="Q57" i="25"/>
  <c r="S57" i="25" s="1"/>
  <c r="P58" i="25"/>
  <c r="U58" i="25"/>
  <c r="T58" i="25"/>
  <c r="R58" i="25"/>
  <c r="O59" i="25"/>
  <c r="N60" i="25"/>
  <c r="V57" i="25" l="1"/>
  <c r="Q58" i="25"/>
  <c r="S58" i="25" s="1"/>
  <c r="P59" i="25"/>
  <c r="T59" i="25"/>
  <c r="U59" i="25"/>
  <c r="R59" i="25"/>
  <c r="N61" i="25"/>
  <c r="O60" i="25"/>
  <c r="V58" i="25" l="1"/>
  <c r="Q59" i="25"/>
  <c r="S59" i="25" s="1"/>
  <c r="P60" i="25"/>
  <c r="U60" i="25"/>
  <c r="T60" i="25"/>
  <c r="R60" i="25"/>
  <c r="N62" i="25"/>
  <c r="O61" i="25"/>
  <c r="V59" i="25" l="1"/>
  <c r="Q60" i="25"/>
  <c r="S60" i="25" s="1"/>
  <c r="P61" i="25"/>
  <c r="T61" i="25"/>
  <c r="U61" i="25"/>
  <c r="R61" i="25"/>
  <c r="O62" i="25"/>
  <c r="N63" i="25"/>
  <c r="V60" i="25" l="1"/>
  <c r="Q61" i="25"/>
  <c r="S61" i="25" s="1"/>
  <c r="P62" i="25"/>
  <c r="U62" i="25"/>
  <c r="T62" i="25"/>
  <c r="R62" i="25"/>
  <c r="O63" i="25"/>
  <c r="N64" i="25"/>
  <c r="V61" i="25" l="1"/>
  <c r="Q62" i="25"/>
  <c r="S62" i="25" s="1"/>
  <c r="P63" i="25"/>
  <c r="T63" i="25"/>
  <c r="R63" i="25"/>
  <c r="U63" i="25"/>
  <c r="O64" i="25"/>
  <c r="N65" i="25"/>
  <c r="V62" i="25" l="1"/>
  <c r="Q63" i="25"/>
  <c r="S63" i="25" s="1"/>
  <c r="P64" i="25"/>
  <c r="U64" i="25"/>
  <c r="T64" i="25"/>
  <c r="R64" i="25"/>
  <c r="N66" i="25"/>
  <c r="O65" i="25"/>
  <c r="V63" i="25" l="1"/>
  <c r="Q64" i="25"/>
  <c r="S64" i="25" s="1"/>
  <c r="P65" i="25"/>
  <c r="T65" i="25"/>
  <c r="R65" i="25"/>
  <c r="U65" i="25"/>
  <c r="N67" i="25"/>
  <c r="O66" i="25"/>
  <c r="V64" i="25" l="1"/>
  <c r="Q65" i="25"/>
  <c r="S65" i="25" s="1"/>
  <c r="P66" i="25"/>
  <c r="U66" i="25"/>
  <c r="T66" i="25"/>
  <c r="R66" i="25"/>
  <c r="N68" i="25"/>
  <c r="O67" i="25"/>
  <c r="V65" i="25" l="1"/>
  <c r="Q66" i="25"/>
  <c r="V66" i="25" s="1"/>
  <c r="P67" i="25"/>
  <c r="T67" i="25"/>
  <c r="U67" i="25"/>
  <c r="R67" i="25"/>
  <c r="O68" i="25"/>
  <c r="N69" i="25"/>
  <c r="S66" i="25" l="1"/>
  <c r="Q67" i="25"/>
  <c r="V67" i="25" s="1"/>
  <c r="P68" i="25"/>
  <c r="U68" i="25"/>
  <c r="T68" i="25"/>
  <c r="R68" i="25"/>
  <c r="N70" i="25"/>
  <c r="O69" i="25"/>
  <c r="S67" i="25" l="1"/>
  <c r="Q68" i="25"/>
  <c r="V68" i="25" s="1"/>
  <c r="P69" i="25"/>
  <c r="T69" i="25"/>
  <c r="U69" i="25"/>
  <c r="R69" i="25"/>
  <c r="N71" i="25"/>
  <c r="O70" i="25"/>
  <c r="S68" i="25" l="1"/>
  <c r="Q69" i="25"/>
  <c r="S69" i="25" s="1"/>
  <c r="P70" i="25"/>
  <c r="U70" i="25"/>
  <c r="T70" i="25"/>
  <c r="R70" i="25"/>
  <c r="O71" i="25"/>
  <c r="N72" i="25"/>
  <c r="V69" i="25" l="1"/>
  <c r="Q70" i="25"/>
  <c r="S70" i="25" s="1"/>
  <c r="P71" i="25"/>
  <c r="T71" i="25"/>
  <c r="R71" i="25"/>
  <c r="U71" i="25"/>
  <c r="O72" i="25"/>
  <c r="N73" i="25"/>
  <c r="V70" i="25" l="1"/>
  <c r="Q71" i="25"/>
  <c r="S71" i="25" s="1"/>
  <c r="P72" i="25"/>
  <c r="U72" i="25"/>
  <c r="T72" i="25"/>
  <c r="R72" i="25"/>
  <c r="N74" i="25"/>
  <c r="O73" i="25"/>
  <c r="V71" i="25" l="1"/>
  <c r="Q72" i="25"/>
  <c r="S72" i="25" s="1"/>
  <c r="P73" i="25"/>
  <c r="T73" i="25"/>
  <c r="R73" i="25"/>
  <c r="U73" i="25"/>
  <c r="N75" i="25"/>
  <c r="O74" i="25"/>
  <c r="V72" i="25" l="1"/>
  <c r="Q73" i="25"/>
  <c r="V73" i="25" s="1"/>
  <c r="P74" i="25"/>
  <c r="U74" i="25"/>
  <c r="T74" i="25"/>
  <c r="R74" i="25"/>
  <c r="N76" i="25"/>
  <c r="O75" i="25"/>
  <c r="S73" i="25" l="1"/>
  <c r="Q74" i="25"/>
  <c r="V74" i="25" s="1"/>
  <c r="P75" i="25"/>
  <c r="T75" i="25"/>
  <c r="U75" i="25"/>
  <c r="R75" i="25"/>
  <c r="N77" i="25"/>
  <c r="O76" i="25"/>
  <c r="Q75" i="25" l="1"/>
  <c r="V75" i="25" s="1"/>
  <c r="S74" i="25"/>
  <c r="P76" i="25"/>
  <c r="U76" i="25"/>
  <c r="T76" i="25"/>
  <c r="R76" i="25"/>
  <c r="O77" i="25"/>
  <c r="N78" i="25"/>
  <c r="S75" i="25" l="1"/>
  <c r="Q76" i="25"/>
  <c r="S76" i="25" s="1"/>
  <c r="P77" i="25"/>
  <c r="T77" i="25"/>
  <c r="U77" i="25"/>
  <c r="R77" i="25"/>
  <c r="N79" i="25"/>
  <c r="O78" i="25"/>
  <c r="V76" i="25" l="1"/>
  <c r="Q77" i="25"/>
  <c r="S77" i="25" s="1"/>
  <c r="P78" i="25"/>
  <c r="U78" i="25"/>
  <c r="T78" i="25"/>
  <c r="R78" i="25"/>
  <c r="N80" i="25"/>
  <c r="O79" i="25"/>
  <c r="V77" i="25" l="1"/>
  <c r="Q78" i="25"/>
  <c r="V78" i="25" s="1"/>
  <c r="P79" i="25"/>
  <c r="T79" i="25"/>
  <c r="R79" i="25"/>
  <c r="U79" i="25"/>
  <c r="O80" i="25"/>
  <c r="N81" i="25"/>
  <c r="Q79" i="25" l="1"/>
  <c r="S79" i="25" s="1"/>
  <c r="S78" i="25"/>
  <c r="P80" i="25"/>
  <c r="U80" i="25"/>
  <c r="T80" i="25"/>
  <c r="R80" i="25"/>
  <c r="O81" i="25"/>
  <c r="N82" i="25"/>
  <c r="Q80" i="25" l="1"/>
  <c r="S80" i="25" s="1"/>
  <c r="V79" i="25"/>
  <c r="P81" i="25"/>
  <c r="T81" i="25"/>
  <c r="R81" i="25"/>
  <c r="U81" i="25"/>
  <c r="N83" i="25"/>
  <c r="O82" i="25"/>
  <c r="Q81" i="25" l="1"/>
  <c r="S81" i="25" s="1"/>
  <c r="V80" i="25"/>
  <c r="P82" i="25"/>
  <c r="U82" i="25"/>
  <c r="T82" i="25"/>
  <c r="R82" i="25"/>
  <c r="N84" i="25"/>
  <c r="O83" i="25"/>
  <c r="V81" i="25" l="1"/>
  <c r="Q82" i="25"/>
  <c r="S82" i="25" s="1"/>
  <c r="P83" i="25"/>
  <c r="T83" i="25"/>
  <c r="U83" i="25"/>
  <c r="R83" i="25"/>
  <c r="N85" i="25"/>
  <c r="O84" i="25"/>
  <c r="V82" i="25" l="1"/>
  <c r="Q83" i="25"/>
  <c r="S83" i="25" s="1"/>
  <c r="P84" i="25"/>
  <c r="U84" i="25"/>
  <c r="T84" i="25"/>
  <c r="R84" i="25"/>
  <c r="O85" i="25"/>
  <c r="N86" i="25"/>
  <c r="V83" i="25" l="1"/>
  <c r="Q84" i="25"/>
  <c r="V84" i="25" s="1"/>
  <c r="P85" i="25"/>
  <c r="T85" i="25"/>
  <c r="U85" i="25"/>
  <c r="R85" i="25"/>
  <c r="O86" i="25"/>
  <c r="N87" i="25"/>
  <c r="Q85" i="25" l="1"/>
  <c r="S85" i="25" s="1"/>
  <c r="S84" i="25"/>
  <c r="P86" i="25"/>
  <c r="U86" i="25"/>
  <c r="T86" i="25"/>
  <c r="R86" i="25"/>
  <c r="N88" i="25"/>
  <c r="O87" i="25"/>
  <c r="Q86" i="25" l="1"/>
  <c r="S86" i="25" s="1"/>
  <c r="V85" i="25"/>
  <c r="P87" i="25"/>
  <c r="T87" i="25"/>
  <c r="R87" i="25"/>
  <c r="U87" i="25"/>
  <c r="N89" i="25"/>
  <c r="O88" i="25"/>
  <c r="Q87" i="25" l="1"/>
  <c r="S87" i="25" s="1"/>
  <c r="V86" i="25"/>
  <c r="P88" i="25"/>
  <c r="U88" i="25"/>
  <c r="T88" i="25"/>
  <c r="R88" i="25"/>
  <c r="N90" i="25"/>
  <c r="O89" i="25"/>
  <c r="V87" i="25" l="1"/>
  <c r="Q88" i="25"/>
  <c r="V88" i="25" s="1"/>
  <c r="P89" i="25"/>
  <c r="T89" i="25"/>
  <c r="R89" i="25"/>
  <c r="U89" i="25"/>
  <c r="O90" i="25"/>
  <c r="N91" i="25"/>
  <c r="Q89" i="25" l="1"/>
  <c r="V89" i="25" s="1"/>
  <c r="S88" i="25"/>
  <c r="P90" i="25"/>
  <c r="U90" i="25"/>
  <c r="T90" i="25"/>
  <c r="R90" i="25"/>
  <c r="N92" i="25"/>
  <c r="O91" i="25"/>
  <c r="S89" i="25" l="1"/>
  <c r="Q90" i="25"/>
  <c r="V90" i="25" s="1"/>
  <c r="P91" i="25"/>
  <c r="T91" i="25"/>
  <c r="U91" i="25"/>
  <c r="R91" i="25"/>
  <c r="O92" i="25"/>
  <c r="S90" i="25" l="1"/>
  <c r="Q91" i="25"/>
  <c r="S91" i="25" s="1"/>
  <c r="P92" i="25"/>
  <c r="Q92" i="25" s="1"/>
  <c r="U92" i="25"/>
  <c r="T92" i="25"/>
  <c r="R92" i="25"/>
  <c r="R8" i="25"/>
  <c r="R10" i="25" l="1"/>
  <c r="V91" i="25"/>
  <c r="V92" i="25"/>
  <c r="Y8" i="25"/>
  <c r="R9" i="25"/>
  <c r="Y10" i="25" s="1"/>
  <c r="S92" i="25"/>
  <c r="Y9" i="25" l="1"/>
  <c r="Y11" i="25"/>
  <c r="Y12" i="25"/>
  <c r="AG13" i="25" l="1"/>
  <c r="AH13" i="25"/>
  <c r="AI13" i="2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Sclafani</author>
  </authors>
  <commentList>
    <comment ref="H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Matthew Sclafani:</t>
        </r>
        <r>
          <rPr>
            <sz val="9"/>
            <color indexed="81"/>
            <rFont val="Tahoma"/>
            <family val="2"/>
          </rPr>
          <t xml:space="preserve">
V1: always 0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al" type="6" refreshedVersion="6" background="1" saveData="1">
    <textPr prompt="0" codePage="936" sourceFile="C:\Potentiostat\SquidstatCalibrator\bin\Debug\cal.csv" comma="1">
      <textFields>
        <textField/>
      </textFields>
    </textPr>
  </connection>
  <connection id="2" xr16:uid="{00000000-0015-0000-FFFF-FFFF01000000}" name="cal_rsp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3" xr16:uid="{00000000-0015-0000-FFFF-FFFF02000000}" name="cal_rsp1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4" xr16:uid="{00000000-0015-0000-FFFF-FFFF03000000}" name="cal_rsp10" type="6" refreshedVersion="6" background="1" saveData="1">
    <textPr prompt="0" codePage="936" sourceFile="C:\Potentiostat\SquidstatCalibrator\bin\Debug\ch4\cal_rsp.csv" comma="1">
      <textFields>
        <textField/>
      </textFields>
    </textPr>
  </connection>
  <connection id="5" xr16:uid="{00000000-0015-0000-FFFF-FFFF04000000}" name="cal_rsp11" type="6" refreshedVersion="6" background="1" saveData="1">
    <textPr prompt="0" codePage="936" sourceFile="C:\Potentiostat\SquidstatCalibrator\bin\Debug\ss_1031_v1\ch4\cal_rsp.csv" comma="1">
      <textFields>
        <textField/>
      </textFields>
    </textPr>
  </connection>
  <connection id="6" xr16:uid="{00000000-0015-0000-FFFF-FFFF05000000}" name="cal_rsp12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7" xr16:uid="{00000000-0015-0000-FFFF-FFFF06000000}" name="cal_rsp13" type="6" refreshedVersion="6" background="1" saveData="1">
    <textPr prompt="0" codePage="936" sourceFile="C:\Potentiostat\SquidstatCalibrator\bin\Debug\ss_1031_v1\ch4\cal_rsp.csv" comma="1">
      <textFields>
        <textField/>
      </textFields>
    </textPr>
  </connection>
  <connection id="8" xr16:uid="{00000000-0015-0000-FFFF-FFFF07000000}" name="cal_rsp14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9" xr16:uid="{00000000-0015-0000-FFFF-FFFF08000000}" name="cal_rsp15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0" xr16:uid="{00000000-0015-0000-FFFF-FFFF09000000}" name="cal_rsp16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1" xr16:uid="{00000000-0015-0000-FFFF-FFFF0A000000}" name="cal_rsp17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2" xr16:uid="{00000000-0015-0000-FFFF-FFFF0B000000}" name="cal_rsp18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3" xr16:uid="{00000000-0015-0000-FFFF-FFFF0C000000}" name="cal_rsp19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4" xr16:uid="{00000000-0015-0000-FFFF-FFFF0D000000}" name="cal_rsp2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5" xr16:uid="{00000000-0015-0000-FFFF-FFFF0E000000}" name="cal_rsp20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6" xr16:uid="{00000000-0015-0000-FFFF-FFFF0F000000}" name="cal_rsp21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7" xr16:uid="{00000000-0015-0000-FFFF-FFFF10000000}" name="cal_rsp22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8" xr16:uid="{00000000-0015-0000-FFFF-FFFF11000000}" name="cal_rsp23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9" xr16:uid="{00000000-0015-0000-FFFF-FFFF12000000}" name="cal_rsp24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20" xr16:uid="{00000000-0015-0000-FFFF-FFFF13000000}" name="cal_rsp25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21" xr16:uid="{00000000-0015-0000-FFFF-FFFF14000000}" name="cal_rsp26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22" xr16:uid="{00000000-0015-0000-FFFF-FFFF15000000}" name="cal_rsp27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23" xr16:uid="{00000000-0015-0000-FFFF-FFFF16000000}" name="cal_rsp28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24" xr16:uid="{00000000-0015-0000-FFFF-FFFF17000000}" name="cal_rsp29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25" xr16:uid="{00000000-0015-0000-FFFF-FFFF18000000}" name="cal_rsp3" type="6" refreshedVersion="6" background="1" saveData="1">
    <textPr prompt="0" codePage="936" sourceFile="C:\Potentiostat\SquidstatCalibrator\bin\Debug\ch1\cal_rsp.csv" comma="1">
      <textFields>
        <textField/>
      </textFields>
    </textPr>
  </connection>
  <connection id="26" xr16:uid="{00000000-0015-0000-FFFF-FFFF19000000}" name="cal_rsp30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27" xr16:uid="{00000000-0015-0000-FFFF-FFFF1A000000}" name="cal_rsp31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28" xr16:uid="{00000000-0015-0000-FFFF-FFFF1B000000}" name="cal_rsp32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29" xr16:uid="{00000000-0015-0000-FFFF-FFFF1C000000}" name="cal_rsp33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30" xr16:uid="{00000000-0015-0000-FFFF-FFFF1D000000}" name="cal_rsp34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31" xr16:uid="{00000000-0015-0000-FFFF-FFFF1E000000}" name="cal_rsp35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32" xr16:uid="{00000000-0015-0000-FFFF-FFFF1F000000}" name="cal_rsp36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33" xr16:uid="{00000000-0015-0000-FFFF-FFFF20000000}" name="cal_rsp37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34" xr16:uid="{00000000-0015-0000-FFFF-FFFF21000000}" name="cal_rsp38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35" xr16:uid="{00000000-0015-0000-FFFF-FFFF22000000}" name="cal_rsp39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36" xr16:uid="{00000000-0015-0000-FFFF-FFFF23000000}" name="cal_rsp4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37" xr16:uid="{00000000-0015-0000-FFFF-FFFF24000000}" name="cal_rsp40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38" xr16:uid="{00000000-0015-0000-FFFF-FFFF25000000}" name="cal_rsp41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39" xr16:uid="{00000000-0015-0000-FFFF-FFFF26000000}" name="cal_rsp42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40" xr16:uid="{00000000-0015-0000-FFFF-FFFF27000000}" name="cal_rsp43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41" xr16:uid="{00000000-0015-0000-FFFF-FFFF28000000}" name="cal_rsp44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42" xr16:uid="{00000000-0015-0000-FFFF-FFFF29000000}" name="cal_rsp45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43" xr16:uid="{00000000-0015-0000-FFFF-FFFF2A000000}" name="cal_rsp46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44" xr16:uid="{00000000-0015-0000-FFFF-FFFF2B000000}" name="cal_rsp47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45" xr16:uid="{00000000-0015-0000-FFFF-FFFF2C000000}" name="cal_rsp48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46" xr16:uid="{00000000-0015-0000-FFFF-FFFF2D000000}" name="cal_rsp49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47" xr16:uid="{00000000-0015-0000-FFFF-FFFF2E000000}" name="cal_rsp5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48" xr16:uid="{00000000-0015-0000-FFFF-FFFF2F000000}" name="cal_rsp50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49" xr16:uid="{00000000-0015-0000-FFFF-FFFF30000000}" name="cal_rsp51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50" xr16:uid="{00000000-0015-0000-FFFF-FFFF31000000}" name="cal_rsp52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51" xr16:uid="{00000000-0015-0000-FFFF-FFFF32000000}" name="cal_rsp53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52" xr16:uid="{00000000-0015-0000-FFFF-FFFF33000000}" name="cal_rsp54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53" xr16:uid="{00000000-0015-0000-FFFF-FFFF34000000}" name="cal_rsp55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54" xr16:uid="{00000000-0015-0000-FFFF-FFFF35000000}" name="cal_rsp56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55" xr16:uid="{00000000-0015-0000-FFFF-FFFF36000000}" name="cal_rsp57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56" xr16:uid="{00000000-0015-0000-FFFF-FFFF37000000}" name="cal_rsp58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57" xr16:uid="{00000000-0015-0000-FFFF-FFFF38000000}" name="cal_rsp59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58" xr16:uid="{00000000-0015-0000-FFFF-FFFF39000000}" name="cal_rsp6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59" xr16:uid="{00000000-0015-0000-FFFF-FFFF3A000000}" name="cal_rsp60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60" xr16:uid="{00000000-0015-0000-FFFF-FFFF3B000000}" name="cal_rsp61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61" xr16:uid="{00000000-0015-0000-FFFF-FFFF3C000000}" name="cal_rsp62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62" xr16:uid="{00000000-0015-0000-FFFF-FFFF3D000000}" name="cal_rsp63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63" xr16:uid="{00000000-0015-0000-FFFF-FFFF3E000000}" name="cal_rsp64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64" xr16:uid="{00000000-0015-0000-FFFF-FFFF3F000000}" name="cal_rsp65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65" xr16:uid="{00000000-0015-0000-FFFF-FFFF40000000}" name="cal_rsp66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66" xr16:uid="{00000000-0015-0000-FFFF-FFFF41000000}" name="cal_rsp67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67" xr16:uid="{00000000-0015-0000-FFFF-FFFF42000000}" name="cal_rsp68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68" xr16:uid="{00000000-0015-0000-FFFF-FFFF43000000}" name="cal_rsp69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69" xr16:uid="{00000000-0015-0000-FFFF-FFFF44000000}" name="cal_rsp7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70" xr16:uid="{00000000-0015-0000-FFFF-FFFF45000000}" name="cal_rsp70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71" xr16:uid="{00000000-0015-0000-FFFF-FFFF46000000}" name="cal_rsp8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72" xr16:uid="{00000000-0015-0000-FFFF-FFFF47000000}" name="cal_rsp9" type="6" refreshedVersion="6" background="1" saveData="1">
    <textPr prompt="0" codePage="936" sourceFile="C:\Potentiostat\SquidstatCalibrator\bin\Debug\ch1\cal_rsp.csv" comma="1">
      <textFields>
        <textField/>
      </textFields>
    </textPr>
  </connection>
  <connection id="73" xr16:uid="{00000000-0015-0000-FFFF-FFFF48000000}" name="cal1" type="6" refreshedVersion="6" background="1" saveData="1">
    <textPr prompt="0" codePage="936" sourceFile="C:\Potentiostat\SquidstatCalibrator\bin\Debug\cal.csv" comma="1">
      <textFields>
        <textField/>
      </textFields>
    </textPr>
  </connection>
  <connection id="74" xr16:uid="{00000000-0015-0000-FFFF-FFFF49000000}" name="cal2" type="6" refreshedVersion="6" background="1" saveData="1">
    <textPr prompt="0" codePage="936" sourceFile="C:\Potentiostat\SquidstatCalibrator\bin\Debug\cal.csv" comma="1">
      <textFields>
        <textField/>
      </textFields>
    </textPr>
  </connection>
  <connection id="75" xr16:uid="{00000000-0015-0000-FFFF-FFFF4A000000}" name="cal3" type="6" refreshedVersion="6" background="1" saveData="1">
    <textPr prompt="0" codePage="936" sourceFile="C:\Potentiostat\SquidstatCalibrator\bin\Debug\cal.csv" comma="1">
      <textFields>
        <textField/>
      </textFields>
    </textPr>
  </connection>
  <connection id="76" xr16:uid="{00000000-0015-0000-FFFF-FFFF4B000000}" name="cal4" type="6" refreshedVersion="6" background="1" saveData="1">
    <textPr prompt="0" codePage="936" sourceFile="C:\Potentiostat\SquidstatCalibrator\bin\Debug\cal.csv" comma="1">
      <textFields>
        <textField/>
      </textFields>
    </textPr>
  </connection>
  <connection id="77" xr16:uid="{00000000-0015-0000-FFFF-FFFF4C000000}" name="cal5" type="6" refreshedVersion="6" background="1" saveData="1">
    <textPr prompt="0" codePage="936" sourceFile="C:\Potentiostat\SquidstatCalibrator\bin\Debug\cal.csv" comma="1">
      <textFields>
        <textField/>
      </textFields>
    </textPr>
  </connection>
  <connection id="78" xr16:uid="{00000000-0015-0000-FFFF-FFFF4D000000}" name="cal6" type="6" refreshedVersion="6" background="1" saveData="1">
    <textPr prompt="0" codePage="936" sourceFile="C:\Potentiostat\SquidstatCalibrator\bin\Debug\cal.csv" comma="1">
      <textFields>
        <textField/>
      </textFields>
    </textPr>
  </connection>
  <connection id="79" xr16:uid="{00000000-0015-0000-FFFF-FFFF4E000000}" name="cal7" type="6" refreshedVersion="6" background="1" saveData="1">
    <textPr prompt="0" codePage="936" sourceFile="C:\Potentiostat\SquidstatCalibrator\bin\Debug\cal.csv" comma="1">
      <textFields>
        <textField/>
      </textFields>
    </textPr>
  </connection>
  <connection id="80" xr16:uid="{00000000-0015-0000-FFFF-FFFF4F000000}" name="Calibration -- phase angle (12_28_2017 11_34 PM)" type="6" refreshedVersion="6" background="1" saveData="1">
    <textPr prompt="0" codePage="936" sourceFile="C:\Users\Matt\Desktop\Calibration -- phase angle (12_28_2017 11_34 PM)\Calibration -- phase angle (12_28_2017 11_34 PM).csv" comma="1">
      <textFields>
        <textField/>
      </textFields>
    </textPr>
  </connection>
  <connection id="81" xr16:uid="{00000000-0015-0000-FFFF-FFFF50000000}" name="Calibration -- phase angle (12_29_2017 4_11 PM)" type="6" refreshedVersion="6" background="1" saveData="1">
    <textPr prompt="0" codePage="936" sourceFile="C:\Users\Matt\Desktop\Calibration -- phase angle (12_29_2017 4_11 PM)\Calibration -- phase angle (12_29_2017 4_11 PM).csv" comma="1">
      <textFields>
        <textField/>
      </textFields>
    </textPr>
  </connection>
  <connection id="82" xr16:uid="{17F7C030-5A6D-4A17-88DE-1C37361259AC}" name="DC gain cal" type="6" refreshedVersion="6" background="1" saveData="1">
    <textPr prompt="0" codePage="936" sourceFile="C:\Potentiostat\SquidstatCalibrator\bin\Debug\DC gain cal.csv" comma="1">
      <textFields>
        <textField/>
      </textFields>
    </textPr>
  </connection>
  <connection id="83" xr16:uid="{00000000-0015-0000-FFFF-FFFF51000000}" name="dcgain3" type="6" refreshedVersion="6" background="1" saveData="1">
    <textPr prompt="0" codePage="936" sourceFile="C:\Users\Matt\Desktop\dcgain3\dcgain3.csv" comma="1">
      <textFields>
        <textField/>
      </textFields>
    </textPr>
  </connection>
  <connection id="84" xr16:uid="{00000000-0015-0000-FFFF-FFFF52000000}" keepAlive="1" name="Query - r0" description="Connection to the 'r0' query in the workbook." type="5" refreshedVersion="6" background="1">
    <dbPr connection="Provider=Microsoft.Mashup.OleDb.1;Data Source=$Workbook$;Location=r0;Extended Properties=&quot;&quot;" command="SELECT * FROM [r0]"/>
  </connection>
  <connection id="85" xr16:uid="{00000000-0015-0000-FFFF-FFFF53000000}" name="r0" type="6" refreshedVersion="6" background="1" saveData="1">
    <textPr prompt="0" codePage="936" sourceFile="C:\Users\mattc\GoogleDrive_ASU\SquidstatCalibrator\SquidstatCalibrator\bin\Debug\r0.csv" comma="1">
      <textFields>
        <textField/>
      </textFields>
    </textPr>
  </connection>
  <connection id="86" xr16:uid="{00000000-0015-0000-FFFF-FFFF54000000}" name="r0_agilent" type="6" refreshedVersion="6" background="1" saveData="1">
    <textPr prompt="0" codePage="936" sourceFile="C:\Users\mattc\GoogleDrive_ASU\SquidstatCalibrator\SquidstatCalibrator\bin\Debug\r0_agilent.csv" comma="1">
      <textFields>
        <textField/>
      </textFields>
    </textPr>
  </connection>
  <connection id="87" xr16:uid="{00000000-0015-0000-FFFF-FFFF55000000}" name="r01" type="6" refreshedVersion="6" background="1" saveData="1">
    <textPr prompt="0" codePage="936" sourceFile="C:\Users\mattc\GoogleDrive_ASU\SimpleSerial (1)\SimpleSerial\bin\Debug\r0.csv" comma="1">
      <textFields>
        <textField/>
      </textFields>
    </textPr>
  </connection>
  <connection id="88" xr16:uid="{00000000-0015-0000-FFFF-FFFF56000000}" name="r010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89" xr16:uid="{00000000-0015-0000-FFFF-FFFF57000000}" name="r0100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90" xr16:uid="{00000000-0015-0000-FFFF-FFFF58000000}" name="r0101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91" xr16:uid="{00000000-0015-0000-FFFF-FFFF59000000}" name="r0102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92" xr16:uid="{00000000-0015-0000-FFFF-FFFF5A000000}" name="r0103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93" xr16:uid="{00000000-0015-0000-FFFF-FFFF5B000000}" name="r0104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94" xr16:uid="{00000000-0015-0000-FFFF-FFFF5C000000}" name="r0105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95" xr16:uid="{00000000-0015-0000-FFFF-FFFF5D000000}" name="r0106" type="6" refreshedVersion="6" background="1" saveData="1">
    <textPr prompt="0" codePage="936" sourceFile="C:\Users\Matt Dion\Dropbox\MFC Systems files\Calibration files\Prime1035\ch0\r0.csv" comma="1">
      <textFields>
        <textField/>
      </textFields>
    </textPr>
  </connection>
  <connection id="96" xr16:uid="{00000000-0015-0000-FFFF-FFFF5E000000}" name="r010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97" xr16:uid="{00000000-0015-0000-FFFF-FFFF5F000000}" name="r011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98" xr16:uid="{00000000-0015-0000-FFFF-FFFF60000000}" name="r012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99" xr16:uid="{00000000-0015-0000-FFFF-FFFF61000000}" name="r013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00" xr16:uid="{00000000-0015-0000-FFFF-FFFF62000000}" name="r014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01" xr16:uid="{00000000-0015-0000-FFFF-FFFF63000000}" name="r015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02" xr16:uid="{00000000-0015-0000-FFFF-FFFF64000000}" name="r016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03" xr16:uid="{00000000-0015-0000-FFFF-FFFF65000000}" name="r01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04" xr16:uid="{00000000-0015-0000-FFFF-FFFF66000000}" name="r01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05" xr16:uid="{00000000-0015-0000-FFFF-FFFF67000000}" name="r019" type="6" refreshedVersion="6" background="1" saveData="1">
    <textPr prompt="0" codePage="936" sourceFile="C:\Users\Matt\Dropbox\MFC Systems files\Calibration files\Prime1029\ch0\r0.csv" comma="1">
      <textFields>
        <textField/>
      </textFields>
    </textPr>
  </connection>
  <connection id="106" xr16:uid="{00000000-0015-0000-FFFF-FFFF68000000}" name="r02" type="6" refreshedVersion="6" background="1" saveData="1">
    <textPr prompt="0" codePage="936" sourceFile="C:\Users\mattc\GoogleDrive_ASU\SimpleSerial (1)\SimpleSerial\bin\Debug\r0.csv" comma="1">
      <textFields>
        <textField/>
      </textFields>
    </textPr>
  </connection>
  <connection id="107" xr16:uid="{00000000-0015-0000-FFFF-FFFF69000000}" name="r020" type="6" refreshedVersion="6" background="1" saveData="1">
    <textPr prompt="0" codePage="936" sourceFile="C:\Users\Matt\Dropbox\MFC Systems files\Calibration files\Prime1029\ch1\r0.csv" comma="1">
      <textFields>
        <textField/>
      </textFields>
    </textPr>
  </connection>
  <connection id="108" xr16:uid="{00000000-0015-0000-FFFF-FFFF6A000000}" name="r021" type="6" refreshedVersion="6" background="1" saveData="1">
    <textPr prompt="0" codePage="936" sourceFile="C:\Users\Matt\Dropbox\MFC Systems files\Calibration files\Prime1029\ch0\r0.csv" comma="1">
      <textFields>
        <textField/>
      </textFields>
    </textPr>
  </connection>
  <connection id="109" xr16:uid="{00000000-0015-0000-FFFF-FFFF6B000000}" name="r022" type="6" refreshedVersion="6" background="1" saveData="1">
    <textPr prompt="0" codePage="936" sourceFile="C:\Users\Matt\Dropbox\MFC Systems files\Calibration files\Prime1029\ch2\r0.csv" comma="1">
      <textFields>
        <textField/>
      </textFields>
    </textPr>
  </connection>
  <connection id="110" xr16:uid="{00000000-0015-0000-FFFF-FFFF6C000000}" name="r023" type="6" refreshedVersion="6" background="1" saveData="1">
    <textPr prompt="0" codePage="936" sourceFile="C:\Users\Matt\Dropbox\MFC Systems files\Calibration files\Prime1029\ch3\r0.csv" comma="1">
      <textFields>
        <textField/>
      </textFields>
    </textPr>
  </connection>
  <connection id="111" xr16:uid="{00000000-0015-0000-FFFF-FFFF6D000000}" name="r024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12" xr16:uid="{00000000-0015-0000-FFFF-FFFF6E000000}" name="r025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13" xr16:uid="{00000000-0015-0000-FFFF-FFFF6F000000}" name="r026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14" xr16:uid="{00000000-0015-0000-FFFF-FFFF70000000}" name="r02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15" xr16:uid="{00000000-0015-0000-FFFF-FFFF71000000}" name="r02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16" xr16:uid="{00000000-0015-0000-FFFF-FFFF72000000}" name="r029" type="6" refreshedVersion="6" background="1" saveData="1">
    <textPr prompt="0" codePage="936" sourceFile="C:\Potentiostat\SquidstatCalibrator\bin\Debug\ch1\r0.csv" comma="1">
      <textFields>
        <textField/>
      </textFields>
    </textPr>
  </connection>
  <connection id="117" xr16:uid="{00000000-0015-0000-FFFF-FFFF73000000}" name="r03" type="6" refreshedVersion="6" background="1" saveData="1">
    <textPr prompt="0" codePage="936" sourceFile="C:\Users\mattc\GoogleDrive_ASU\SquidstatCalibrator\SquidstatCalibrator\bin\Debug\r0.csv" comma="1">
      <textFields>
        <textField/>
      </textFields>
    </textPr>
  </connection>
  <connection id="118" xr16:uid="{00000000-0015-0000-FFFF-FFFF74000000}" name="r030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19" xr16:uid="{00000000-0015-0000-FFFF-FFFF75000000}" name="r031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20" xr16:uid="{00000000-0015-0000-FFFF-FFFF76000000}" name="r032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21" xr16:uid="{00000000-0015-0000-FFFF-FFFF77000000}" name="r033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22" xr16:uid="{00000000-0015-0000-FFFF-FFFF78000000}" name="r034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23" xr16:uid="{00000000-0015-0000-FFFF-FFFF79000000}" name="r035" type="6" refreshedVersion="6" background="1" saveData="1">
    <textPr prompt="0" codePage="936" sourceFile="C:\Potentiostat\SquidstatCalibrator\bin\Debug\ch1\r0.csv" comma="1">
      <textFields>
        <textField/>
      </textFields>
    </textPr>
  </connection>
  <connection id="124" xr16:uid="{00000000-0015-0000-FFFF-FFFF7A000000}" name="r036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25" xr16:uid="{00000000-0015-0000-FFFF-FFFF7B000000}" name="r03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26" xr16:uid="{00000000-0015-0000-FFFF-FFFF7C000000}" name="r03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27" xr16:uid="{00000000-0015-0000-FFFF-FFFF7D000000}" name="r039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28" xr16:uid="{00000000-0015-0000-FFFF-FFFF7E000000}" name="r04" type="6" refreshedVersion="6" background="1" saveData="1">
    <textPr prompt="0" codePage="936" sourceFile="C:\Users\mattc\GoogleDrive_ASU\SquidstatCalibrator\SquidstatCalibrator\bin\Debug\r0.csv" comma="1">
      <textFields>
        <textField/>
      </textFields>
    </textPr>
  </connection>
  <connection id="129" xr16:uid="{00000000-0015-0000-FFFF-FFFF7F000000}" name="r040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30" xr16:uid="{00000000-0015-0000-FFFF-FFFF80000000}" name="r041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31" xr16:uid="{00000000-0015-0000-FFFF-FFFF81000000}" name="r042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32" xr16:uid="{00000000-0015-0000-FFFF-FFFF82000000}" name="r043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33" xr16:uid="{00000000-0015-0000-FFFF-FFFF83000000}" name="r044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34" xr16:uid="{00000000-0015-0000-FFFF-FFFF84000000}" name="r045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35" xr16:uid="{00000000-0015-0000-FFFF-FFFF85000000}" name="r046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36" xr16:uid="{00000000-0015-0000-FFFF-FFFF86000000}" name="r04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37" xr16:uid="{00000000-0015-0000-FFFF-FFFF87000000}" name="r04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38" xr16:uid="{00000000-0015-0000-FFFF-FFFF88000000}" name="r049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39" xr16:uid="{00000000-0015-0000-FFFF-FFFF89000000}" name="r05" type="6" refreshedVersion="6" background="1" saveData="1">
    <textPr prompt="0" codePage="936" sourceFile="C:\Users\mattc\GoogleDrive_ASU\SquidstatCalibrator\SquidstatCalibrator\bin\Debug\r0.csv" comma="1">
      <textFields>
        <textField/>
      </textFields>
    </textPr>
  </connection>
  <connection id="140" xr16:uid="{00000000-0015-0000-FFFF-FFFF8A000000}" name="r050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41" xr16:uid="{00000000-0015-0000-FFFF-FFFF8B000000}" name="r051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42" xr16:uid="{00000000-0015-0000-FFFF-FFFF8C000000}" name="r052" type="6" refreshedVersion="6" background="1" saveData="1">
    <textPr prompt="0" codePage="936" sourceFile="C:\Potentiostat\SquidstatCalibrator\bin\Debug\ss_1031_v1\ch4\r0.csv" comma="1">
      <textFields>
        <textField/>
      </textFields>
    </textPr>
  </connection>
  <connection id="143" xr16:uid="{00000000-0015-0000-FFFF-FFFF8D000000}" name="r053" type="6" refreshedVersion="6" background="1" saveData="1">
    <textPr prompt="0" codePage="936" sourceFile="C:\Potentiostat\SquidstatCalibrator\bin\Debug\ss_1031_v1\ch4\r0.csv" comma="1">
      <textFields>
        <textField/>
      </textFields>
    </textPr>
  </connection>
  <connection id="144" xr16:uid="{00000000-0015-0000-FFFF-FFFF8E000000}" name="r054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45" xr16:uid="{00000000-0015-0000-FFFF-FFFF8F000000}" name="r055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46" xr16:uid="{00000000-0015-0000-FFFF-FFFF90000000}" name="r056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47" xr16:uid="{00000000-0015-0000-FFFF-FFFF91000000}" name="r05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48" xr16:uid="{00000000-0015-0000-FFFF-FFFF92000000}" name="r05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49" xr16:uid="{00000000-0015-0000-FFFF-FFFF93000000}" name="r059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50" xr16:uid="{00000000-0015-0000-FFFF-FFFF94000000}" name="r06" type="6" refreshedVersion="6" background="1" saveData="1">
    <textPr prompt="0" codePage="936" sourceFile="C:\Users\Matt\Dropbox (Admiral Instruments)\Admiral Instruments Dropbox\software\SquidstatCalibrator\bin\Debug\r0.csv" comma="1">
      <textFields>
        <textField/>
      </textFields>
    </textPr>
  </connection>
  <connection id="151" xr16:uid="{00000000-0015-0000-FFFF-FFFF95000000}" name="r060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52" xr16:uid="{00000000-0015-0000-FFFF-FFFF96000000}" name="r061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53" xr16:uid="{00000000-0015-0000-FFFF-FFFF97000000}" name="r062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54" xr16:uid="{00000000-0015-0000-FFFF-FFFF98000000}" name="r063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55" xr16:uid="{00000000-0015-0000-FFFF-FFFF99000000}" name="r064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56" xr16:uid="{00000000-0015-0000-FFFF-FFFF9A000000}" name="r065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57" xr16:uid="{00000000-0015-0000-FFFF-FFFF9B000000}" name="r066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58" xr16:uid="{00000000-0015-0000-FFFF-FFFF9C000000}" name="r06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59" xr16:uid="{00000000-0015-0000-FFFF-FFFF9D000000}" name="r06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60" xr16:uid="{00000000-0015-0000-FFFF-FFFF9E000000}" name="r069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61" xr16:uid="{00000000-0015-0000-FFFF-FFFF9F000000}" name="r0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62" xr16:uid="{00000000-0015-0000-FFFF-FFFFA0000000}" name="r070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63" xr16:uid="{00000000-0015-0000-FFFF-FFFFA1000000}" name="r071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64" xr16:uid="{00000000-0015-0000-FFFF-FFFFA2000000}" name="r072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65" xr16:uid="{00000000-0015-0000-FFFF-FFFFA3000000}" name="r073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66" xr16:uid="{00000000-0015-0000-FFFF-FFFFA4000000}" name="r074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67" xr16:uid="{00000000-0015-0000-FFFF-FFFFA5000000}" name="r075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68" xr16:uid="{00000000-0015-0000-FFFF-FFFFA6000000}" name="r076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69" xr16:uid="{00000000-0015-0000-FFFF-FFFFA7000000}" name="r07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70" xr16:uid="{00000000-0015-0000-FFFF-FFFFA8000000}" name="r07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71" xr16:uid="{00000000-0015-0000-FFFF-FFFFA9000000}" name="r079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72" xr16:uid="{00000000-0015-0000-FFFF-FFFFAA000000}" name="r0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73" xr16:uid="{00000000-0015-0000-FFFF-FFFFAB000000}" name="r080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74" xr16:uid="{00000000-0015-0000-FFFF-FFFFAC000000}" name="r081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75" xr16:uid="{00000000-0015-0000-FFFF-FFFFAD000000}" name="r082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76" xr16:uid="{00000000-0015-0000-FFFF-FFFFAE000000}" name="r083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77" xr16:uid="{00000000-0015-0000-FFFF-FFFFAF000000}" name="r084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78" xr16:uid="{00000000-0015-0000-FFFF-FFFFB0000000}" name="r085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79" xr16:uid="{00000000-0015-0000-FFFF-FFFFB1000000}" name="r086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80" xr16:uid="{00000000-0015-0000-FFFF-FFFFB2000000}" name="r08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81" xr16:uid="{00000000-0015-0000-FFFF-FFFFB3000000}" name="r08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82" xr16:uid="{00000000-0015-0000-FFFF-FFFFB4000000}" name="r089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83" xr16:uid="{00000000-0015-0000-FFFF-FFFFB5000000}" name="r09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84" xr16:uid="{00000000-0015-0000-FFFF-FFFFB6000000}" name="r090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85" xr16:uid="{00000000-0015-0000-FFFF-FFFFB7000000}" name="r091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86" xr16:uid="{00000000-0015-0000-FFFF-FFFFB8000000}" name="r092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87" xr16:uid="{00000000-0015-0000-FFFF-FFFFB9000000}" name="r093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88" xr16:uid="{00000000-0015-0000-FFFF-FFFFBA000000}" name="r094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89" xr16:uid="{00000000-0015-0000-FFFF-FFFFBB000000}" name="r095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90" xr16:uid="{00000000-0015-0000-FFFF-FFFFBC000000}" name="r096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91" xr16:uid="{00000000-0015-0000-FFFF-FFFFBD000000}" name="r09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92" xr16:uid="{00000000-0015-0000-FFFF-FFFFBE000000}" name="r09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93" xr16:uid="{00000000-0015-0000-FFFF-FFFFBF000000}" name="r099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194" xr16:uid="{00000000-0015-0000-FFFF-FFFFC0000000}" name="r1" type="6" refreshedVersion="6" background="1" saveData="1">
    <textPr prompt="0" codePage="936" sourceFile="C:\Users\mattc\GoogleDrive_ASU\SquidstatCalibrator\SquidstatCalibrator\bin\Debug\r1.csv" comma="1">
      <textFields>
        <textField/>
      </textFields>
    </textPr>
  </connection>
  <connection id="195" xr16:uid="{00000000-0015-0000-FFFF-FFFFC1000000}" name="r1_good" type="6" refreshedVersion="6" background="1" saveData="1">
    <textPr prompt="0" codePage="936" sourceFile="C:\Potentiostat\SquidstatCalibrator\bin\Debug\r1_good.csv" comma="1">
      <textFields>
        <textField/>
      </textFields>
    </textPr>
  </connection>
  <connection id="196" xr16:uid="{00000000-0015-0000-FFFF-FFFFC2000000}" name="r11" type="6" refreshedVersion="6" background="1" saveData="1">
    <textPr prompt="0" codePage="936" sourceFile="C:\Users\mattc\GoogleDrive_ASU\SquidstatCalibrator\SquidstatCalibrator\bin\Debug\r1.csv" comma="1">
      <textFields>
        <textField/>
      </textFields>
    </textPr>
  </connection>
  <connection id="197" xr16:uid="{00000000-0015-0000-FFFF-FFFFC3000000}" name="r110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98" xr16:uid="{00000000-0015-0000-FFFF-FFFFC4000000}" name="r111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99" xr16:uid="{00000000-0015-0000-FFFF-FFFFC5000000}" name="r112" type="6" refreshedVersion="6" background="1" saveData="1">
    <textPr prompt="0" codePage="936" sourceFile="C:\Users\Matt\Dropbox\MFC Systems files\Calibration files\Prime1029\ch0\r1.csv" comma="1">
      <textFields>
        <textField/>
      </textFields>
    </textPr>
  </connection>
  <connection id="200" xr16:uid="{00000000-0015-0000-FFFF-FFFFC6000000}" name="r113" type="6" refreshedVersion="6" background="1" saveData="1">
    <textPr prompt="0" codePage="936" sourceFile="C:\Users\Matt\Dropbox\MFC Systems files\Calibration files\Prime1029\ch1\r1.csv" comma="1">
      <textFields>
        <textField/>
      </textFields>
    </textPr>
  </connection>
  <connection id="201" xr16:uid="{00000000-0015-0000-FFFF-FFFFC7000000}" name="r114" type="6" refreshedVersion="6" background="1" saveData="1">
    <textPr prompt="0" codePage="936" sourceFile="C:\Users\Matt\Dropbox\MFC Systems files\Calibration files\Prime1029\ch0\r1.csv" comma="1">
      <textFields>
        <textField/>
      </textFields>
    </textPr>
  </connection>
  <connection id="202" xr16:uid="{00000000-0015-0000-FFFF-FFFFC8000000}" name="r115" type="6" refreshedVersion="6" background="1" saveData="1">
    <textPr prompt="0" codePage="936" sourceFile="C:\Users\Matt\Dropbox\MFC Systems files\Calibration files\Prime1029\ch2\r1.csv" comma="1">
      <textFields>
        <textField/>
      </textFields>
    </textPr>
  </connection>
  <connection id="203" xr16:uid="{00000000-0015-0000-FFFF-FFFFC9000000}" name="r116" type="6" refreshedVersion="6" background="1" saveData="1">
    <textPr prompt="0" codePage="936" sourceFile="C:\Users\Matt\Dropbox\MFC Systems files\Calibration files\Prime1029\ch3\r1.csv" comma="1">
      <textFields>
        <textField/>
      </textFields>
    </textPr>
  </connection>
  <connection id="204" xr16:uid="{00000000-0015-0000-FFFF-FFFFCA000000}" name="r117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05" xr16:uid="{00000000-0015-0000-FFFF-FFFFCB000000}" name="r118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06" xr16:uid="{00000000-0015-0000-FFFF-FFFFCC000000}" name="r119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07" xr16:uid="{00000000-0015-0000-FFFF-FFFFCD000000}" name="r12" type="6" refreshedVersion="6" background="1" saveData="1">
    <textPr prompt="0" codePage="936" sourceFile="C:\Users\mattc\GoogleDrive_ASU\SquidstatCalibrator\SquidstatCalibrator\bin\Debug\r1.csv" comma="1">
      <textFields>
        <textField/>
      </textFields>
    </textPr>
  </connection>
  <connection id="208" xr16:uid="{00000000-0015-0000-FFFF-FFFFCE000000}" name="r120" type="6" refreshedVersion="6" background="1" saveData="1">
    <textPr prompt="0" codePage="936" sourceFile="C:\Potentiostat\SquidstatCalibrator\bin\Debug\ch1\r1.csv" comma="1">
      <textFields>
        <textField/>
      </textFields>
    </textPr>
  </connection>
  <connection id="209" xr16:uid="{00000000-0015-0000-FFFF-FFFFCF000000}" name="r121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10" xr16:uid="{00000000-0015-0000-FFFF-FFFFD0000000}" name="r122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11" xr16:uid="{00000000-0015-0000-FFFF-FFFFD1000000}" name="r123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12" xr16:uid="{00000000-0015-0000-FFFF-FFFFD2000000}" name="r124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13" xr16:uid="{00000000-0015-0000-FFFF-FFFFD3000000}" name="r125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14" xr16:uid="{00000000-0015-0000-FFFF-FFFFD4000000}" name="r126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15" xr16:uid="{00000000-0015-0000-FFFF-FFFFD5000000}" name="r127" type="6" refreshedVersion="6" background="1" saveData="1">
    <textPr prompt="0" codePage="936" sourceFile="C:\Potentiostat\SquidstatCalibrator\bin\Debug\ss_1031_v1\ch4\r1.csv" comma="1">
      <textFields>
        <textField/>
      </textFields>
    </textPr>
  </connection>
  <connection id="216" xr16:uid="{00000000-0015-0000-FFFF-FFFFD6000000}" name="r128" type="6" refreshedVersion="6" background="1" saveData="1">
    <textPr prompt="0" codePage="936" sourceFile="C:\Potentiostat\SquidstatCalibrator\bin\Debug\ss_1031_v1\ch4\r1.csv" comma="1">
      <textFields>
        <textField/>
      </textFields>
    </textPr>
  </connection>
  <connection id="217" xr16:uid="{00000000-0015-0000-FFFF-FFFFD7000000}" name="r129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18" xr16:uid="{00000000-0015-0000-FFFF-FFFFD8000000}" name="r13" type="6" refreshedVersion="6" background="1" saveData="1">
    <textPr prompt="0" codePage="936" sourceFile="C:\Users\mattc\GoogleDrive_ASU\SquidstatCalibrator\SquidstatCalibrator\bin\Debug\r1.csv" comma="1">
      <textFields>
        <textField/>
      </textFields>
    </textPr>
  </connection>
  <connection id="219" xr16:uid="{00000000-0015-0000-FFFF-FFFFD9000000}" name="r130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20" xr16:uid="{00000000-0015-0000-FFFF-FFFFDA000000}" name="r131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21" xr16:uid="{00000000-0015-0000-FFFF-FFFFDB000000}" name="r132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22" xr16:uid="{00000000-0015-0000-FFFF-FFFFDC000000}" name="r133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23" xr16:uid="{00000000-0015-0000-FFFF-FFFFDD000000}" name="r134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24" xr16:uid="{00000000-0015-0000-FFFF-FFFFDE000000}" name="r135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25" xr16:uid="{00000000-0015-0000-FFFF-FFFFDF000000}" name="r136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26" xr16:uid="{00000000-0015-0000-FFFF-FFFFE0000000}" name="r137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27" xr16:uid="{00000000-0015-0000-FFFF-FFFFE1000000}" name="r138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28" xr16:uid="{00000000-0015-0000-FFFF-FFFFE2000000}" name="r139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29" xr16:uid="{00000000-0015-0000-FFFF-FFFFE3000000}" name="r14" type="6" refreshedVersion="6" background="1" saveData="1">
    <textPr prompt="0" codePage="936" sourceFile="C:\Users\mattc\GoogleDrive_ASU\SquidstatCalibrator\SquidstatCalibrator\bin\Debug\r1.csv" comma="1">
      <textFields>
        <textField/>
      </textFields>
    </textPr>
  </connection>
  <connection id="230" xr16:uid="{00000000-0015-0000-FFFF-FFFFE4000000}" name="r140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31" xr16:uid="{00000000-0015-0000-FFFF-FFFFE5000000}" name="r141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32" xr16:uid="{00000000-0015-0000-FFFF-FFFFE6000000}" name="r142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33" xr16:uid="{00000000-0015-0000-FFFF-FFFFE7000000}" name="r143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34" xr16:uid="{00000000-0015-0000-FFFF-FFFFE8000000}" name="r144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35" xr16:uid="{00000000-0015-0000-FFFF-FFFFE9000000}" name="r145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36" xr16:uid="{00000000-0015-0000-FFFF-FFFFEA000000}" name="r146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37" xr16:uid="{00000000-0015-0000-FFFF-FFFFEB000000}" name="r147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38" xr16:uid="{00000000-0015-0000-FFFF-FFFFEC000000}" name="r148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39" xr16:uid="{00000000-0015-0000-FFFF-FFFFED000000}" name="r149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40" xr16:uid="{00000000-0015-0000-FFFF-FFFFEE000000}" name="r15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41" xr16:uid="{00000000-0015-0000-FFFF-FFFFEF000000}" name="r150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42" xr16:uid="{00000000-0015-0000-FFFF-FFFFF0000000}" name="r151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43" xr16:uid="{00000000-0015-0000-FFFF-FFFFF1000000}" name="r152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44" xr16:uid="{00000000-0015-0000-FFFF-FFFFF2000000}" name="r153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45" xr16:uid="{00000000-0015-0000-FFFF-FFFFF3000000}" name="r154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46" xr16:uid="{00000000-0015-0000-FFFF-FFFFF4000000}" name="r155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47" xr16:uid="{00000000-0015-0000-FFFF-FFFFF5000000}" name="r156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48" xr16:uid="{00000000-0015-0000-FFFF-FFFFF6000000}" name="r157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49" xr16:uid="{00000000-0015-0000-FFFF-FFFFF7000000}" name="r158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50" xr16:uid="{00000000-0015-0000-FFFF-FFFFF8000000}" name="r159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51" xr16:uid="{00000000-0015-0000-FFFF-FFFFF9000000}" name="r16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52" xr16:uid="{00000000-0015-0000-FFFF-FFFFFA000000}" name="r160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53" xr16:uid="{00000000-0015-0000-FFFF-FFFFFB000000}" name="r161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54" xr16:uid="{00000000-0015-0000-FFFF-FFFFFC000000}" name="r162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55" xr16:uid="{00000000-0015-0000-FFFF-FFFFFD000000}" name="r163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56" xr16:uid="{00000000-0015-0000-FFFF-FFFFFE000000}" name="r164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57" xr16:uid="{00000000-0015-0000-FFFF-FFFFFF000000}" name="r165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58" xr16:uid="{00000000-0015-0000-FFFF-FFFF00010000}" name="r166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59" xr16:uid="{00000000-0015-0000-FFFF-FFFF01010000}" name="r167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60" xr16:uid="{00000000-0015-0000-FFFF-FFFF02010000}" name="r168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61" xr16:uid="{00000000-0015-0000-FFFF-FFFF03010000}" name="r169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62" xr16:uid="{00000000-0015-0000-FFFF-FFFF04010000}" name="r17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63" xr16:uid="{00000000-0015-0000-FFFF-FFFF05010000}" name="r170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64" xr16:uid="{00000000-0015-0000-FFFF-FFFF06010000}" name="r171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65" xr16:uid="{00000000-0015-0000-FFFF-FFFF07010000}" name="r172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66" xr16:uid="{00000000-0015-0000-FFFF-FFFF08010000}" name="r173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67" xr16:uid="{00000000-0015-0000-FFFF-FFFF09010000}" name="r174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68" xr16:uid="{00000000-0015-0000-FFFF-FFFF0A010000}" name="r175" type="6" refreshedVersion="6" background="1" saveData="1">
    <textPr prompt="0" codePage="936" sourceFile="C:\Users\Matt Dion\Dropbox\MFC Systems files\Calibration files\Prime1035\ch0\r1.csv" comma="1">
      <textFields>
        <textField/>
      </textFields>
    </textPr>
  </connection>
  <connection id="269" xr16:uid="{00000000-0015-0000-FFFF-FFFF0B010000}" name="r176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70" xr16:uid="{00000000-0015-0000-FFFF-FFFF0C010000}" name="r18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71" xr16:uid="{00000000-0015-0000-FFFF-FFFF0D010000}" name="r19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272" xr16:uid="{00000000-0015-0000-FFFF-FFFF0E010000}" name="r2" type="6" refreshedVersion="6" background="1" saveData="1">
    <textPr prompt="0" codePage="936" sourceFile="C:\Users\mattc\GoogleDrive_ASU\SquidstatCalibrator\SquidstatCalibrator\bin\Debug\r2.csv" comma="1">
      <textFields>
        <textField/>
      </textFields>
    </textPr>
  </connection>
  <connection id="273" xr16:uid="{00000000-0015-0000-FFFF-FFFF0F010000}" name="r2_keithley" type="6" refreshedVersion="6" background="1" saveData="1">
    <textPr prompt="0" codePage="936" sourceFile="C:\Users\mattc\GoogleDrive_ASU\SquidstatCalibrator\SquidstatCalibrator\bin\Debug\r2_keithley.csv" comma="1">
      <textFields>
        <textField/>
      </textFields>
    </textPr>
  </connection>
  <connection id="274" xr16:uid="{00000000-0015-0000-FFFF-FFFF10010000}" name="r2_keithley1" type="6" refreshedVersion="6" background="1" saveData="1">
    <textPr prompt="0" codePage="936" sourceFile="C:\Users\mattc\GoogleDrive_ASU\SquidstatCalibrator\SquidstatCalibrator\bin\Debug\r2_keithley.csv" comma="1">
      <textFields>
        <textField/>
      </textFields>
    </textPr>
  </connection>
  <connection id="275" xr16:uid="{00000000-0015-0000-FFFF-FFFF11010000}" name="r21" type="6" refreshedVersion="6" background="1" saveData="1">
    <textPr prompt="0" codePage="936" sourceFile="C:\Users\mattc\GoogleDrive_ASU\SquidstatCalibrator\SquidstatCalibrator\bin\Debug\r2.csv" comma="1">
      <textFields>
        <textField/>
      </textFields>
    </textPr>
  </connection>
  <connection id="276" xr16:uid="{00000000-0015-0000-FFFF-FFFF12010000}" name="r210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77" xr16:uid="{00000000-0015-0000-FFFF-FFFF13010000}" name="r211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78" xr16:uid="{00000000-0015-0000-FFFF-FFFF14010000}" name="r212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79" xr16:uid="{00000000-0015-0000-FFFF-FFFF15010000}" name="r213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80" xr16:uid="{00000000-0015-0000-FFFF-FFFF16010000}" name="r214" type="6" refreshedVersion="6" background="1" saveData="1">
    <textPr prompt="0" codePage="936" sourceFile="C:\Users\Matt\Dropbox\MFC Systems files\Calibration files\Prime1029\ch0\r2.csv" comma="1">
      <textFields>
        <textField/>
      </textFields>
    </textPr>
  </connection>
  <connection id="281" xr16:uid="{00000000-0015-0000-FFFF-FFFF17010000}" name="r215" type="6" refreshedVersion="6" background="1" saveData="1">
    <textPr prompt="0" codePage="936" sourceFile="C:\Users\Matt\Dropbox\MFC Systems files\Calibration files\Prime1029\ch1\r2.csv" comma="1">
      <textFields>
        <textField/>
      </textFields>
    </textPr>
  </connection>
  <connection id="282" xr16:uid="{00000000-0015-0000-FFFF-FFFF18010000}" name="r216" type="6" refreshedVersion="6" background="1" saveData="1">
    <textPr prompt="0" codePage="936" sourceFile="C:\Users\Matt\Dropbox\MFC Systems files\Calibration files\Prime1029\ch0\r2.csv" comma="1">
      <textFields>
        <textField/>
      </textFields>
    </textPr>
  </connection>
  <connection id="283" xr16:uid="{00000000-0015-0000-FFFF-FFFF19010000}" name="r217" type="6" refreshedVersion="6" background="1" saveData="1">
    <textPr prompt="0" codePage="936" sourceFile="C:\Users\Matt\Dropbox\MFC Systems files\Calibration files\Prime1029\ch2\r2.csv" comma="1">
      <textFields>
        <textField/>
      </textFields>
    </textPr>
  </connection>
  <connection id="284" xr16:uid="{00000000-0015-0000-FFFF-FFFF1A010000}" name="r218" type="6" refreshedVersion="6" background="1" saveData="1">
    <textPr prompt="0" codePage="936" sourceFile="C:\Users\Matt\Dropbox\MFC Systems files\Calibration files\Prime1029\ch3\r2.csv" comma="1">
      <textFields>
        <textField/>
      </textFields>
    </textPr>
  </connection>
  <connection id="285" xr16:uid="{00000000-0015-0000-FFFF-FFFF1B010000}" name="r219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86" xr16:uid="{00000000-0015-0000-FFFF-FFFF1C010000}" name="r22" type="6" refreshedVersion="6" background="1" saveData="1">
    <textPr prompt="0" codePage="936" sourceFile="C:\Users\mattc\GoogleDrive_ASU\SquidstatCalibrator\SquidstatCalibrator\bin\Debug\r2.csv" comma="1">
      <textFields>
        <textField/>
      </textFields>
    </textPr>
  </connection>
  <connection id="287" xr16:uid="{00000000-0015-0000-FFFF-FFFF1D010000}" name="r220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88" xr16:uid="{00000000-0015-0000-FFFF-FFFF1E010000}" name="r221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89" xr16:uid="{00000000-0015-0000-FFFF-FFFF1F010000}" name="r222" type="6" refreshedVersion="6" background="1" saveData="1">
    <textPr prompt="0" codePage="936" sourceFile="C:\Potentiostat\SquidstatCalibrator\bin\Debug\ch1\r2.csv" comma="1">
      <textFields>
        <textField/>
      </textFields>
    </textPr>
  </connection>
  <connection id="290" xr16:uid="{00000000-0015-0000-FFFF-FFFF20010000}" name="r223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91" xr16:uid="{00000000-0015-0000-FFFF-FFFF21010000}" name="r224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92" xr16:uid="{00000000-0015-0000-FFFF-FFFF22010000}" name="r225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93" xr16:uid="{00000000-0015-0000-FFFF-FFFF23010000}" name="r226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94" xr16:uid="{00000000-0015-0000-FFFF-FFFF24010000}" name="r227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95" xr16:uid="{00000000-0015-0000-FFFF-FFFF25010000}" name="r228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96" xr16:uid="{00000000-0015-0000-FFFF-FFFF26010000}" name="r229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297" xr16:uid="{00000000-0015-0000-FFFF-FFFF27010000}" name="r23" type="6" refreshedVersion="6" background="1" saveData="1">
    <textPr prompt="0" codePage="936" sourceFile="C:\Users\mattc\GoogleDrive_ASU\SquidstatCalibrator\SquidstatCalibrator\bin\Debug\r2.csv" comma="1">
      <textFields>
        <textField/>
      </textFields>
    </textPr>
  </connection>
  <connection id="298" xr16:uid="{00000000-0015-0000-FFFF-FFFF28010000}" name="r230" type="6" refreshedVersion="6" background="1" saveData="1">
    <textPr prompt="0" codePage="936" sourceFile="C:\Potentiostat\SquidstatCalibrator\bin\Debug\ss_1031_v1\ch4\r2.csv" comma="1">
      <textFields>
        <textField/>
      </textFields>
    </textPr>
  </connection>
  <connection id="299" xr16:uid="{00000000-0015-0000-FFFF-FFFF29010000}" name="r231" type="6" refreshedVersion="6" background="1" saveData="1">
    <textPr prompt="0" codePage="936" sourceFile="C:\Potentiostat\SquidstatCalibrator\bin\Debug\ss_1031_v1\ch4\r2.csv" comma="1">
      <textFields>
        <textField/>
      </textFields>
    </textPr>
  </connection>
  <connection id="300" xr16:uid="{00000000-0015-0000-FFFF-FFFF2A010000}" name="r232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01" xr16:uid="{00000000-0015-0000-FFFF-FFFF2B010000}" name="r233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02" xr16:uid="{00000000-0015-0000-FFFF-FFFF2C010000}" name="r234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03" xr16:uid="{00000000-0015-0000-FFFF-FFFF2D010000}" name="r235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04" xr16:uid="{00000000-0015-0000-FFFF-FFFF2E010000}" name="r236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05" xr16:uid="{00000000-0015-0000-FFFF-FFFF2F010000}" name="r237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06" xr16:uid="{00000000-0015-0000-FFFF-FFFF30010000}" name="r238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07" xr16:uid="{00000000-0015-0000-FFFF-FFFF31010000}" name="r239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08" xr16:uid="{00000000-0015-0000-FFFF-FFFF32010000}" name="r24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09" xr16:uid="{00000000-0015-0000-FFFF-FFFF33010000}" name="r240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10" xr16:uid="{00000000-0015-0000-FFFF-FFFF34010000}" name="r241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11" xr16:uid="{00000000-0015-0000-FFFF-FFFF35010000}" name="r242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12" xr16:uid="{00000000-0015-0000-FFFF-FFFF36010000}" name="r243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13" xr16:uid="{00000000-0015-0000-FFFF-FFFF37010000}" name="r244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14" xr16:uid="{00000000-0015-0000-FFFF-FFFF38010000}" name="r245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15" xr16:uid="{00000000-0015-0000-FFFF-FFFF39010000}" name="r246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16" xr16:uid="{00000000-0015-0000-FFFF-FFFF3A010000}" name="r247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17" xr16:uid="{00000000-0015-0000-FFFF-FFFF3B010000}" name="r248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18" xr16:uid="{00000000-0015-0000-FFFF-FFFF3C010000}" name="r249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19" xr16:uid="{00000000-0015-0000-FFFF-FFFF3D010000}" name="r25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20" xr16:uid="{00000000-0015-0000-FFFF-FFFF3E010000}" name="r250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21" xr16:uid="{00000000-0015-0000-FFFF-FFFF3F010000}" name="r251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22" xr16:uid="{00000000-0015-0000-FFFF-FFFF40010000}" name="r252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23" xr16:uid="{00000000-0015-0000-FFFF-FFFF41010000}" name="r253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24" xr16:uid="{00000000-0015-0000-FFFF-FFFF42010000}" name="r254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25" xr16:uid="{00000000-0015-0000-FFFF-FFFF43010000}" name="r255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26" xr16:uid="{00000000-0015-0000-FFFF-FFFF44010000}" name="r256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27" xr16:uid="{00000000-0015-0000-FFFF-FFFF45010000}" name="r257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28" xr16:uid="{00000000-0015-0000-FFFF-FFFF46010000}" name="r258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29" xr16:uid="{00000000-0015-0000-FFFF-FFFF47010000}" name="r259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30" xr16:uid="{00000000-0015-0000-FFFF-FFFF48010000}" name="r26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31" xr16:uid="{00000000-0015-0000-FFFF-FFFF49010000}" name="r260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32" xr16:uid="{00000000-0015-0000-FFFF-FFFF4A010000}" name="r261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33" xr16:uid="{00000000-0015-0000-FFFF-FFFF4B010000}" name="r262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34" xr16:uid="{00000000-0015-0000-FFFF-FFFF4C010000}" name="r263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35" xr16:uid="{00000000-0015-0000-FFFF-FFFF4D010000}" name="r264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36" xr16:uid="{00000000-0015-0000-FFFF-FFFF4E010000}" name="r265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37" xr16:uid="{00000000-0015-0000-FFFF-FFFF4F010000}" name="r266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38" xr16:uid="{00000000-0015-0000-FFFF-FFFF50010000}" name="r267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39" xr16:uid="{00000000-0015-0000-FFFF-FFFF51010000}" name="r268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40" xr16:uid="{00000000-0015-0000-FFFF-FFFF52010000}" name="r269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41" xr16:uid="{00000000-0015-0000-FFFF-FFFF53010000}" name="r27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42" xr16:uid="{00000000-0015-0000-FFFF-FFFF54010000}" name="r270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43" xr16:uid="{00000000-0015-0000-FFFF-FFFF55010000}" name="r271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44" xr16:uid="{00000000-0015-0000-FFFF-FFFF56010000}" name="r272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45" xr16:uid="{00000000-0015-0000-FFFF-FFFF57010000}" name="r273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46" xr16:uid="{00000000-0015-0000-FFFF-FFFF58010000}" name="r274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47" xr16:uid="{00000000-0015-0000-FFFF-FFFF59010000}" name="r275" type="6" refreshedVersion="6" background="1" saveData="1">
    <textPr prompt="0" codePage="936" sourceFile="C:\Users\Matt Dion\Dropbox\MFC Systems files\Calibration files\Prime1035\ch0\r2.csv" comma="1">
      <textFields>
        <textField/>
      </textFields>
    </textPr>
  </connection>
  <connection id="348" xr16:uid="{00000000-0015-0000-FFFF-FFFF5A010000}" name="r276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49" xr16:uid="{00000000-0015-0000-FFFF-FFFF5B010000}" name="r28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50" xr16:uid="{00000000-0015-0000-FFFF-FFFF5C010000}" name="r29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351" xr16:uid="{00000000-0015-0000-FFFF-FFFF5D010000}" name="r3" type="6" refreshedVersion="6" background="1" saveData="1">
    <textPr prompt="0" codePage="936" sourceFile="C:\Users\mattc\GoogleDrive_ASU\SimpleSerial (1)\SimpleSerial\bin\Debug\r3.csv" comma="1">
      <textFields>
        <textField/>
      </textFields>
    </textPr>
  </connection>
  <connection id="352" xr16:uid="{00000000-0015-0000-FFFF-FFFF5E010000}" name="r3_keithley" type="6" refreshedVersion="6" background="1" saveData="1">
    <textPr prompt="0" codePage="936" sourceFile="C:\Users\mattc\GoogleDrive_ASU\SquidstatCalibrator\SquidstatCalibrator\bin\Debug\r3_keithley.csv" comma="1">
      <textFields>
        <textField/>
      </textFields>
    </textPr>
  </connection>
  <connection id="353" xr16:uid="{00000000-0015-0000-FFFF-FFFF5F010000}" name="r31" type="6" refreshedVersion="6" background="1" saveData="1">
    <textPr prompt="0" codePage="936" sourceFile="C:\Users\mattc\GoogleDrive_ASU\SimpleSerial (1)\SimpleSerial\bin\Debug\r3.csv" comma="1">
      <textFields>
        <textField/>
      </textFields>
    </textPr>
  </connection>
  <connection id="354" xr16:uid="{00000000-0015-0000-FFFF-FFFF60010000}" name="r310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355" xr16:uid="{00000000-0015-0000-FFFF-FFFF61010000}" name="r3100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356" xr16:uid="{00000000-0015-0000-FFFF-FFFF62010000}" name="r3101" type="6" refreshedVersion="6" background="1" saveData="1">
    <textPr prompt="0" codePage="936" sourceFile="C:\Users\Matt Dion\Dropbox\MFC Systems files\Calibration files\Prime1035\ch0\r3.csv" comma="1">
      <textFields>
        <textField/>
      </textFields>
    </textPr>
  </connection>
  <connection id="357" xr16:uid="{00000000-0015-0000-FFFF-FFFF63010000}" name="r3102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358" xr16:uid="{00000000-0015-0000-FFFF-FFFF64010000}" name="r311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359" xr16:uid="{00000000-0015-0000-FFFF-FFFF65010000}" name="r312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360" xr16:uid="{00000000-0015-0000-FFFF-FFFF66010000}" name="r313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361" xr16:uid="{00000000-0015-0000-FFFF-FFFF67010000}" name="r314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362" xr16:uid="{00000000-0015-0000-FFFF-FFFF68010000}" name="r315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363" xr16:uid="{00000000-0015-0000-FFFF-FFFF69010000}" name="r316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364" xr16:uid="{00000000-0015-0000-FFFF-FFFF6A010000}" name="r317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365" xr16:uid="{00000000-0015-0000-FFFF-FFFF6B010000}" name="r318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366" xr16:uid="{00000000-0015-0000-FFFF-FFFF6C010000}" name="r319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367" xr16:uid="{00000000-0015-0000-FFFF-FFFF6D010000}" name="r32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368" xr16:uid="{00000000-0015-0000-FFFF-FFFF6E010000}" name="r320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369" xr16:uid="{00000000-0015-0000-FFFF-FFFF6F010000}" name="r321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370" xr16:uid="{00000000-0015-0000-FFFF-FFFF70010000}" name="r322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371" xr16:uid="{00000000-0015-0000-FFFF-FFFF71010000}" name="r323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372" xr16:uid="{00000000-0015-0000-FFFF-FFFF72010000}" name="r324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373" xr16:uid="{00000000-0015-0000-FFFF-FFFF73010000}" name="r325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374" xr16:uid="{00000000-0015-0000-FFFF-FFFF74010000}" name="r326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375" xr16:uid="{00000000-0015-0000-FFFF-FFFF75010000}" name="r327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376" xr16:uid="{00000000-0015-0000-FFFF-FFFF76010000}" name="r328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377" xr16:uid="{00000000-0015-0000-FFFF-FFFF77010000}" name="r329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378" xr16:uid="{00000000-0015-0000-FFFF-FFFF78010000}" name="r33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379" xr16:uid="{00000000-0015-0000-FFFF-FFFF79010000}" name="r330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380" xr16:uid="{00000000-0015-0000-FFFF-FFFF7A010000}" name="r331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381" xr16:uid="{00000000-0015-0000-FFFF-FFFF7B010000}" name="r332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382" xr16:uid="{00000000-0015-0000-FFFF-FFFF7C010000}" name="r333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383" xr16:uid="{00000000-0015-0000-FFFF-FFFF7D010000}" name="r334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384" xr16:uid="{00000000-0015-0000-FFFF-FFFF7E010000}" name="r335" type="6" refreshedVersion="6" background="1" saveData="1">
    <textPr prompt="0" codePage="936" sourceFile="C:\Users\Matt\Dropbox\MFC Systems files\Calibration files\Prime1029\ch0\r3.csv" comma="1">
      <textFields>
        <textField/>
      </textFields>
    </textPr>
  </connection>
  <connection id="385" xr16:uid="{00000000-0015-0000-FFFF-FFFF7F010000}" name="r336" type="6" refreshedVersion="6" background="1" saveData="1">
    <textPr prompt="0" codePage="936" sourceFile="C:\Users\Matt\Dropbox\MFC Systems files\Calibration files\Prime1029\ch0\r3.csv" comma="1">
      <textFields>
        <textField/>
      </textFields>
    </textPr>
  </connection>
  <connection id="386" xr16:uid="{00000000-0015-0000-FFFF-FFFF80010000}" name="r337" type="6" refreshedVersion="6" background="1" saveData="1">
    <textPr prompt="0" codePage="936" sourceFile="C:\Users\Matt\Dropbox\MFC Systems files\Calibration files\Prime1029\ch1\r3.csv" comma="1">
      <textFields>
        <textField/>
      </textFields>
    </textPr>
  </connection>
  <connection id="387" xr16:uid="{00000000-0015-0000-FFFF-FFFF81010000}" name="r338" type="6" refreshedVersion="6" background="1" saveData="1">
    <textPr prompt="0" codePage="936" sourceFile="C:\Users\Matt\Dropbox\MFC Systems files\Calibration files\Prime1029\ch0\r3.csv" comma="1">
      <textFields>
        <textField/>
      </textFields>
    </textPr>
  </connection>
  <connection id="388" xr16:uid="{00000000-0015-0000-FFFF-FFFF82010000}" name="r339" type="6" refreshedVersion="6" background="1" saveData="1">
    <textPr prompt="0" codePage="936" sourceFile="C:\Users\Matt\Dropbox\MFC Systems files\Calibration files\Prime1029\ch2\r3.csv" comma="1">
      <textFields>
        <textField/>
      </textFields>
    </textPr>
  </connection>
  <connection id="389" xr16:uid="{00000000-0015-0000-FFFF-FFFF83010000}" name="r34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390" xr16:uid="{00000000-0015-0000-FFFF-FFFF84010000}" name="r340" type="6" refreshedVersion="6" background="1" saveData="1">
    <textPr prompt="0" codePage="936" sourceFile="C:\Users\Matt\Dropbox\MFC Systems files\Calibration files\Prime1029\ch3\r3.csv" comma="1">
      <textFields>
        <textField/>
      </textFields>
    </textPr>
  </connection>
  <connection id="391" xr16:uid="{00000000-0015-0000-FFFF-FFFF85010000}" name="r341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392" xr16:uid="{00000000-0015-0000-FFFF-FFFF86010000}" name="r342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393" xr16:uid="{00000000-0015-0000-FFFF-FFFF87010000}" name="r343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394" xr16:uid="{00000000-0015-0000-FFFF-FFFF88010000}" name="r344" type="6" refreshedVersion="6" background="1" saveData="1">
    <textPr prompt="0" codePage="936" sourceFile="C:\Potentiostat\SquidstatCalibrator\bin\Debug\ch1\r3.csv" comma="1">
      <textFields>
        <textField/>
      </textFields>
    </textPr>
  </connection>
  <connection id="395" xr16:uid="{00000000-0015-0000-FFFF-FFFF89010000}" name="r345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396" xr16:uid="{00000000-0015-0000-FFFF-FFFF8A010000}" name="r346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397" xr16:uid="{00000000-0015-0000-FFFF-FFFF8B010000}" name="r347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398" xr16:uid="{00000000-0015-0000-FFFF-FFFF8C010000}" name="r348" type="6" refreshedVersion="6" background="1" saveData="1">
    <textPr prompt="0" codePage="936" sourceFile="C:\Potentiostat\SquidstatCalibrator\bin\Debug\ss_1031_v1\ch4\r3.csv" comma="1">
      <textFields>
        <textField/>
      </textFields>
    </textPr>
  </connection>
  <connection id="399" xr16:uid="{00000000-0015-0000-FFFF-FFFF8D010000}" name="r349" type="6" refreshedVersion="6" background="1" saveData="1">
    <textPr prompt="0" codePage="936" sourceFile="C:\Potentiostat\SquidstatCalibrator\bin\Debug\ss_1031_v1\ch4\r3.csv" comma="1">
      <textFields>
        <textField/>
      </textFields>
    </textPr>
  </connection>
  <connection id="400" xr16:uid="{00000000-0015-0000-FFFF-FFFF8E010000}" name="r35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401" xr16:uid="{00000000-0015-0000-FFFF-FFFF8F010000}" name="r350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02" xr16:uid="{00000000-0015-0000-FFFF-FFFF90010000}" name="r351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03" xr16:uid="{00000000-0015-0000-FFFF-FFFF91010000}" name="r352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04" xr16:uid="{00000000-0015-0000-FFFF-FFFF92010000}" name="r353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05" xr16:uid="{00000000-0015-0000-FFFF-FFFF93010000}" name="r354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06" xr16:uid="{00000000-0015-0000-FFFF-FFFF94010000}" name="r355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07" xr16:uid="{00000000-0015-0000-FFFF-FFFF95010000}" name="r356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08" xr16:uid="{00000000-0015-0000-FFFF-FFFF96010000}" name="r357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09" xr16:uid="{00000000-0015-0000-FFFF-FFFF97010000}" name="r358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10" xr16:uid="{00000000-0015-0000-FFFF-FFFF98010000}" name="r359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11" xr16:uid="{00000000-0015-0000-FFFF-FFFF99010000}" name="r36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412" xr16:uid="{00000000-0015-0000-FFFF-FFFF9A010000}" name="r360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13" xr16:uid="{00000000-0015-0000-FFFF-FFFF9B010000}" name="r361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14" xr16:uid="{00000000-0015-0000-FFFF-FFFF9C010000}" name="r362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15" xr16:uid="{00000000-0015-0000-FFFF-FFFF9D010000}" name="r363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16" xr16:uid="{00000000-0015-0000-FFFF-FFFF9E010000}" name="r364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17" xr16:uid="{00000000-0015-0000-FFFF-FFFF9F010000}" name="r365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18" xr16:uid="{00000000-0015-0000-FFFF-FFFFA0010000}" name="r366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19" xr16:uid="{00000000-0015-0000-FFFF-FFFFA1010000}" name="r367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20" xr16:uid="{00000000-0015-0000-FFFF-FFFFA2010000}" name="r368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21" xr16:uid="{00000000-0015-0000-FFFF-FFFFA3010000}" name="r369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22" xr16:uid="{00000000-0015-0000-FFFF-FFFFA4010000}" name="r37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423" xr16:uid="{00000000-0015-0000-FFFF-FFFFA5010000}" name="r370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24" xr16:uid="{00000000-0015-0000-FFFF-FFFFA6010000}" name="r371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25" xr16:uid="{00000000-0015-0000-FFFF-FFFFA7010000}" name="r372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26" xr16:uid="{00000000-0015-0000-FFFF-FFFFA8010000}" name="r373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27" xr16:uid="{00000000-0015-0000-FFFF-FFFFA9010000}" name="r374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28" xr16:uid="{00000000-0015-0000-FFFF-FFFFAA010000}" name="r375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29" xr16:uid="{00000000-0015-0000-FFFF-FFFFAB010000}" name="r376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30" xr16:uid="{00000000-0015-0000-FFFF-FFFFAC010000}" name="r377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31" xr16:uid="{00000000-0015-0000-FFFF-FFFFAD010000}" name="r378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32" xr16:uid="{00000000-0015-0000-FFFF-FFFFAE010000}" name="r379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33" xr16:uid="{00000000-0015-0000-FFFF-FFFFAF010000}" name="r38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434" xr16:uid="{00000000-0015-0000-FFFF-FFFFB0010000}" name="r380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35" xr16:uid="{00000000-0015-0000-FFFF-FFFFB1010000}" name="r381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36" xr16:uid="{00000000-0015-0000-FFFF-FFFFB2010000}" name="r382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37" xr16:uid="{00000000-0015-0000-FFFF-FFFFB3010000}" name="r383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38" xr16:uid="{00000000-0015-0000-FFFF-FFFFB4010000}" name="r384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39" xr16:uid="{00000000-0015-0000-FFFF-FFFFB5010000}" name="r385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40" xr16:uid="{00000000-0015-0000-FFFF-FFFFB6010000}" name="r386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41" xr16:uid="{00000000-0015-0000-FFFF-FFFFB7010000}" name="r387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42" xr16:uid="{00000000-0015-0000-FFFF-FFFFB8010000}" name="r388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43" xr16:uid="{00000000-0015-0000-FFFF-FFFFB9010000}" name="r389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44" xr16:uid="{00000000-0015-0000-FFFF-FFFFBA010000}" name="r39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445" xr16:uid="{00000000-0015-0000-FFFF-FFFFBB010000}" name="r390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46" xr16:uid="{00000000-0015-0000-FFFF-FFFFBC010000}" name="r391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447" xr16:uid="{00000000-0015-0000-FFFF-FFFFBD010000}" name="r392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48" xr16:uid="{00000000-0015-0000-FFFF-FFFFBE010000}" name="r393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49" xr16:uid="{00000000-0015-0000-FFFF-FFFFBF010000}" name="r394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50" xr16:uid="{00000000-0015-0000-FFFF-FFFFC0010000}" name="r395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51" xr16:uid="{00000000-0015-0000-FFFF-FFFFC1010000}" name="r396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52" xr16:uid="{00000000-0015-0000-FFFF-FFFFC2010000}" name="r397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53" xr16:uid="{00000000-0015-0000-FFFF-FFFFC3010000}" name="r398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54" xr16:uid="{00000000-0015-0000-FFFF-FFFFC4010000}" name="r399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455" xr16:uid="{00000000-0015-0000-FFFF-FFFFC5010000}" name="r4" type="6" refreshedVersion="6" background="1" saveData="1">
    <textPr prompt="0" codePage="936" sourceFile="C:\Potentiostat\SquidstatCalibrator\bin\Debug\r4.csv" comma="1">
      <textFields>
        <textField/>
      </textFields>
    </textPr>
  </connection>
  <connection id="456" xr16:uid="{00000000-0015-0000-FFFF-FFFFC6010000}" name="r41" type="6" refreshedVersion="6" background="1" saveData="1">
    <textPr prompt="0" codePage="936" sourceFile="C:\Potentiostat\SquidstatCalibrator\bin\Debug\r4.csv" comma="1">
      <textFields>
        <textField/>
      </textFields>
    </textPr>
  </connection>
  <connection id="457" xr16:uid="{00000000-0015-0000-FFFF-FFFFC7010000}" name="r42" type="6" refreshedVersion="6" background="1" saveData="1">
    <textPr prompt="0" codePage="936" sourceFile="C:\Potentiostat\SquidstatCalibrator\bin\Debug\r4.csv" comma="1">
      <textFields>
        <textField/>
      </textFields>
    </textPr>
  </connection>
  <connection id="458" xr16:uid="{00000000-0015-0000-FFFF-FFFFC8010000}" name="r43" type="6" refreshedVersion="6" background="1" saveData="1">
    <textPr prompt="0" codePage="936" sourceFile="C:\Potentiostat\SquidstatCalibrator\bin\Debug\r4.csv" comma="1">
      <textFields>
        <textField/>
      </textFields>
    </textPr>
  </connection>
  <connection id="459" xr16:uid="{00000000-0015-0000-FFFF-FFFFC9010000}" name="r44" type="6" refreshedVersion="6" background="1" saveData="1">
    <textPr prompt="0" codePage="936" sourceFile="C:\Potentiostat\SquidstatCalibrator\bin\Debug\r4.csv" comma="1">
      <textFields>
        <textField/>
      </textFields>
    </textPr>
  </connection>
  <connection id="460" xr16:uid="{00000000-0015-0000-FFFF-FFFFCA010000}" name="r45" type="6" refreshedVersion="6" background="1" saveData="1">
    <textPr prompt="0" codePage="936" sourceFile="C:\Potentiostat\SquidstatCalibrator\bin\Debug\r4.csv" comma="1">
      <textFields>
        <textField/>
      </textFields>
    </textPr>
  </connection>
  <connection id="461" xr16:uid="{00000000-0015-0000-FFFF-FFFFCB010000}" name="r5" type="6" refreshedVersion="6" background="1" saveData="1">
    <textPr prompt="0" codePage="936" sourceFile="C:\Potentiostat\SquidstatCalibrator\bin\Debug\r5.csv" comma="1">
      <textFields>
        <textField/>
      </textFields>
    </textPr>
  </connection>
  <connection id="462" xr16:uid="{00000000-0015-0000-FFFF-FFFFCC010000}" name="r51" type="6" refreshedVersion="6" background="1" saveData="1">
    <textPr prompt="0" codePage="936" sourceFile="C:\Potentiostat\SquidstatCalibrator\bin\Debug\r5.csv" comma="1">
      <textFields>
        <textField/>
      </textFields>
    </textPr>
  </connection>
  <connection id="463" xr16:uid="{00000000-0015-0000-FFFF-FFFFCD010000}" name="r52" type="6" refreshedVersion="6" background="1" saveData="1">
    <textPr prompt="0" codePage="936" sourceFile="C:\Potentiostat\SquidstatCalibrator\bin\Debug\r5.csv" comma="1">
      <textFields>
        <textField/>
      </textFields>
    </textPr>
  </connection>
  <connection id="464" xr16:uid="{00000000-0015-0000-FFFF-FFFFCE010000}" name="r53" type="6" refreshedVersion="6" background="1" saveData="1">
    <textPr prompt="0" codePage="936" sourceFile="C:\Potentiostat\SquidstatCalibrator\bin\Debug\r5.csv" comma="1">
      <textFields>
        <textField/>
      </textFields>
    </textPr>
  </connection>
  <connection id="465" xr16:uid="{00000000-0015-0000-FFFF-FFFFCF010000}" name="r6" type="6" refreshedVersion="6" background="1" saveData="1">
    <textPr prompt="0" codePage="936" sourceFile="C:\Potentiostat\SquidstatCalibrator\bin\Debug\r6.csv" comma="1">
      <textFields>
        <textField/>
      </textFields>
    </textPr>
  </connection>
  <connection id="466" xr16:uid="{00000000-0015-0000-FFFF-FFFFD0010000}" name="r61" type="6" refreshedVersion="6" background="1" saveData="1">
    <textPr prompt="0" codePage="936" sourceFile="C:\Potentiostat\SquidstatCalibrator\bin\Debug\r6.csv" comma="1">
      <textFields>
        <textField/>
      </textFields>
    </textPr>
  </connection>
  <connection id="467" xr16:uid="{00000000-0015-0000-FFFF-FFFFD1010000}" name="r62" type="6" refreshedVersion="6" background="1" saveData="1">
    <textPr prompt="0" codePage="936" sourceFile="C:\Potentiostat\SquidstatCalibrator\bin\Debug\r6.csv" comma="1">
      <textFields>
        <textField/>
      </textFields>
    </textPr>
  </connection>
  <connection id="468" xr16:uid="{00000000-0015-0000-FFFF-FFFFD2010000}" name="r63" type="6" refreshedVersion="6" background="1" saveData="1">
    <textPr prompt="0" codePage="936" sourceFile="C:\Potentiostat\SquidstatCalibrator\bin\Debug\r6.csv" comma="1">
      <textFields>
        <textField/>
      </textFields>
    </textPr>
  </connection>
  <connection id="469" xr16:uid="{00000000-0015-0000-FFFF-FFFFD3010000}" name="r64" type="6" refreshedVersion="6" background="1" saveData="1">
    <textPr prompt="0" codePage="936" sourceFile="C:\Potentiostat\SquidstatCalibrator\bin\Debug\r6.csv" comma="1">
      <textFields>
        <textField/>
      </textFields>
    </textPr>
  </connection>
  <connection id="470" xr16:uid="{00000000-0015-0000-FFFF-FFFFD4010000}" name="r7" type="6" refreshedVersion="6" background="1" saveData="1">
    <textPr prompt="0" codePage="936" sourceFile="C:\Potentiostat\SquidstatCalibrator\bin\Debug\r7.csv" comma="1">
      <textFields>
        <textField/>
      </textFields>
    </textPr>
  </connection>
  <connection id="471" xr16:uid="{00000000-0015-0000-FFFF-FFFFD5010000}" name="r71" type="6" refreshedVersion="6" background="1" saveData="1">
    <textPr prompt="0" codePage="936" sourceFile="C:\Potentiostat\SquidstatCalibrator\bin\Debug\r7.csv" comma="1">
      <textFields>
        <textField/>
      </textFields>
    </textPr>
  </connection>
  <connection id="472" xr16:uid="{00000000-0015-0000-FFFF-FFFFD6010000}" name="r72" type="6" refreshedVersion="6" background="1" saveData="1">
    <textPr prompt="0" codePage="936" sourceFile="C:\Potentiostat\SquidstatCalibrator\bin\Debug\r7.csv" comma="1">
      <textFields>
        <textField/>
      </textFields>
    </textPr>
  </connection>
  <connection id="473" xr16:uid="{00000000-0015-0000-FFFF-FFFFD7010000}" name="r73" type="6" refreshedVersion="6" background="1" saveData="1">
    <textPr prompt="0" codePage="936" sourceFile="C:\Potentiostat\SquidstatCalibrator\bin\Debug\r7.csv" comma="1">
      <textFields>
        <textField/>
      </textFields>
    </textPr>
  </connection>
  <connection id="474" xr16:uid="{00000000-0015-0000-FFFF-FFFFD8010000}" name="r74" type="6" refreshedVersion="6" background="1" saveData="1">
    <textPr prompt="0" codePage="936" sourceFile="C:\Potentiostat\SquidstatCalibrator\bin\Debug\r7.csv" comma="1">
      <textFields>
        <textField/>
      </textFields>
    </textPr>
  </connection>
  <connection id="475" xr16:uid="{00000000-0015-0000-FFFF-FFFFD9010000}" name="v" type="6" refreshedVersion="6" background="1" saveData="1">
    <textPr prompt="0" codePage="936" sourceFile="C:\Users\mattc\GoogleDrive_ASU\SimpleSerial (1)\SimpleSerial\bin\Debug\v.csv" comma="1">
      <textFields>
        <textField/>
      </textFields>
    </textPr>
  </connection>
  <connection id="476" xr16:uid="{00000000-0015-0000-FFFF-FFFFDA010000}" name="v1" type="6" refreshedVersion="6" background="1" saveData="1">
    <textPr prompt="0" codePage="936" sourceFile="C:\Users\mattc\GoogleDrive_ASU\SimpleSerial (1)\SimpleSerial\bin\Debug\v.csv" comma="1">
      <textFields>
        <textField/>
      </textFields>
    </textPr>
  </connection>
  <connection id="477" xr16:uid="{00000000-0015-0000-FFFF-FFFFDB010000}" name="v10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478" xr16:uid="{00000000-0015-0000-FFFF-FFFFDC010000}" name="v10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79" xr16:uid="{00000000-0015-0000-FFFF-FFFFDD010000}" name="v10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80" xr16:uid="{00000000-0015-0000-FFFF-FFFFDE010000}" name="v102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81" xr16:uid="{00000000-0015-0000-FFFF-FFFFDF010000}" name="v10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82" xr16:uid="{00000000-0015-0000-FFFF-FFFFE0010000}" name="v10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83" xr16:uid="{00000000-0015-0000-FFFF-FFFFE1010000}" name="v10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84" xr16:uid="{00000000-0015-0000-FFFF-FFFFE2010000}" name="v10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85" xr16:uid="{00000000-0015-0000-FFFF-FFFFE3010000}" name="v107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86" xr16:uid="{00000000-0015-0000-FFFF-FFFFE4010000}" name="v10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87" xr16:uid="{00000000-0015-0000-FFFF-FFFFE5010000}" name="v10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88" xr16:uid="{00000000-0015-0000-FFFF-FFFFE6010000}" name="v1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89" xr16:uid="{00000000-0015-0000-FFFF-FFFFE7010000}" name="v11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90" xr16:uid="{00000000-0015-0000-FFFF-FFFFE8010000}" name="v11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91" xr16:uid="{00000000-0015-0000-FFFF-FFFFE9010000}" name="v112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92" xr16:uid="{00000000-0015-0000-FFFF-FFFFEA010000}" name="v11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93" xr16:uid="{00000000-0015-0000-FFFF-FFFFEB010000}" name="v11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94" xr16:uid="{00000000-0015-0000-FFFF-FFFFEC010000}" name="v11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95" xr16:uid="{00000000-0015-0000-FFFF-FFFFED010000}" name="v11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96" xr16:uid="{00000000-0015-0000-FFFF-FFFFEE010000}" name="v117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97" xr16:uid="{00000000-0015-0000-FFFF-FFFFEF010000}" name="v11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98" xr16:uid="{00000000-0015-0000-FFFF-FFFFF0010000}" name="v11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499" xr16:uid="{00000000-0015-0000-FFFF-FFFFF1010000}" name="v12" type="6" refreshedVersion="6" background="1" saveData="1">
    <textPr prompt="0" codePage="936" sourceFile="C:\Users\mattc\GoogleDrive_ASU\SimpleSerial (1)\SimpleSerial\bin\Debug\v.csv" comma="1">
      <textFields>
        <textField/>
      </textFields>
    </textPr>
  </connection>
  <connection id="500" xr16:uid="{00000000-0015-0000-FFFF-FFFFF2010000}" name="v12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01" xr16:uid="{00000000-0015-0000-FFFF-FFFFF3010000}" name="v12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02" xr16:uid="{00000000-0015-0000-FFFF-FFFFF4010000}" name="v122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03" xr16:uid="{00000000-0015-0000-FFFF-FFFFF5010000}" name="v12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04" xr16:uid="{00000000-0015-0000-FFFF-FFFFF6010000}" name="v12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05" xr16:uid="{00000000-0015-0000-FFFF-FFFFF7010000}" name="v12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06" xr16:uid="{00000000-0015-0000-FFFF-FFFFF8010000}" name="v12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07" xr16:uid="{00000000-0015-0000-FFFF-FFFFF9010000}" name="v127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08" xr16:uid="{00000000-0015-0000-FFFF-FFFFFA010000}" name="v12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09" xr16:uid="{00000000-0015-0000-FFFF-FFFFFB010000}" name="v12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10" xr16:uid="{00000000-0015-0000-FFFF-FFFFFC010000}" name="v13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511" xr16:uid="{00000000-0015-0000-FFFF-FFFFFD010000}" name="v13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12" xr16:uid="{00000000-0015-0000-FFFF-FFFFFE010000}" name="v13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13" xr16:uid="{00000000-0015-0000-FFFF-FFFFFF010000}" name="v132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14" xr16:uid="{00000000-0015-0000-FFFF-FFFF00020000}" name="v13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15" xr16:uid="{00000000-0015-0000-FFFF-FFFF01020000}" name="v13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16" xr16:uid="{00000000-0015-0000-FFFF-FFFF02020000}" name="v13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17" xr16:uid="{00000000-0015-0000-FFFF-FFFF03020000}" name="v13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18" xr16:uid="{00000000-0015-0000-FFFF-FFFF04020000}" name="v137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19" xr16:uid="{00000000-0015-0000-FFFF-FFFF05020000}" name="v13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20" xr16:uid="{00000000-0015-0000-FFFF-FFFF06020000}" name="v13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21" xr16:uid="{00000000-0015-0000-FFFF-FFFF07020000}" name="v14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522" xr16:uid="{00000000-0015-0000-FFFF-FFFF08020000}" name="v14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23" xr16:uid="{00000000-0015-0000-FFFF-FFFF09020000}" name="v14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24" xr16:uid="{00000000-0015-0000-FFFF-FFFF0A020000}" name="v142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25" xr16:uid="{00000000-0015-0000-FFFF-FFFF0B020000}" name="v14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26" xr16:uid="{00000000-0015-0000-FFFF-FFFF0C020000}" name="v14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27" xr16:uid="{00000000-0015-0000-FFFF-FFFF0D020000}" name="v14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28" xr16:uid="{00000000-0015-0000-FFFF-FFFF0E020000}" name="v146" type="6" refreshedVersion="6" background="1" saveData="1">
    <textPr prompt="0" codePage="936" sourceFile="C:\Users\Matt Dion\Dropbox\MFC Systems files\Calibration files\Prime1035\ch0\v.csv" comma="1">
      <textFields>
        <textField/>
      </textFields>
    </textPr>
  </connection>
  <connection id="529" xr16:uid="{00000000-0015-0000-FFFF-FFFF0F020000}" name="v147" type="6" refreshedVersion="6" background="1" saveData="1">
    <textPr prompt="0" codePage="936" sourceFile="C:\Users\Matt Dion\Dropbox\MFC Systems files\Calibration files\Prime1035\ch0\v.csv" comma="1">
      <textFields>
        <textField/>
      </textFields>
    </textPr>
  </connection>
  <connection id="530" xr16:uid="{00000000-0015-0000-FFFF-FFFF10020000}" name="v14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31" xr16:uid="{00000000-0015-0000-FFFF-FFFF11020000}" name="v15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532" xr16:uid="{00000000-0015-0000-FFFF-FFFF12020000}" name="v16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533" xr16:uid="{00000000-0015-0000-FFFF-FFFF13020000}" name="v17" type="6" refreshedVersion="6" background="1" saveData="1">
    <textPr prompt="0" codePage="936" sourceFile="C:\Users\Matt\Dropbox (Admiral Instruments)\Admiral Instruments Dropbox\software\SquidstatCalibrator\bin\Debug\v.csv" comma="1">
      <textFields>
        <textField/>
      </textFields>
    </textPr>
  </connection>
  <connection id="534" xr16:uid="{00000000-0015-0000-FFFF-FFFF14020000}" name="v18" type="6" refreshedVersion="6" background="1" saveData="1">
    <textPr prompt="0" codePage="936" sourceFile="C:\Users\Matt\Dropbox (Admiral Instruments)\Admiral Instruments Dropbox\software\SquidstatCalibrator\bin\Debug\v.csv" comma="1">
      <textFields>
        <textField/>
      </textFields>
    </textPr>
  </connection>
  <connection id="535" xr16:uid="{00000000-0015-0000-FFFF-FFFF15020000}" name="v1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36" xr16:uid="{00000000-0015-0000-FFFF-FFFF16020000}" name="v2" type="6" refreshedVersion="6" background="1" saveData="1">
    <textPr prompt="0" codePage="936" sourceFile="C:\Users\mattc\GoogleDrive_ASU\SimpleSerial (1)\SimpleSerial\bin\Debug\v.csv" comma="1">
      <textFields>
        <textField/>
      </textFields>
    </textPr>
  </connection>
  <connection id="537" xr16:uid="{00000000-0015-0000-FFFF-FFFF17020000}" name="v2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38" xr16:uid="{00000000-0015-0000-FFFF-FFFF18020000}" name="v2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39" xr16:uid="{00000000-0015-0000-FFFF-FFFF19020000}" name="v22" type="6" refreshedVersion="6" background="1" saveData="1">
    <textPr prompt="0" codePage="936" sourceFile="C:\Users\mattc\GoogleDrive_ASU\SimpleSerial (1)\SimpleSerial\bin\Debug\v.csv" comma="1">
      <textFields>
        <textField/>
      </textFields>
    </textPr>
  </connection>
  <connection id="540" xr16:uid="{00000000-0015-0000-FFFF-FFFF1A020000}" name="v2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41" xr16:uid="{00000000-0015-0000-FFFF-FFFF1B020000}" name="v2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42" xr16:uid="{00000000-0015-0000-FFFF-FFFF1C020000}" name="v2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43" xr16:uid="{00000000-0015-0000-FFFF-FFFF1D020000}" name="v2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44" xr16:uid="{00000000-0015-0000-FFFF-FFFF1E020000}" name="v27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45" xr16:uid="{00000000-0015-0000-FFFF-FFFF1F020000}" name="v2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46" xr16:uid="{00000000-0015-0000-FFFF-FFFF20020000}" name="v2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47" xr16:uid="{00000000-0015-0000-FFFF-FFFF21020000}" name="v3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548" xr16:uid="{00000000-0015-0000-FFFF-FFFF22020000}" name="v3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49" xr16:uid="{00000000-0015-0000-FFFF-FFFF23020000}" name="v3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50" xr16:uid="{00000000-0015-0000-FFFF-FFFF24020000}" name="v32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551" xr16:uid="{00000000-0015-0000-FFFF-FFFF25020000}" name="v3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52" xr16:uid="{00000000-0015-0000-FFFF-FFFF26020000}" name="v3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53" xr16:uid="{00000000-0015-0000-FFFF-FFFF27020000}" name="v3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54" xr16:uid="{00000000-0015-0000-FFFF-FFFF28020000}" name="v3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55" xr16:uid="{00000000-0015-0000-FFFF-FFFF29020000}" name="v37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56" xr16:uid="{00000000-0015-0000-FFFF-FFFF2A020000}" name="v3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57" xr16:uid="{00000000-0015-0000-FFFF-FFFF2B020000}" name="v3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58" xr16:uid="{00000000-0015-0000-FFFF-FFFF2C020000}" name="v4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559" xr16:uid="{00000000-0015-0000-FFFF-FFFF2D020000}" name="v4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60" xr16:uid="{00000000-0015-0000-FFFF-FFFF2E020000}" name="v4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61" xr16:uid="{00000000-0015-0000-FFFF-FFFF2F020000}" name="v42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562" xr16:uid="{00000000-0015-0000-FFFF-FFFF30020000}" name="v4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63" xr16:uid="{00000000-0015-0000-FFFF-FFFF31020000}" name="v44" type="6" refreshedVersion="6" background="1" saveData="1">
    <textPr prompt="0" codePage="936" sourceFile="C:\Users\Matt\Dropbox\MFC Systems files\Calibration files\Prime1029\ch0\v.csv" comma="1">
      <textFields>
        <textField/>
      </textFields>
    </textPr>
  </connection>
  <connection id="564" xr16:uid="{00000000-0015-0000-FFFF-FFFF32020000}" name="v45" type="6" refreshedVersion="6" background="1" saveData="1">
    <textPr prompt="0" codePage="936" sourceFile="C:\Users\Matt\Dropbox\MFC Systems files\Calibration files\Prime1029\ch1\v.csv" comma="1">
      <textFields>
        <textField/>
      </textFields>
    </textPr>
  </connection>
  <connection id="565" xr16:uid="{00000000-0015-0000-FFFF-FFFF33020000}" name="v46" type="6" refreshedVersion="6" background="1" saveData="1">
    <textPr prompt="0" codePage="936" sourceFile="C:\Users\Matt\Dropbox\MFC Systems files\Calibration files\Prime1029\ch0\v.csv" comma="1">
      <textFields>
        <textField/>
      </textFields>
    </textPr>
  </connection>
  <connection id="566" xr16:uid="{00000000-0015-0000-FFFF-FFFF34020000}" name="v47" type="6" refreshedVersion="6" background="1" saveData="1">
    <textPr prompt="0" codePage="936" sourceFile="C:\Users\Matt\Dropbox\MFC Systems files\Calibration files\Prime1029\ch2\v.csv" comma="1">
      <textFields>
        <textField/>
      </textFields>
    </textPr>
  </connection>
  <connection id="567" xr16:uid="{00000000-0015-0000-FFFF-FFFF35020000}" name="v48" type="6" refreshedVersion="6" background="1" saveData="1">
    <textPr prompt="0" codePage="936" sourceFile="C:\Users\Matt\Dropbox\MFC Systems files\Calibration files\Prime1029\ch2\v.csv" comma="1">
      <textFields>
        <textField/>
      </textFields>
    </textPr>
  </connection>
  <connection id="568" xr16:uid="{00000000-0015-0000-FFFF-FFFF36020000}" name="v49" type="6" refreshedVersion="6" background="1" saveData="1">
    <textPr prompt="0" codePage="936" sourceFile="C:\Users\Matt\Dropbox\MFC Systems files\Calibration files\Prime1029\ch3\v.csv" comma="1">
      <textFields>
        <textField/>
      </textFields>
    </textPr>
  </connection>
  <connection id="569" xr16:uid="{00000000-0015-0000-FFFF-FFFF37020000}" name="v5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570" xr16:uid="{00000000-0015-0000-FFFF-FFFF38020000}" name="v50" type="6" refreshedVersion="6" background="1" saveData="1">
    <textPr prompt="0" codePage="936" sourceFile="C:\Users\mattc\Documents\v.csv" comma="1">
      <textFields>
        <textField/>
      </textFields>
    </textPr>
  </connection>
  <connection id="571" xr16:uid="{00000000-0015-0000-FFFF-FFFF39020000}" name="v5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72" xr16:uid="{00000000-0015-0000-FFFF-FFFF3A020000}" name="v52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573" xr16:uid="{00000000-0015-0000-FFFF-FFFF3B020000}" name="v5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74" xr16:uid="{00000000-0015-0000-FFFF-FFFF3C020000}" name="v5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75" xr16:uid="{00000000-0015-0000-FFFF-FFFF3D020000}" name="v5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76" xr16:uid="{00000000-0015-0000-FFFF-FFFF3E020000}" name="v5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77" xr16:uid="{00000000-0015-0000-FFFF-FFFF3F020000}" name="v57" type="6" refreshedVersion="6" background="1" saveData="1">
    <textPr prompt="0" codePage="936" sourceFile="C:\Potentiostat\SquidstatCalibrator\bin\Debug\ch1\v.csv" comma="1">
      <textFields>
        <textField/>
      </textFields>
    </textPr>
  </connection>
  <connection id="578" xr16:uid="{00000000-0015-0000-FFFF-FFFF40020000}" name="v5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79" xr16:uid="{00000000-0015-0000-FFFF-FFFF41020000}" name="v5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80" xr16:uid="{00000000-0015-0000-FFFF-FFFF42020000}" name="v6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581" xr16:uid="{00000000-0015-0000-FFFF-FFFF43020000}" name="v6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82" xr16:uid="{00000000-0015-0000-FFFF-FFFF44020000}" name="v6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83" xr16:uid="{00000000-0015-0000-FFFF-FFFF45020000}" name="v62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584" xr16:uid="{00000000-0015-0000-FFFF-FFFF46020000}" name="v6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85" xr16:uid="{00000000-0015-0000-FFFF-FFFF47020000}" name="v6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86" xr16:uid="{00000000-0015-0000-FFFF-FFFF48020000}" name="v6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87" xr16:uid="{00000000-0015-0000-FFFF-FFFF49020000}" name="v6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88" xr16:uid="{00000000-0015-0000-FFFF-FFFF4A020000}" name="v67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89" xr16:uid="{00000000-0015-0000-FFFF-FFFF4B020000}" name="v6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90" xr16:uid="{00000000-0015-0000-FFFF-FFFF4C020000}" name="v6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91" xr16:uid="{00000000-0015-0000-FFFF-FFFF4D020000}" name="v7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592" xr16:uid="{00000000-0015-0000-FFFF-FFFF4E020000}" name="v7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93" xr16:uid="{00000000-0015-0000-FFFF-FFFF4F020000}" name="v71" type="6" refreshedVersion="6" background="1" saveData="1">
    <textPr prompt="0" codePage="936" sourceFile="C:\Potentiostat\SquidstatCalibrator\bin\Debug\ch1\v.csv" comma="1">
      <textFields>
        <textField/>
      </textFields>
    </textPr>
  </connection>
  <connection id="594" xr16:uid="{00000000-0015-0000-FFFF-FFFF50020000}" name="v72" type="6" refreshedVersion="6" background="1" saveData="1">
    <textPr prompt="0" codePage="936" sourceFile="C:\Potentiostat\SquidstatCalibrator\bin\Debug\ch4\v.csv" comma="1">
      <textFields>
        <textField/>
      </textFields>
    </textPr>
  </connection>
  <connection id="595" xr16:uid="{00000000-0015-0000-FFFF-FFFF51020000}" name="v73" type="6" refreshedVersion="6" background="1" saveData="1">
    <textPr prompt="0" codePage="936" sourceFile="C:\Potentiostat\SquidstatCalibrator\bin\Debug\ch4\v.csv" comma="1">
      <textFields>
        <textField/>
      </textFields>
    </textPr>
  </connection>
  <connection id="596" xr16:uid="{00000000-0015-0000-FFFF-FFFF52020000}" name="v7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97" xr16:uid="{00000000-0015-0000-FFFF-FFFF53020000}" name="v7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598" xr16:uid="{00000000-0015-0000-FFFF-FFFF54020000}" name="v76" type="6" refreshedVersion="6" background="1" saveData="1">
    <textPr prompt="0" codePage="936" sourceFile="C:\Potentiostat\SquidstatCalibrator\bin\Debug\ss_1031_v1\ch4\v.csv" comma="1">
      <textFields>
        <textField/>
      </textFields>
    </textPr>
  </connection>
  <connection id="599" xr16:uid="{00000000-0015-0000-FFFF-FFFF55020000}" name="v77" type="6" refreshedVersion="6" background="1" saveData="1">
    <textPr prompt="0" codePage="936" sourceFile="C:\Potentiostat\SquidstatCalibrator\bin\Debug\ss_1031_v1\ch4\v.csv" comma="1">
      <textFields>
        <textField/>
      </textFields>
    </textPr>
  </connection>
  <connection id="600" xr16:uid="{00000000-0015-0000-FFFF-FFFF56020000}" name="v78" type="6" refreshedVersion="6" background="1" saveData="1">
    <textPr prompt="0" codePage="936" sourceFile="C:\Potentiostat\SquidstatCalibrator\bin\Debug\ss_1031_v1\ch4\v.csv" comma="1">
      <textFields>
        <textField/>
      </textFields>
    </textPr>
  </connection>
  <connection id="601" xr16:uid="{00000000-0015-0000-FFFF-FFFF57020000}" name="v79" type="6" refreshedVersion="6" background="1" saveData="1">
    <textPr prompt="0" codePage="936" sourceFile="C:\Potentiostat\SquidstatCalibrator\bin\Debug\ss_1031_v1\ch4\v.csv" comma="1">
      <textFields>
        <textField/>
      </textFields>
    </textPr>
  </connection>
  <connection id="602" xr16:uid="{00000000-0015-0000-FFFF-FFFF58020000}" name="v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603" xr16:uid="{00000000-0015-0000-FFFF-FFFF59020000}" name="v8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604" xr16:uid="{00000000-0015-0000-FFFF-FFFF5A020000}" name="v8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605" xr16:uid="{00000000-0015-0000-FFFF-FFFF5B020000}" name="v82" type="6" refreshedVersion="6" background="1" saveData="1">
    <textPr prompt="0" codePage="936" sourceFile="C:\Potentiostat\SquidstatCalibrator\bin\Debug\ss_1031_v1\ch4\v.csv" comma="1">
      <textFields>
        <textField/>
      </textFields>
    </textPr>
  </connection>
  <connection id="606" xr16:uid="{00000000-0015-0000-FFFF-FFFF5C020000}" name="v8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607" xr16:uid="{00000000-0015-0000-FFFF-FFFF5D020000}" name="v84" type="6" refreshedVersion="6" background="1" saveData="1">
    <textPr prompt="0" codePage="936" sourceFile="C:\Potentiostat\SquidstatCalibrator\bin\Debug\ss_1031_v1\ch4\v.csv" comma="1">
      <textFields>
        <textField/>
      </textFields>
    </textPr>
  </connection>
  <connection id="608" xr16:uid="{00000000-0015-0000-FFFF-FFFF5E020000}" name="v85" type="6" refreshedVersion="6" background="1" saveData="1">
    <textPr prompt="0" codePage="936" sourceFile="C:\Potentiostat\SquidstatCalibrator\bin\Debug\ss_1031_v1\ch4\v.csv" comma="1">
      <textFields>
        <textField/>
      </textFields>
    </textPr>
  </connection>
  <connection id="609" xr16:uid="{00000000-0015-0000-FFFF-FFFF5F020000}" name="v8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610" xr16:uid="{00000000-0015-0000-FFFF-FFFF60020000}" name="v87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611" xr16:uid="{00000000-0015-0000-FFFF-FFFF61020000}" name="v8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612" xr16:uid="{00000000-0015-0000-FFFF-FFFF62020000}" name="v8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613" xr16:uid="{00000000-0015-0000-FFFF-FFFF63020000}" name="v9" type="6" refreshedVersion="6" background="1" saveData="1">
    <textPr prompt="0" codePage="936" sourceFile="C:\Users\mattc\GoogleDrive_ASU\SimpleSerial (1)\SimpleSerial\bin\Debug\v.csv" comma="1">
      <textFields>
        <textField/>
      </textFields>
    </textPr>
  </connection>
  <connection id="614" xr16:uid="{00000000-0015-0000-FFFF-FFFF64020000}" name="v9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615" xr16:uid="{00000000-0015-0000-FFFF-FFFF65020000}" name="v9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616" xr16:uid="{00000000-0015-0000-FFFF-FFFF66020000}" name="v92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617" xr16:uid="{00000000-0015-0000-FFFF-FFFF67020000}" name="v9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618" xr16:uid="{00000000-0015-0000-FFFF-FFFF68020000}" name="v9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619" xr16:uid="{00000000-0015-0000-FFFF-FFFF69020000}" name="v9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620" xr16:uid="{00000000-0015-0000-FFFF-FFFF6A020000}" name="v9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621" xr16:uid="{00000000-0015-0000-FFFF-FFFF6B020000}" name="v97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622" xr16:uid="{00000000-0015-0000-FFFF-FFFF6C020000}" name="v9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623" xr16:uid="{00000000-0015-0000-FFFF-FFFF6D020000}" name="v9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624" xr16:uid="{00000000-0015-0000-FFFF-FFFF6E020000}" name="vA" type="6" refreshedVersion="6" background="1" saveData="1">
    <textPr prompt="0" codePage="936" sourceFile="C:\Potentiostat\SquidstatCalibrator\bin\Debug\vA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<sst xmlns="http://schemas.openxmlformats.org/spreadsheetml/2006/main" count="682" uniqueCount="321">
  <si>
    <t>COM6</t>
  </si>
  <si>
    <t>Meters</t>
  </si>
  <si>
    <t>keithley485</t>
  </si>
  <si>
    <t>hp34401a</t>
  </si>
  <si>
    <t>Squidstat Versions</t>
  </si>
  <si>
    <t>v1</t>
  </si>
  <si>
    <t>v2</t>
  </si>
  <si>
    <t>current</t>
  </si>
  <si>
    <t>voltage</t>
  </si>
  <si>
    <t>Available COM Ports</t>
  </si>
  <si>
    <t>COM4</t>
  </si>
  <si>
    <t>Squidstat</t>
  </si>
  <si>
    <t>Keithley485</t>
  </si>
  <si>
    <t>HP34401A</t>
  </si>
  <si>
    <t>Port</t>
  </si>
  <si>
    <t>Version</t>
  </si>
  <si>
    <t>Current 1</t>
  </si>
  <si>
    <t>Current 2</t>
  </si>
  <si>
    <t>Current 3</t>
  </si>
  <si>
    <t>Current 4</t>
  </si>
  <si>
    <t>Current 5</t>
  </si>
  <si>
    <t>Current 6</t>
  </si>
  <si>
    <t>Current 7</t>
  </si>
  <si>
    <t>#</t>
  </si>
  <si>
    <t>m_DACac</t>
  </si>
  <si>
    <t>m_DACdcP_V</t>
  </si>
  <si>
    <t>m_DACdcN_V</t>
  </si>
  <si>
    <t>b_DACdc_V</t>
  </si>
  <si>
    <t>m_DACdcP_I</t>
  </si>
  <si>
    <t>m_DACdcN_I</t>
  </si>
  <si>
    <t>b_DACdc_I</t>
  </si>
  <si>
    <t>Ref</t>
  </si>
  <si>
    <t>Ewe</t>
  </si>
  <si>
    <t>Ece</t>
  </si>
  <si>
    <t>m_refP</t>
  </si>
  <si>
    <t>m_refN</t>
  </si>
  <si>
    <t>b_ref</t>
  </si>
  <si>
    <t>m_eweP</t>
  </si>
  <si>
    <t>m_eweN</t>
  </si>
  <si>
    <t>b_ewe</t>
  </si>
  <si>
    <t>m_eceP</t>
  </si>
  <si>
    <t>m_eceN</t>
  </si>
  <si>
    <t>b_ece</t>
  </si>
  <si>
    <t>m_iP</t>
  </si>
  <si>
    <t>m_iN</t>
  </si>
  <si>
    <t>b_i</t>
  </si>
  <si>
    <t>Current 0</t>
  </si>
  <si>
    <t>Device</t>
  </si>
  <si>
    <t>ref</t>
  </si>
  <si>
    <t>ewe</t>
  </si>
  <si>
    <t>ece</t>
  </si>
  <si>
    <t>Measured</t>
  </si>
  <si>
    <t>Measured 0</t>
  </si>
  <si>
    <t>Measured 1</t>
  </si>
  <si>
    <t>Measured 2</t>
  </si>
  <si>
    <t>Measured 3</t>
  </si>
  <si>
    <t>Measured 4</t>
  </si>
  <si>
    <t>Measured 5</t>
  </si>
  <si>
    <t>Measured 6</t>
  </si>
  <si>
    <t>Measured 7</t>
  </si>
  <si>
    <t>COM3</t>
  </si>
  <si>
    <t>Measured Voltage</t>
  </si>
  <si>
    <t>Measured Current</t>
  </si>
  <si>
    <t>Channel</t>
  </si>
  <si>
    <t>calibrate</t>
  </si>
  <si>
    <t>Range</t>
  </si>
  <si>
    <t>COM1</t>
  </si>
  <si>
    <t>COM2</t>
  </si>
  <si>
    <t>COM5</t>
  </si>
  <si>
    <t>COM7</t>
  </si>
  <si>
    <t>COM8</t>
  </si>
  <si>
    <t>COM9</t>
  </si>
  <si>
    <t>COM10</t>
  </si>
  <si>
    <t>COM11</t>
  </si>
  <si>
    <t>COM12</t>
  </si>
  <si>
    <t>COM13</t>
  </si>
  <si>
    <t>COM14</t>
  </si>
  <si>
    <t>COM15</t>
  </si>
  <si>
    <t>COM16</t>
  </si>
  <si>
    <t>COM17</t>
  </si>
  <si>
    <t>COM18</t>
  </si>
  <si>
    <t>COM19</t>
  </si>
  <si>
    <t>COM20</t>
  </si>
  <si>
    <t>COM21</t>
  </si>
  <si>
    <t>COM22</t>
  </si>
  <si>
    <t>Channel (Binary) 0x0</t>
  </si>
  <si>
    <t>V Setpoint</t>
  </si>
  <si>
    <t>I Setpoint</t>
  </si>
  <si>
    <t>V1 I Setpoint</t>
  </si>
  <si>
    <t>m_iP[1]</t>
  </si>
  <si>
    <t>m_iP[2]</t>
  </si>
  <si>
    <t>m_iP[0]</t>
  </si>
  <si>
    <t>m_iP[3]</t>
  </si>
  <si>
    <t>m_iP[4]</t>
  </si>
  <si>
    <t>m_iP[5]</t>
  </si>
  <si>
    <t>m_iP[6]</t>
  </si>
  <si>
    <t>m_iP[7]</t>
  </si>
  <si>
    <t>m_iN[0]</t>
  </si>
  <si>
    <t>m_iN[1]</t>
  </si>
  <si>
    <t>m_iN[2]</t>
  </si>
  <si>
    <t>m_iN[3]</t>
  </si>
  <si>
    <t>m_iN[4]</t>
  </si>
  <si>
    <t>m_iN[5]</t>
  </si>
  <si>
    <t>m_iN[6]</t>
  </si>
  <si>
    <t>m_iN[7]</t>
  </si>
  <si>
    <t>b_i[0]</t>
  </si>
  <si>
    <t>b_i[1]</t>
  </si>
  <si>
    <t>b_i[2]</t>
  </si>
  <si>
    <t>b_i[3]</t>
  </si>
  <si>
    <t>b_i[4]</t>
  </si>
  <si>
    <t>b_i[5]</t>
  </si>
  <si>
    <t>b_i[6]</t>
  </si>
  <si>
    <t>b_i[7]</t>
  </si>
  <si>
    <t>m_DACdcP_I[0]</t>
  </si>
  <si>
    <t>m_DACdcP_I[1]</t>
  </si>
  <si>
    <t>m_DACdcP_I[2]</t>
  </si>
  <si>
    <t>m_DACdcP_I[3]</t>
  </si>
  <si>
    <t>m_DACdcP_I[4]</t>
  </si>
  <si>
    <t>m_DACdcP_I[5]</t>
  </si>
  <si>
    <t>m_DACdcP_I[6]</t>
  </si>
  <si>
    <t>m_DACdcP_I[7]</t>
  </si>
  <si>
    <t>m_DACdcN_I[0]</t>
  </si>
  <si>
    <t>m_DACdcN_I[1]</t>
  </si>
  <si>
    <t>m_DACdcN_I[2]</t>
  </si>
  <si>
    <t>m_DACdcN_I[3]</t>
  </si>
  <si>
    <t>m_DACdcN_I[4]</t>
  </si>
  <si>
    <t>m_DACdcN_I[5]</t>
  </si>
  <si>
    <t>m_DACdcN_I[6]</t>
  </si>
  <si>
    <t>m_DACdcN_I[7]</t>
  </si>
  <si>
    <t>b_DACdc_I[0]</t>
  </si>
  <si>
    <t>b_DACdc_I[1]</t>
  </si>
  <si>
    <t>b_DACdc_I[2]</t>
  </si>
  <si>
    <t>b_DACdc_I[3]</t>
  </si>
  <si>
    <t>b_DACdc_I[4]</t>
  </si>
  <si>
    <t>b_DACdc_I[5]</t>
  </si>
  <si>
    <t>b_DACdc_I[6]</t>
  </si>
  <si>
    <t>b_DACdc_I[7]</t>
  </si>
  <si>
    <t>Cal Labels</t>
  </si>
  <si>
    <t>Cmd</t>
  </si>
  <si>
    <t>SSC exe</t>
  </si>
  <si>
    <t>SquidstatCalibrator.exe</t>
  </si>
  <si>
    <t>f</t>
  </si>
  <si>
    <t>binary!</t>
  </si>
  <si>
    <t>COM23</t>
  </si>
  <si>
    <t>COM24</t>
  </si>
  <si>
    <t>COM25</t>
  </si>
  <si>
    <t>COM26</t>
  </si>
  <si>
    <t>COM27</t>
  </si>
  <si>
    <t>COM28</t>
  </si>
  <si>
    <t>COM29</t>
  </si>
  <si>
    <t>COM30</t>
  </si>
  <si>
    <t>Ewe (V)</t>
  </si>
  <si>
    <t>% Err</t>
  </si>
  <si>
    <t>int16 extrema</t>
  </si>
  <si>
    <t>v1 ranges</t>
  </si>
  <si>
    <t>v2 ranges</t>
  </si>
  <si>
    <t>this v ranges</t>
  </si>
  <si>
    <t>C0 (mA)</t>
  </si>
  <si>
    <t>C0 % Err</t>
  </si>
  <si>
    <t>C0 Abs Err (mA)</t>
  </si>
  <si>
    <t>Hardware Model Number</t>
  </si>
  <si>
    <t>PRIME</t>
  </si>
  <si>
    <t>Serial Number</t>
  </si>
  <si>
    <t>General Text</t>
  </si>
  <si>
    <t>Abs Err (V)</t>
  </si>
  <si>
    <t>Ece (V)</t>
  </si>
  <si>
    <t>C1 (mA)</t>
  </si>
  <si>
    <t>C2 (mA)</t>
  </si>
  <si>
    <t>C3 (mA)</t>
  </si>
  <si>
    <t>Rsp</t>
  </si>
  <si>
    <t>C4 (mA)</t>
  </si>
  <si>
    <t>C4 Abs Err (mA)</t>
  </si>
  <si>
    <t>C4 % Err</t>
  </si>
  <si>
    <t>C5 (mA)</t>
  </si>
  <si>
    <t>C5 Abs Err (mA)</t>
  </si>
  <si>
    <t>C5 % Err</t>
  </si>
  <si>
    <t>C6 (mA)</t>
  </si>
  <si>
    <t>C6 Abs Err (mA)</t>
  </si>
  <si>
    <t>C6 % Err</t>
  </si>
  <si>
    <t>C7 (mA)</t>
  </si>
  <si>
    <t>C7 Abs Err (mA)</t>
  </si>
  <si>
    <t>C7 % Err</t>
  </si>
  <si>
    <t>Cmd SAVE</t>
  </si>
  <si>
    <t>Cmd SEND</t>
  </si>
  <si>
    <t>quality</t>
  </si>
  <si>
    <t>COM31</t>
  </si>
  <si>
    <t>COM32</t>
  </si>
  <si>
    <t>COM33</t>
  </si>
  <si>
    <t>COM34</t>
  </si>
  <si>
    <t>COM35</t>
  </si>
  <si>
    <t>COM36</t>
  </si>
  <si>
    <t>COM37</t>
  </si>
  <si>
    <t>COM38</t>
  </si>
  <si>
    <t>COM39</t>
  </si>
  <si>
    <t>COM40</t>
  </si>
  <si>
    <t>Squidstat models</t>
  </si>
  <si>
    <t>EDGE</t>
  </si>
  <si>
    <t>PICO</t>
  </si>
  <si>
    <t>SOLO</t>
  </si>
  <si>
    <t>PLUS</t>
  </si>
  <si>
    <t>PLUS_2_0</t>
  </si>
  <si>
    <t>SOLO_2_0</t>
  </si>
  <si>
    <t>PRIME_2_0</t>
  </si>
  <si>
    <t>DAC % Err</t>
  </si>
  <si>
    <t>DAC Err (mV)</t>
  </si>
  <si>
    <t>this I Setpoint</t>
  </si>
  <si>
    <t>V2 I Setpoint</t>
  </si>
  <si>
    <t>Analog channel 2016_05_05 (Macrofab)
Control board 2016_05_24 (Macrofab)
Power supply 2016_05_08 (Macrofab)
Initial firmware Squidstat_firmware_2017_12_13</t>
  </si>
  <si>
    <t>Old V setpoints</t>
  </si>
  <si>
    <t>Default DC gain values</t>
  </si>
  <si>
    <t>Vgain</t>
  </si>
  <si>
    <t>Igain</t>
  </si>
  <si>
    <t>V1</t>
  </si>
  <si>
    <t>V2</t>
  </si>
  <si>
    <t>this</t>
  </si>
  <si>
    <t>Sample #</t>
  </si>
  <si>
    <t>Frequency</t>
  </si>
  <si>
    <t>|Z|</t>
  </si>
  <si>
    <t>Phase (degrees)</t>
  </si>
  <si>
    <t>Working electrode gain</t>
  </si>
  <si>
    <t>Current gain</t>
  </si>
  <si>
    <t>Current range</t>
  </si>
  <si>
    <t>Group #</t>
  </si>
  <si>
    <t>Avg lag</t>
  </si>
  <si>
    <t>Net lag</t>
  </si>
  <si>
    <t>X</t>
  </si>
  <si>
    <t>Y</t>
  </si>
  <si>
    <t>Sample num</t>
  </si>
  <si>
    <t>Average |Z|</t>
  </si>
  <si>
    <t>group</t>
  </si>
  <si>
    <t>sample num</t>
  </si>
  <si>
    <t>stagePhaseDelay[0]</t>
  </si>
  <si>
    <t>stagePhaseDelay[1]</t>
  </si>
  <si>
    <t>stagePhaseDelay[2]</t>
  </si>
  <si>
    <t>stagePhaseDelay[3]</t>
  </si>
  <si>
    <t>stagePhaseDelay[4]</t>
  </si>
  <si>
    <t>stagePhaseDelay[5]</t>
  </si>
  <si>
    <t>stagePhaseDelay[6]</t>
  </si>
  <si>
    <t>stagePhaseDelay[7]</t>
  </si>
  <si>
    <t>stagePhaseDelay[8]</t>
  </si>
  <si>
    <t>stagePhaseDelay[9]</t>
  </si>
  <si>
    <t>stageDCGain[0]</t>
  </si>
  <si>
    <t>stageDCGain[1]</t>
  </si>
  <si>
    <t>stageDCGain[2]</t>
  </si>
  <si>
    <t>stageDCGain[3]</t>
  </si>
  <si>
    <t>stageDCGain[4]</t>
  </si>
  <si>
    <t>stageDCGain[5]</t>
  </si>
  <si>
    <t>stageDCGain[6]</t>
  </si>
  <si>
    <t>stageDCGain[7]</t>
  </si>
  <si>
    <t>stageDCGain[8]</t>
  </si>
  <si>
    <t>stageDCGain[9]</t>
  </si>
  <si>
    <t>Plus 2.0 Demo</t>
  </si>
  <si>
    <t>stageHFGain_A[0]</t>
  </si>
  <si>
    <t>stageHFGain_A[1]</t>
  </si>
  <si>
    <t>stageHFGain_A[2]</t>
  </si>
  <si>
    <t>stageHFGain_A[3]</t>
  </si>
  <si>
    <t>stageHFGain_A[4]</t>
  </si>
  <si>
    <t>stageHFGain_A[5]</t>
  </si>
  <si>
    <t>stageHFGain_A[6]</t>
  </si>
  <si>
    <t>stageHFGain_A[7]</t>
  </si>
  <si>
    <t>stageHFGain_A[8]</t>
  </si>
  <si>
    <t>stageHFGain_A[9]</t>
  </si>
  <si>
    <t>stageHFGain_B[0]</t>
  </si>
  <si>
    <t>stageHFGain_B[1]</t>
  </si>
  <si>
    <t>stageHFGain_B[2]</t>
  </si>
  <si>
    <t>stageHFGain_B[3]</t>
  </si>
  <si>
    <t>stageHFGain_B[4]</t>
  </si>
  <si>
    <t>stageHFGain_B[5]</t>
  </si>
  <si>
    <t>stageHFGain_B[6]</t>
  </si>
  <si>
    <t>stageHFGain_B[7]</t>
  </si>
  <si>
    <t>stageHFGain_B[8]</t>
  </si>
  <si>
    <t>stageHFGain_B[9]</t>
  </si>
  <si>
    <t>stageHFGain_C[0]</t>
  </si>
  <si>
    <t>stageHFGain_C[1]</t>
  </si>
  <si>
    <t>stageHFGain_C[2]</t>
  </si>
  <si>
    <t>stageHFGain_C[3]</t>
  </si>
  <si>
    <t>stageHFGain_C[4]</t>
  </si>
  <si>
    <t>stageHFGain_C[5]</t>
  </si>
  <si>
    <t>stageHFGain_C[6]</t>
  </si>
  <si>
    <t>stageHFGain_C[7]</t>
  </si>
  <si>
    <t>stageHFGain_C[8]</t>
  </si>
  <si>
    <t>stageHFGain_C[9]</t>
  </si>
  <si>
    <t>Vgain (nom)</t>
  </si>
  <si>
    <t>Igain (nom)</t>
  </si>
  <si>
    <t>Description</t>
  </si>
  <si>
    <t>Ag/AgCl in 0.1M KCl</t>
  </si>
  <si>
    <t>Electrode area (working electrode)</t>
  </si>
  <si>
    <t>Electrode area (counter electrode)</t>
  </si>
  <si>
    <t>Solvent</t>
  </si>
  <si>
    <t>Electrolyte</t>
  </si>
  <si>
    <t>Electrolyte concentration (moles per liter)</t>
  </si>
  <si>
    <t>Atmosphere</t>
  </si>
  <si>
    <t>Adj Vgain</t>
  </si>
  <si>
    <t>Adj Igain</t>
  </si>
  <si>
    <t>frequency (X)</t>
  </si>
  <si>
    <t>gain @ current cal</t>
  </si>
  <si>
    <t>stageHFGain_A[i]</t>
  </si>
  <si>
    <t>stageHFGain_B[i]</t>
  </si>
  <si>
    <t>stageHFGain_C[i]</t>
  </si>
  <si>
    <t>Current cal parameters</t>
  </si>
  <si>
    <t>|Z| with ADCslow</t>
  </si>
  <si>
    <t>Adjusted gain (Y)</t>
  </si>
  <si>
    <t>xx</t>
  </si>
  <si>
    <t>xy</t>
  </si>
  <si>
    <t>x(x^2)</t>
  </si>
  <si>
    <t>(x^2)(x^2)</t>
  </si>
  <si>
    <t>(x^2)y</t>
  </si>
  <si>
    <t>avg x</t>
  </si>
  <si>
    <t>avg y</t>
  </si>
  <si>
    <t>avg xx</t>
  </si>
  <si>
    <t>S_xx</t>
  </si>
  <si>
    <t>S_xy</t>
  </si>
  <si>
    <t>S_xx2</t>
  </si>
  <si>
    <t>S_x2x2</t>
  </si>
  <si>
    <t>S_x2y</t>
  </si>
  <si>
    <t>New cal parameters</t>
  </si>
  <si>
    <t>Channel name</t>
  </si>
  <si>
    <t>m_DACircomp</t>
  </si>
  <si>
    <t>m_DACwebias</t>
  </si>
  <si>
    <t>m_DACibias</t>
  </si>
  <si>
    <t>|Z| with ADC_fast @ 50kHz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</si>
</sst>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%"/>
    <numFmt numFmtId="165" formatCode="0.00000"/>
    <numFmt numFmtId="166" formatCode="0.0000"/>
    <numFmt numFmtId="167" formatCode="0.0000000"/>
    <numFmt numFmtId="168" formatCode="0.0000%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2"/>
      <name val="Calibri"/>
      <family val="2"/>
      <scheme val="minor"/>
    </font>
    <font>
      <b/>
      <sz val="11"/>
      <color theme="6"/>
      <name val="Calibri"/>
      <family val="2"/>
      <scheme val="minor"/>
    </font>
    <font>
      <sz val="11"/>
      <color theme="6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theme="4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77">
    <xf numFmtId="0" fontId="0" fillId="0" borderId="0" xfId="0"/>
    <xf numFmtId="0" fontId="1" fillId="0" borderId="0" xfId="0" applyFont="1"/>
    <xf numFmtId="0" fontId="0" fillId="6" borderId="0" xfId="0" applyFill="1"/>
    <xf numFmtId="0" fontId="1" fillId="6" borderId="0" xfId="0" applyFont="1" applyFill="1"/>
    <xf numFmtId="0" fontId="0" fillId="3" borderId="0" xfId="0" applyFill="1"/>
    <xf numFmtId="0" fontId="5" fillId="3" borderId="0" xfId="0" applyFont="1" applyFill="1"/>
    <xf numFmtId="0" fontId="6" fillId="2" borderId="5" xfId="0" applyFont="1" applyFill="1" applyBorder="1" applyAlignment="1">
      <alignment horizontal="right"/>
    </xf>
    <xf numFmtId="0" fontId="6" fillId="4" borderId="1" xfId="0" applyFont="1" applyFill="1" applyBorder="1" applyAlignment="1">
      <alignment horizontal="right"/>
    </xf>
    <xf numFmtId="0" fontId="6" fillId="6" borderId="1" xfId="0" applyFont="1" applyFill="1" applyBorder="1" applyAlignment="1">
      <alignment horizontal="right"/>
    </xf>
    <xf numFmtId="0" fontId="6" fillId="5" borderId="1" xfId="0" applyFont="1" applyFill="1" applyBorder="1" applyAlignment="1">
      <alignment horizontal="right"/>
    </xf>
    <xf numFmtId="0" fontId="6" fillId="0" borderId="1" xfId="0" applyFont="1" applyBorder="1" applyAlignment="1">
      <alignment horizontal="right"/>
    </xf>
    <xf numFmtId="0" fontId="7" fillId="2" borderId="4" xfId="0" applyFont="1" applyFill="1" applyBorder="1"/>
    <xf numFmtId="0" fontId="7" fillId="4" borderId="0" xfId="0" applyFont="1" applyFill="1"/>
    <xf numFmtId="0" fontId="7" fillId="6" borderId="0" xfId="0" applyFont="1" applyFill="1"/>
    <xf numFmtId="0" fontId="7" fillId="5" borderId="0" xfId="0" applyFont="1" applyFill="1"/>
    <xf numFmtId="11" fontId="7" fillId="5" borderId="0" xfId="0" applyNumberFormat="1" applyFont="1" applyFill="1"/>
    <xf numFmtId="0" fontId="7" fillId="0" borderId="0" xfId="0" applyFont="1"/>
    <xf numFmtId="0" fontId="7" fillId="2" borderId="7" xfId="0" applyFont="1" applyFill="1" applyBorder="1"/>
    <xf numFmtId="0" fontId="7" fillId="4" borderId="3" xfId="0" applyFont="1" applyFill="1" applyBorder="1"/>
    <xf numFmtId="0" fontId="7" fillId="6" borderId="3" xfId="0" applyFont="1" applyFill="1" applyBorder="1"/>
    <xf numFmtId="0" fontId="7" fillId="5" borderId="3" xfId="0" applyFont="1" applyFill="1" applyBorder="1"/>
    <xf numFmtId="0" fontId="7" fillId="0" borderId="3" xfId="0" applyFont="1" applyBorder="1"/>
    <xf numFmtId="0" fontId="7" fillId="2" borderId="6" xfId="0" applyFont="1" applyFill="1" applyBorder="1"/>
    <xf numFmtId="0" fontId="7" fillId="4" borderId="2" xfId="0" applyFont="1" applyFill="1" applyBorder="1"/>
    <xf numFmtId="0" fontId="7" fillId="6" borderId="2" xfId="0" applyFont="1" applyFill="1" applyBorder="1"/>
    <xf numFmtId="0" fontId="7" fillId="5" borderId="2" xfId="0" applyFont="1" applyFill="1" applyBorder="1"/>
    <xf numFmtId="0" fontId="7" fillId="0" borderId="2" xfId="0" applyFont="1" applyBorder="1"/>
    <xf numFmtId="0" fontId="7" fillId="4" borderId="0" xfId="0" applyFont="1" applyFill="1" applyBorder="1"/>
    <xf numFmtId="0" fontId="7" fillId="6" borderId="0" xfId="0" applyFont="1" applyFill="1" applyBorder="1"/>
    <xf numFmtId="0" fontId="7" fillId="5" borderId="0" xfId="0" applyFont="1" applyFill="1" applyBorder="1"/>
    <xf numFmtId="0" fontId="7" fillId="0" borderId="0" xfId="0" applyFont="1" applyBorder="1"/>
    <xf numFmtId="0" fontId="6" fillId="2" borderId="6" xfId="0" applyFont="1" applyFill="1" applyBorder="1" applyAlignment="1">
      <alignment horizontal="right"/>
    </xf>
    <xf numFmtId="0" fontId="6" fillId="4" borderId="2" xfId="0" applyFont="1" applyFill="1" applyBorder="1" applyAlignment="1">
      <alignment horizontal="right"/>
    </xf>
    <xf numFmtId="0" fontId="6" fillId="6" borderId="2" xfId="0" applyFont="1" applyFill="1" applyBorder="1" applyAlignment="1">
      <alignment horizontal="right"/>
    </xf>
    <xf numFmtId="0" fontId="6" fillId="5" borderId="2" xfId="0" applyFont="1" applyFill="1" applyBorder="1" applyAlignment="1">
      <alignment horizontal="right"/>
    </xf>
    <xf numFmtId="0" fontId="6" fillId="0" borderId="2" xfId="0" applyFont="1" applyBorder="1" applyAlignment="1">
      <alignment horizontal="right"/>
    </xf>
    <xf numFmtId="0" fontId="7" fillId="2" borderId="6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6" fillId="6" borderId="2" xfId="0" applyFont="1" applyFill="1" applyBorder="1" applyAlignment="1">
      <alignment horizontal="center"/>
    </xf>
    <xf numFmtId="0" fontId="6" fillId="5" borderId="2" xfId="0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6" fillId="6" borderId="0" xfId="0" applyFont="1" applyFill="1"/>
    <xf numFmtId="0" fontId="6" fillId="5" borderId="0" xfId="0" applyFont="1" applyFill="1"/>
    <xf numFmtId="11" fontId="0" fillId="6" borderId="0" xfId="0" applyNumberFormat="1" applyFill="1"/>
    <xf numFmtId="0" fontId="5" fillId="6" borderId="0" xfId="0" applyFont="1" applyFill="1"/>
    <xf numFmtId="0" fontId="4" fillId="6" borderId="0" xfId="0" applyFont="1" applyFill="1"/>
    <xf numFmtId="11" fontId="5" fillId="6" borderId="0" xfId="0" applyNumberFormat="1" applyFont="1" applyFill="1"/>
    <xf numFmtId="0" fontId="2" fillId="6" borderId="0" xfId="0" applyFont="1" applyFill="1"/>
    <xf numFmtId="0" fontId="0" fillId="6" borderId="0" xfId="0" applyFont="1" applyFill="1"/>
    <xf numFmtId="0" fontId="2" fillId="6" borderId="0" xfId="0" applyFont="1" applyFill="1" applyAlignment="1">
      <alignment horizontal="left"/>
    </xf>
    <xf numFmtId="0" fontId="2" fillId="3" borderId="0" xfId="0" applyFont="1" applyFill="1" applyAlignment="1">
      <alignment horizontal="left"/>
    </xf>
    <xf numFmtId="0" fontId="2" fillId="3" borderId="0" xfId="0" applyFont="1" applyFill="1"/>
    <xf numFmtId="0" fontId="7" fillId="2" borderId="0" xfId="0" applyFont="1" applyFill="1" applyBorder="1"/>
    <xf numFmtId="0" fontId="6" fillId="2" borderId="2" xfId="0" applyFont="1" applyFill="1" applyBorder="1" applyAlignment="1">
      <alignment horizontal="right"/>
    </xf>
    <xf numFmtId="0" fontId="7" fillId="2" borderId="2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right"/>
    </xf>
    <xf numFmtId="0" fontId="2" fillId="2" borderId="4" xfId="0" applyFont="1" applyFill="1" applyBorder="1"/>
    <xf numFmtId="0" fontId="2" fillId="2" borderId="7" xfId="0" applyFont="1" applyFill="1" applyBorder="1"/>
    <xf numFmtId="0" fontId="2" fillId="2" borderId="6" xfId="0" applyFont="1" applyFill="1" applyBorder="1"/>
    <xf numFmtId="11" fontId="7" fillId="6" borderId="0" xfId="0" applyNumberFormat="1" applyFont="1" applyFill="1"/>
    <xf numFmtId="11" fontId="0" fillId="0" borderId="0" xfId="0" applyNumberFormat="1"/>
    <xf numFmtId="0" fontId="0" fillId="3" borderId="8" xfId="0" applyFill="1" applyBorder="1"/>
    <xf numFmtId="0" fontId="1" fillId="6" borderId="0" xfId="0" applyFont="1" applyFill="1" applyAlignment="1">
      <alignment vertical="top"/>
    </xf>
    <xf numFmtId="0" fontId="0" fillId="3" borderId="8" xfId="0" applyFill="1" applyBorder="1" applyAlignment="1">
      <alignment vertical="top" wrapText="1"/>
    </xf>
    <xf numFmtId="0" fontId="11" fillId="4" borderId="1" xfId="0" applyFont="1" applyFill="1" applyBorder="1" applyAlignment="1">
      <alignment horizontal="right"/>
    </xf>
    <xf numFmtId="0" fontId="12" fillId="4" borderId="0" xfId="0" applyFont="1" applyFill="1" applyBorder="1"/>
    <xf numFmtId="0" fontId="11" fillId="4" borderId="2" xfId="0" applyFont="1" applyFill="1" applyBorder="1" applyAlignment="1">
      <alignment horizontal="right"/>
    </xf>
    <xf numFmtId="0" fontId="11" fillId="4" borderId="2" xfId="0" applyFont="1" applyFill="1" applyBorder="1" applyAlignment="1">
      <alignment horizontal="center"/>
    </xf>
    <xf numFmtId="0" fontId="12" fillId="4" borderId="0" xfId="0" applyFont="1" applyFill="1"/>
    <xf numFmtId="0" fontId="10" fillId="6" borderId="0" xfId="0" applyFont="1" applyFill="1"/>
    <xf numFmtId="11" fontId="10" fillId="6" borderId="0" xfId="0" applyNumberFormat="1" applyFont="1" applyFill="1"/>
    <xf numFmtId="0" fontId="11" fillId="6" borderId="1" xfId="0" applyFont="1" applyFill="1" applyBorder="1" applyAlignment="1">
      <alignment horizontal="right"/>
    </xf>
    <xf numFmtId="0" fontId="12" fillId="6" borderId="0" xfId="0" applyFont="1" applyFill="1" applyBorder="1"/>
    <xf numFmtId="0" fontId="11" fillId="6" borderId="2" xfId="0" applyFont="1" applyFill="1" applyBorder="1" applyAlignment="1">
      <alignment horizontal="right"/>
    </xf>
    <xf numFmtId="0" fontId="11" fillId="6" borderId="2" xfId="0" applyFont="1" applyFill="1" applyBorder="1" applyAlignment="1">
      <alignment horizontal="center"/>
    </xf>
    <xf numFmtId="0" fontId="12" fillId="6" borderId="0" xfId="0" applyFont="1" applyFill="1"/>
    <xf numFmtId="0" fontId="11" fillId="6" borderId="0" xfId="0" applyFont="1" applyFill="1"/>
    <xf numFmtId="165" fontId="12" fillId="4" borderId="0" xfId="0" applyNumberFormat="1" applyFont="1" applyFill="1"/>
    <xf numFmtId="165" fontId="12" fillId="4" borderId="3" xfId="0" applyNumberFormat="1" applyFont="1" applyFill="1" applyBorder="1"/>
    <xf numFmtId="165" fontId="12" fillId="4" borderId="2" xfId="0" applyNumberFormat="1" applyFont="1" applyFill="1" applyBorder="1"/>
    <xf numFmtId="166" fontId="12" fillId="4" borderId="0" xfId="0" applyNumberFormat="1" applyFont="1" applyFill="1"/>
    <xf numFmtId="166" fontId="12" fillId="4" borderId="3" xfId="0" applyNumberFormat="1" applyFont="1" applyFill="1" applyBorder="1"/>
    <xf numFmtId="166" fontId="12" fillId="4" borderId="2" xfId="0" applyNumberFormat="1" applyFont="1" applyFill="1" applyBorder="1"/>
    <xf numFmtId="166" fontId="12" fillId="6" borderId="0" xfId="0" applyNumberFormat="1" applyFont="1" applyFill="1"/>
    <xf numFmtId="166" fontId="12" fillId="6" borderId="3" xfId="0" applyNumberFormat="1" applyFont="1" applyFill="1" applyBorder="1"/>
    <xf numFmtId="166" fontId="12" fillId="6" borderId="2" xfId="0" applyNumberFormat="1" applyFont="1" applyFill="1" applyBorder="1"/>
    <xf numFmtId="0" fontId="7" fillId="4" borderId="2" xfId="0" applyFont="1" applyFill="1" applyBorder="1" applyAlignment="1">
      <alignment horizontal="center"/>
    </xf>
    <xf numFmtId="0" fontId="0" fillId="4" borderId="0" xfId="0" applyFill="1"/>
    <xf numFmtId="0" fontId="12" fillId="6" borderId="3" xfId="0" applyFont="1" applyFill="1" applyBorder="1"/>
    <xf numFmtId="0" fontId="12" fillId="6" borderId="2" xfId="0" applyFont="1" applyFill="1" applyBorder="1"/>
    <xf numFmtId="11" fontId="0" fillId="0" borderId="0" xfId="0" applyNumberFormat="1" applyFont="1"/>
    <xf numFmtId="0" fontId="11" fillId="5" borderId="1" xfId="0" applyFont="1" applyFill="1" applyBorder="1" applyAlignment="1">
      <alignment horizontal="right"/>
    </xf>
    <xf numFmtId="0" fontId="12" fillId="5" borderId="0" xfId="0" applyFont="1" applyFill="1"/>
    <xf numFmtId="0" fontId="12" fillId="5" borderId="3" xfId="0" applyFont="1" applyFill="1" applyBorder="1"/>
    <xf numFmtId="0" fontId="12" fillId="5" borderId="2" xfId="0" applyFont="1" applyFill="1" applyBorder="1"/>
    <xf numFmtId="0" fontId="12" fillId="5" borderId="0" xfId="0" applyFont="1" applyFill="1" applyBorder="1"/>
    <xf numFmtId="0" fontId="11" fillId="5" borderId="2" xfId="0" applyFont="1" applyFill="1" applyBorder="1" applyAlignment="1">
      <alignment horizontal="right"/>
    </xf>
    <xf numFmtId="0" fontId="11" fillId="5" borderId="2" xfId="0" applyFont="1" applyFill="1" applyBorder="1" applyAlignment="1">
      <alignment horizontal="center"/>
    </xf>
    <xf numFmtId="0" fontId="11" fillId="5" borderId="0" xfId="0" applyFont="1" applyFill="1"/>
    <xf numFmtId="166" fontId="12" fillId="5" borderId="0" xfId="0" applyNumberFormat="1" applyFont="1" applyFill="1"/>
    <xf numFmtId="166" fontId="12" fillId="5" borderId="3" xfId="0" applyNumberFormat="1" applyFont="1" applyFill="1" applyBorder="1"/>
    <xf numFmtId="166" fontId="12" fillId="5" borderId="2" xfId="0" applyNumberFormat="1" applyFont="1" applyFill="1" applyBorder="1"/>
    <xf numFmtId="0" fontId="0" fillId="3" borderId="0" xfId="0" applyFont="1" applyFill="1"/>
    <xf numFmtId="0" fontId="1" fillId="4" borderId="2" xfId="0" applyFont="1" applyFill="1" applyBorder="1" applyAlignment="1">
      <alignment horizontal="center"/>
    </xf>
    <xf numFmtId="167" fontId="12" fillId="4" borderId="0" xfId="0" applyNumberFormat="1" applyFont="1" applyFill="1"/>
    <xf numFmtId="167" fontId="12" fillId="4" borderId="3" xfId="0" applyNumberFormat="1" applyFont="1" applyFill="1" applyBorder="1"/>
    <xf numFmtId="167" fontId="12" fillId="4" borderId="2" xfId="0" applyNumberFormat="1" applyFont="1" applyFill="1" applyBorder="1"/>
    <xf numFmtId="164" fontId="12" fillId="5" borderId="0" xfId="1" applyNumberFormat="1" applyFont="1" applyFill="1"/>
    <xf numFmtId="164" fontId="12" fillId="5" borderId="3" xfId="1" applyNumberFormat="1" applyFont="1" applyFill="1" applyBorder="1"/>
    <xf numFmtId="164" fontId="12" fillId="5" borderId="2" xfId="1" applyNumberFormat="1" applyFont="1" applyFill="1" applyBorder="1"/>
    <xf numFmtId="0" fontId="0" fillId="7" borderId="0" xfId="0" applyFill="1"/>
    <xf numFmtId="164" fontId="12" fillId="6" borderId="0" xfId="1" applyNumberFormat="1" applyFont="1" applyFill="1"/>
    <xf numFmtId="164" fontId="12" fillId="6" borderId="3" xfId="1" applyNumberFormat="1" applyFont="1" applyFill="1" applyBorder="1"/>
    <xf numFmtId="164" fontId="12" fillId="6" borderId="2" xfId="1" applyNumberFormat="1" applyFont="1" applyFill="1" applyBorder="1"/>
    <xf numFmtId="0" fontId="12" fillId="5" borderId="2" xfId="0" applyFont="1" applyFill="1" applyBorder="1" applyAlignment="1">
      <alignment horizontal="center"/>
    </xf>
    <xf numFmtId="0" fontId="12" fillId="6" borderId="2" xfId="0" applyFont="1" applyFill="1" applyBorder="1" applyAlignment="1">
      <alignment horizontal="center"/>
    </xf>
    <xf numFmtId="0" fontId="13" fillId="4" borderId="2" xfId="0" applyFont="1" applyFill="1" applyBorder="1" applyAlignment="1">
      <alignment horizontal="right"/>
    </xf>
    <xf numFmtId="0" fontId="14" fillId="4" borderId="0" xfId="0" applyFont="1" applyFill="1" applyBorder="1"/>
    <xf numFmtId="0" fontId="13" fillId="4" borderId="2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right"/>
    </xf>
    <xf numFmtId="0" fontId="14" fillId="6" borderId="0" xfId="0" applyFont="1" applyFill="1" applyBorder="1"/>
    <xf numFmtId="0" fontId="15" fillId="4" borderId="1" xfId="0" applyFont="1" applyFill="1" applyBorder="1" applyAlignment="1">
      <alignment horizontal="right"/>
    </xf>
    <xf numFmtId="0" fontId="16" fillId="4" borderId="0" xfId="0" applyFont="1" applyFill="1"/>
    <xf numFmtId="0" fontId="16" fillId="4" borderId="3" xfId="0" applyFont="1" applyFill="1" applyBorder="1"/>
    <xf numFmtId="0" fontId="16" fillId="4" borderId="2" xfId="0" applyFont="1" applyFill="1" applyBorder="1"/>
    <xf numFmtId="10" fontId="16" fillId="4" borderId="0" xfId="1" applyNumberFormat="1" applyFont="1" applyFill="1"/>
    <xf numFmtId="10" fontId="16" fillId="4" borderId="3" xfId="1" applyNumberFormat="1" applyFont="1" applyFill="1" applyBorder="1"/>
    <xf numFmtId="10" fontId="16" fillId="4" borderId="2" xfId="1" applyNumberFormat="1" applyFont="1" applyFill="1" applyBorder="1"/>
    <xf numFmtId="0" fontId="15" fillId="6" borderId="1" xfId="0" applyFont="1" applyFill="1" applyBorder="1" applyAlignment="1">
      <alignment horizontal="right"/>
    </xf>
    <xf numFmtId="0" fontId="15" fillId="0" borderId="1" xfId="0" applyFont="1" applyFill="1" applyBorder="1" applyAlignment="1">
      <alignment horizontal="right"/>
    </xf>
    <xf numFmtId="10" fontId="16" fillId="6" borderId="0" xfId="1" applyNumberFormat="1" applyFont="1" applyFill="1"/>
    <xf numFmtId="10" fontId="16" fillId="6" borderId="2" xfId="1" applyNumberFormat="1" applyFont="1" applyFill="1" applyBorder="1"/>
    <xf numFmtId="10" fontId="16" fillId="6" borderId="3" xfId="1" applyNumberFormat="1" applyFont="1" applyFill="1" applyBorder="1"/>
    <xf numFmtId="0" fontId="15" fillId="5" borderId="1" xfId="0" applyFont="1" applyFill="1" applyBorder="1" applyAlignment="1">
      <alignment horizontal="right"/>
    </xf>
    <xf numFmtId="164" fontId="16" fillId="5" borderId="0" xfId="1" applyNumberFormat="1" applyFont="1" applyFill="1"/>
    <xf numFmtId="164" fontId="16" fillId="5" borderId="3" xfId="1" applyNumberFormat="1" applyFont="1" applyFill="1" applyBorder="1"/>
    <xf numFmtId="164" fontId="16" fillId="5" borderId="2" xfId="1" applyNumberFormat="1" applyFont="1" applyFill="1" applyBorder="1"/>
    <xf numFmtId="168" fontId="16" fillId="6" borderId="0" xfId="1" applyNumberFormat="1" applyFont="1" applyFill="1"/>
    <xf numFmtId="168" fontId="16" fillId="6" borderId="3" xfId="1" applyNumberFormat="1" applyFont="1" applyFill="1" applyBorder="1"/>
    <xf numFmtId="168" fontId="16" fillId="6" borderId="2" xfId="1" applyNumberFormat="1" applyFont="1" applyFill="1" applyBorder="1"/>
    <xf numFmtId="0" fontId="0" fillId="6" borderId="0" xfId="0" applyNumberFormat="1" applyFill="1"/>
    <xf numFmtId="0" fontId="0" fillId="2" borderId="0" xfId="0" applyFont="1" applyFill="1" applyBorder="1"/>
    <xf numFmtId="11" fontId="7" fillId="6" borderId="0" xfId="0" applyNumberFormat="1" applyFont="1" applyFill="1" applyBorder="1"/>
    <xf numFmtId="11" fontId="7" fillId="5" borderId="0" xfId="0" applyNumberFormat="1" applyFont="1" applyFill="1" applyBorder="1"/>
    <xf numFmtId="11" fontId="12" fillId="5" borderId="0" xfId="0" applyNumberFormat="1" applyFont="1" applyFill="1"/>
    <xf numFmtId="0" fontId="13" fillId="0" borderId="2" xfId="0" applyFont="1" applyBorder="1" applyAlignment="1">
      <alignment horizontal="right"/>
    </xf>
    <xf numFmtId="0" fontId="14" fillId="0" borderId="0" xfId="0" applyFont="1" applyBorder="1"/>
    <xf numFmtId="11" fontId="12" fillId="5" borderId="0" xfId="1" applyNumberFormat="1" applyFont="1" applyFill="1"/>
    <xf numFmtId="11" fontId="12" fillId="6" borderId="0" xfId="1" applyNumberFormat="1" applyFont="1" applyFill="1"/>
    <xf numFmtId="0" fontId="0" fillId="8" borderId="0" xfId="0" applyFill="1"/>
    <xf numFmtId="0" fontId="0" fillId="0" borderId="0" xfId="0" applyFill="1"/>
    <xf numFmtId="11" fontId="0" fillId="0" borderId="0" xfId="0" applyNumberFormat="1" applyFill="1"/>
    <xf numFmtId="0" fontId="0" fillId="0" borderId="0" xfId="0" applyNumberFormat="1" applyBorder="1"/>
    <xf numFmtId="0" fontId="0" fillId="0" borderId="0" xfId="0" applyNumberFormat="1" applyFill="1" applyBorder="1"/>
    <xf numFmtId="0" fontId="0" fillId="0" borderId="0" xfId="0" applyFill="1" applyBorder="1"/>
    <xf numFmtId="0" fontId="0" fillId="0" borderId="0" xfId="0" applyBorder="1"/>
    <xf numFmtId="0" fontId="0" fillId="9" borderId="0" xfId="0" applyFill="1"/>
    <xf numFmtId="0" fontId="0" fillId="9" borderId="0" xfId="0" applyNumberFormat="1" applyFill="1" applyBorder="1"/>
    <xf numFmtId="0" fontId="0" fillId="0" borderId="0" xfId="0" applyNumberFormat="1"/>
    <xf numFmtId="0" fontId="0" fillId="3" borderId="0" xfId="0" applyNumberFormat="1" applyFill="1"/>
    <xf numFmtId="0" fontId="0" fillId="0" borderId="0" xfId="0" applyNumberFormat="1" applyFill="1"/>
    <xf numFmtId="11" fontId="0" fillId="9" borderId="0" xfId="0" applyNumberFormat="1" applyFill="1"/>
    <xf numFmtId="0" fontId="1" fillId="0" borderId="0" xfId="0" applyNumberFormat="1" applyFont="1"/>
    <xf numFmtId="0" fontId="0" fillId="0" borderId="0" xfId="0" applyNumberFormat="1" applyAlignment="1">
      <alignment vertical="center" wrapText="1"/>
    </xf>
    <xf numFmtId="0" fontId="1" fillId="0" borderId="0" xfId="0" applyNumberFormat="1" applyFont="1" applyAlignment="1">
      <alignment vertical="center" wrapText="1"/>
    </xf>
    <xf numFmtId="0" fontId="1" fillId="6" borderId="0" xfId="0" applyNumberFormat="1" applyFont="1" applyFill="1" applyAlignment="1">
      <alignment vertical="center" wrapText="1"/>
    </xf>
    <xf numFmtId="0" fontId="0" fillId="3" borderId="9" xfId="0" applyNumberFormat="1" applyFill="1" applyBorder="1"/>
    <xf numFmtId="0" fontId="0" fillId="3" borderId="10" xfId="0" applyNumberFormat="1" applyFill="1" applyBorder="1"/>
    <xf numFmtId="0" fontId="0" fillId="3" borderId="11" xfId="0" applyNumberFormat="1" applyFill="1" applyBorder="1"/>
    <xf numFmtId="0" fontId="0" fillId="3" borderId="12" xfId="0" applyNumberFormat="1" applyFill="1" applyBorder="1"/>
    <xf numFmtId="0" fontId="0" fillId="3" borderId="0" xfId="0" applyNumberFormat="1" applyFill="1" applyBorder="1"/>
    <xf numFmtId="0" fontId="0" fillId="3" borderId="13" xfId="0" applyNumberFormat="1" applyFill="1" applyBorder="1"/>
    <xf numFmtId="0" fontId="0" fillId="3" borderId="14" xfId="0" applyNumberFormat="1" applyFill="1" applyBorder="1"/>
    <xf numFmtId="0" fontId="0" fillId="3" borderId="1" xfId="0" applyNumberFormat="1" applyFill="1" applyBorder="1"/>
    <xf numFmtId="0" fontId="0" fillId="3" borderId="15" xfId="0" applyNumberFormat="1" applyFill="1" applyBorder="1"/>
  </cellXfs>
  <cellStyles count="2">
    <cellStyle name="Normal" xfId="0" builtinId="0"/>
    <cellStyle name="Percent" xfId="1" builtinId="5"/>
  </cellStyles>
  <dxfs count="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AF3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DACdcN_V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Data!$F$2:$F$12</c:f>
              <c:numCache>
                <c:formatCode>General</c:formatCode>
                <c:ptCount val="11"/>
                <c:pt idx="0">
                  <c:v>9.7309792000000002</c:v>
                </c:pt>
                <c:pt idx="1">
                  <c:v>8.7536837999999992</c:v>
                </c:pt>
                <c:pt idx="2">
                  <c:v>7.7762269000000002</c:v>
                </c:pt>
                <c:pt idx="3">
                  <c:v>6.7994041000000003</c:v>
                </c:pt>
                <c:pt idx="4">
                  <c:v>5.8220755000000004</c:v>
                </c:pt>
                <c:pt idx="5">
                  <c:v>4.8448194999999998</c:v>
                </c:pt>
                <c:pt idx="6">
                  <c:v>3.8669661</c:v>
                </c:pt>
                <c:pt idx="7">
                  <c:v>2.8894570000000002</c:v>
                </c:pt>
                <c:pt idx="8">
                  <c:v>1.9126320999999999</c:v>
                </c:pt>
                <c:pt idx="9">
                  <c:v>0.93523199000000001</c:v>
                </c:pt>
                <c:pt idx="10">
                  <c:v>-4.1831782999999997E-2</c:v>
                </c:pt>
              </c:numCache>
            </c:numRef>
          </c:xVal>
          <c:yVal>
            <c:numRef>
              <c:f>Data!$E$2:$E$12</c:f>
              <c:numCache>
                <c:formatCode>General</c:formatCode>
                <c:ptCount val="11"/>
                <c:pt idx="0">
                  <c:v>-27000</c:v>
                </c:pt>
                <c:pt idx="1">
                  <c:v>-24300</c:v>
                </c:pt>
                <c:pt idx="2">
                  <c:v>-21600</c:v>
                </c:pt>
                <c:pt idx="3">
                  <c:v>-18900</c:v>
                </c:pt>
                <c:pt idx="4">
                  <c:v>-16200</c:v>
                </c:pt>
                <c:pt idx="5">
                  <c:v>-13500</c:v>
                </c:pt>
                <c:pt idx="6">
                  <c:v>-10800</c:v>
                </c:pt>
                <c:pt idx="7">
                  <c:v>-8100</c:v>
                </c:pt>
                <c:pt idx="8">
                  <c:v>-5400</c:v>
                </c:pt>
                <c:pt idx="9">
                  <c:v>-2700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D1-4F62-BBBE-CBD5E3475F96}"/>
            </c:ext>
          </c:extLst>
        </c:ser>
        <c:ser>
          <c:idx val="1"/>
          <c:order val="1"/>
          <c:tx>
            <c:v>DACdcP_V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0267608425377031"/>
                  <c:y val="1.275788018660676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Data!$F$12:$F$22</c:f>
              <c:numCache>
                <c:formatCode>General</c:formatCode>
                <c:ptCount val="11"/>
                <c:pt idx="0">
                  <c:v>-4.1831782999999997E-2</c:v>
                </c:pt>
                <c:pt idx="1">
                  <c:v>-1.0189288999999999</c:v>
                </c:pt>
                <c:pt idx="2">
                  <c:v>-1.9959994000000001</c:v>
                </c:pt>
                <c:pt idx="3">
                  <c:v>-2.9731893</c:v>
                </c:pt>
                <c:pt idx="4">
                  <c:v>-3.9505184</c:v>
                </c:pt>
                <c:pt idx="5">
                  <c:v>-4.9280539000000001</c:v>
                </c:pt>
                <c:pt idx="6">
                  <c:v>-5.9055758000000003</c:v>
                </c:pt>
                <c:pt idx="7">
                  <c:v>-6.8833469000000003</c:v>
                </c:pt>
                <c:pt idx="8">
                  <c:v>-7.8602223000000002</c:v>
                </c:pt>
                <c:pt idx="9">
                  <c:v>-8.8377996999999997</c:v>
                </c:pt>
                <c:pt idx="10">
                  <c:v>-9.8152307000000008</c:v>
                </c:pt>
              </c:numCache>
            </c:numRef>
          </c:xVal>
          <c:yVal>
            <c:numRef>
              <c:f>Data!$E$12:$E$22</c:f>
              <c:numCache>
                <c:formatCode>General</c:formatCode>
                <c:ptCount val="11"/>
                <c:pt idx="0">
                  <c:v>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10800</c:v>
                </c:pt>
                <c:pt idx="5">
                  <c:v>13500</c:v>
                </c:pt>
                <c:pt idx="6">
                  <c:v>16200</c:v>
                </c:pt>
                <c:pt idx="7">
                  <c:v>18900</c:v>
                </c:pt>
                <c:pt idx="8">
                  <c:v>21600</c:v>
                </c:pt>
                <c:pt idx="9">
                  <c:v>24300</c:v>
                </c:pt>
                <c:pt idx="10">
                  <c:v>27000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D1-4F62-BBBE-CBD5E3475F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Voltage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ref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refN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Data!$H$2:$H$12</c:f>
              <c:numCache>
                <c:formatCode>General</c:formatCode>
                <c:ptCount val="11"/>
                <c:pt idx="0">
                  <c:v>-26548</c:v>
                </c:pt>
                <c:pt idx="1">
                  <c:v>-23882</c:v>
                </c:pt>
                <c:pt idx="2">
                  <c:v>-21215</c:v>
                </c:pt>
                <c:pt idx="3">
                  <c:v>-18550</c:v>
                </c:pt>
                <c:pt idx="4">
                  <c:v>-15884</c:v>
                </c:pt>
                <c:pt idx="5">
                  <c:v>-13218</c:v>
                </c:pt>
                <c:pt idx="6">
                  <c:v>-10550</c:v>
                </c:pt>
                <c:pt idx="7">
                  <c:v>-7883</c:v>
                </c:pt>
                <c:pt idx="8">
                  <c:v>-5218</c:v>
                </c:pt>
                <c:pt idx="9">
                  <c:v>-2552</c:v>
                </c:pt>
                <c:pt idx="10">
                  <c:v>113</c:v>
                </c:pt>
              </c:numCache>
            </c:numRef>
          </c:xVal>
          <c:yVal>
            <c:numRef>
              <c:f>Data!$F$2:$F$12</c:f>
              <c:numCache>
                <c:formatCode>General</c:formatCode>
                <c:ptCount val="11"/>
                <c:pt idx="0">
                  <c:v>9.7309792000000002</c:v>
                </c:pt>
                <c:pt idx="1">
                  <c:v>8.7536837999999992</c:v>
                </c:pt>
                <c:pt idx="2">
                  <c:v>7.7762269000000002</c:v>
                </c:pt>
                <c:pt idx="3">
                  <c:v>6.7994041000000003</c:v>
                </c:pt>
                <c:pt idx="4">
                  <c:v>5.8220755000000004</c:v>
                </c:pt>
                <c:pt idx="5">
                  <c:v>4.8448194999999998</c:v>
                </c:pt>
                <c:pt idx="6">
                  <c:v>3.8669661</c:v>
                </c:pt>
                <c:pt idx="7">
                  <c:v>2.8894570000000002</c:v>
                </c:pt>
                <c:pt idx="8">
                  <c:v>1.9126320999999999</c:v>
                </c:pt>
                <c:pt idx="9">
                  <c:v>0.93523199000000001</c:v>
                </c:pt>
                <c:pt idx="10">
                  <c:v>-4.1831782999999997E-2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4E-40EB-8231-5214EEC018B5}"/>
            </c:ext>
          </c:extLst>
        </c:ser>
        <c:ser>
          <c:idx val="1"/>
          <c:order val="1"/>
          <c:tx>
            <c:v>refp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Data!$H$12:$H$22</c:f>
              <c:numCache>
                <c:formatCode>General</c:formatCode>
                <c:ptCount val="11"/>
                <c:pt idx="0">
                  <c:v>113</c:v>
                </c:pt>
                <c:pt idx="1">
                  <c:v>2779</c:v>
                </c:pt>
                <c:pt idx="2">
                  <c:v>5444</c:v>
                </c:pt>
                <c:pt idx="3">
                  <c:v>8110</c:v>
                </c:pt>
                <c:pt idx="4">
                  <c:v>10776</c:v>
                </c:pt>
                <c:pt idx="5">
                  <c:v>13443</c:v>
                </c:pt>
                <c:pt idx="6">
                  <c:v>16110</c:v>
                </c:pt>
                <c:pt idx="7">
                  <c:v>18777</c:v>
                </c:pt>
                <c:pt idx="8">
                  <c:v>21442</c:v>
                </c:pt>
                <c:pt idx="9">
                  <c:v>24109</c:v>
                </c:pt>
                <c:pt idx="10">
                  <c:v>26776</c:v>
                </c:pt>
              </c:numCache>
            </c:numRef>
          </c:xVal>
          <c:yVal>
            <c:numRef>
              <c:f>Data!$F$12:$F$22</c:f>
              <c:numCache>
                <c:formatCode>General</c:formatCode>
                <c:ptCount val="11"/>
                <c:pt idx="0">
                  <c:v>-4.1831782999999997E-2</c:v>
                </c:pt>
                <c:pt idx="1">
                  <c:v>-1.0189288999999999</c:v>
                </c:pt>
                <c:pt idx="2">
                  <c:v>-1.9959994000000001</c:v>
                </c:pt>
                <c:pt idx="3">
                  <c:v>-2.9731893</c:v>
                </c:pt>
                <c:pt idx="4">
                  <c:v>-3.9505184</c:v>
                </c:pt>
                <c:pt idx="5">
                  <c:v>-4.9280539000000001</c:v>
                </c:pt>
                <c:pt idx="6">
                  <c:v>-5.9055758000000003</c:v>
                </c:pt>
                <c:pt idx="7">
                  <c:v>-6.8833469000000003</c:v>
                </c:pt>
                <c:pt idx="8">
                  <c:v>-7.8602223000000002</c:v>
                </c:pt>
                <c:pt idx="9">
                  <c:v>-8.8377996999999997</c:v>
                </c:pt>
                <c:pt idx="10">
                  <c:v>-9.8152307000000008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4E-40EB-8231-5214EEC0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ref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</a:t>
                </a:r>
                <a:r>
                  <a:rPr lang="en-US" b="1" baseline="0"/>
                  <a:t> Voltage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ewe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eweN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38240722492926044"/>
                  <c:y val="0.1894270974748845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Data!$J$2:$J$12</c:f>
              <c:numCache>
                <c:formatCode>General</c:formatCode>
                <c:ptCount val="11"/>
                <c:pt idx="0">
                  <c:v>-31886</c:v>
                </c:pt>
                <c:pt idx="1">
                  <c:v>-28686</c:v>
                </c:pt>
                <c:pt idx="2">
                  <c:v>-25486</c:v>
                </c:pt>
                <c:pt idx="3">
                  <c:v>-22287</c:v>
                </c:pt>
                <c:pt idx="4">
                  <c:v>-19086</c:v>
                </c:pt>
                <c:pt idx="5">
                  <c:v>-15887</c:v>
                </c:pt>
                <c:pt idx="6">
                  <c:v>-12684</c:v>
                </c:pt>
                <c:pt idx="7">
                  <c:v>-9483</c:v>
                </c:pt>
                <c:pt idx="8">
                  <c:v>-6284</c:v>
                </c:pt>
                <c:pt idx="9">
                  <c:v>-3082</c:v>
                </c:pt>
                <c:pt idx="10">
                  <c:v>117</c:v>
                </c:pt>
              </c:numCache>
            </c:numRef>
          </c:xVal>
          <c:yVal>
            <c:numRef>
              <c:f>Data!$F$2:$F$12</c:f>
              <c:numCache>
                <c:formatCode>General</c:formatCode>
                <c:ptCount val="11"/>
                <c:pt idx="0">
                  <c:v>9.7309792000000002</c:v>
                </c:pt>
                <c:pt idx="1">
                  <c:v>8.7536837999999992</c:v>
                </c:pt>
                <c:pt idx="2">
                  <c:v>7.7762269000000002</c:v>
                </c:pt>
                <c:pt idx="3">
                  <c:v>6.7994041000000003</c:v>
                </c:pt>
                <c:pt idx="4">
                  <c:v>5.8220755000000004</c:v>
                </c:pt>
                <c:pt idx="5">
                  <c:v>4.8448194999999998</c:v>
                </c:pt>
                <c:pt idx="6">
                  <c:v>3.8669661</c:v>
                </c:pt>
                <c:pt idx="7">
                  <c:v>2.8894570000000002</c:v>
                </c:pt>
                <c:pt idx="8">
                  <c:v>1.9126320999999999</c:v>
                </c:pt>
                <c:pt idx="9">
                  <c:v>0.93523199000000001</c:v>
                </c:pt>
                <c:pt idx="10">
                  <c:v>-4.1831782999999997E-2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47-4A0C-A1D7-6B0749541F6D}"/>
            </c:ext>
          </c:extLst>
        </c:ser>
        <c:ser>
          <c:idx val="1"/>
          <c:order val="1"/>
          <c:tx>
            <c:v>eweP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9194337217606695"/>
                  <c:y val="-1.70409086795185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Data!$J$12:$J$22</c:f>
              <c:numCache>
                <c:formatCode>General</c:formatCode>
                <c:ptCount val="11"/>
                <c:pt idx="0">
                  <c:v>117</c:v>
                </c:pt>
                <c:pt idx="1">
                  <c:v>3317</c:v>
                </c:pt>
                <c:pt idx="2">
                  <c:v>6518</c:v>
                </c:pt>
                <c:pt idx="3">
                  <c:v>9719</c:v>
                </c:pt>
                <c:pt idx="4">
                  <c:v>12920</c:v>
                </c:pt>
                <c:pt idx="5">
                  <c:v>16122</c:v>
                </c:pt>
                <c:pt idx="6">
                  <c:v>19324</c:v>
                </c:pt>
                <c:pt idx="7">
                  <c:v>22527</c:v>
                </c:pt>
                <c:pt idx="8">
                  <c:v>25727</c:v>
                </c:pt>
                <c:pt idx="9">
                  <c:v>28928</c:v>
                </c:pt>
                <c:pt idx="10">
                  <c:v>32129</c:v>
                </c:pt>
              </c:numCache>
            </c:numRef>
          </c:xVal>
          <c:yVal>
            <c:numRef>
              <c:f>Data!$F$12:$F$22</c:f>
              <c:numCache>
                <c:formatCode>General</c:formatCode>
                <c:ptCount val="11"/>
                <c:pt idx="0">
                  <c:v>-4.1831782999999997E-2</c:v>
                </c:pt>
                <c:pt idx="1">
                  <c:v>-1.0189288999999999</c:v>
                </c:pt>
                <c:pt idx="2">
                  <c:v>-1.9959994000000001</c:v>
                </c:pt>
                <c:pt idx="3">
                  <c:v>-2.9731893</c:v>
                </c:pt>
                <c:pt idx="4">
                  <c:v>-3.9505184</c:v>
                </c:pt>
                <c:pt idx="5">
                  <c:v>-4.9280539000000001</c:v>
                </c:pt>
                <c:pt idx="6">
                  <c:v>-5.9055758000000003</c:v>
                </c:pt>
                <c:pt idx="7">
                  <c:v>-6.8833469000000003</c:v>
                </c:pt>
                <c:pt idx="8">
                  <c:v>-7.8602223000000002</c:v>
                </c:pt>
                <c:pt idx="9">
                  <c:v>-8.8377996999999997</c:v>
                </c:pt>
                <c:pt idx="10">
                  <c:v>-9.8152307000000008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E47-4A0C-A1D7-6B0749541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ewe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Voltage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eceN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Data!$N$2:$N$12</c:f>
              <c:numCache>
                <c:formatCode>General</c:formatCode>
                <c:ptCount val="11"/>
                <c:pt idx="0">
                  <c:v>-12706</c:v>
                </c:pt>
                <c:pt idx="1">
                  <c:v>-11430</c:v>
                </c:pt>
                <c:pt idx="2">
                  <c:v>-10154</c:v>
                </c:pt>
                <c:pt idx="3">
                  <c:v>-8879</c:v>
                </c:pt>
                <c:pt idx="4">
                  <c:v>-7603</c:v>
                </c:pt>
                <c:pt idx="5">
                  <c:v>-6327</c:v>
                </c:pt>
                <c:pt idx="6">
                  <c:v>-5050</c:v>
                </c:pt>
                <c:pt idx="7">
                  <c:v>-3774</c:v>
                </c:pt>
                <c:pt idx="8">
                  <c:v>-2498</c:v>
                </c:pt>
                <c:pt idx="9">
                  <c:v>-1222</c:v>
                </c:pt>
                <c:pt idx="10">
                  <c:v>53</c:v>
                </c:pt>
              </c:numCache>
            </c:numRef>
          </c:xVal>
          <c:yVal>
            <c:numRef>
              <c:f>Data!$F$2:$F$12</c:f>
              <c:numCache>
                <c:formatCode>General</c:formatCode>
                <c:ptCount val="11"/>
                <c:pt idx="0">
                  <c:v>9.7309792000000002</c:v>
                </c:pt>
                <c:pt idx="1">
                  <c:v>8.7536837999999992</c:v>
                </c:pt>
                <c:pt idx="2">
                  <c:v>7.7762269000000002</c:v>
                </c:pt>
                <c:pt idx="3">
                  <c:v>6.7994041000000003</c:v>
                </c:pt>
                <c:pt idx="4">
                  <c:v>5.8220755000000004</c:v>
                </c:pt>
                <c:pt idx="5">
                  <c:v>4.8448194999999998</c:v>
                </c:pt>
                <c:pt idx="6">
                  <c:v>3.8669661</c:v>
                </c:pt>
                <c:pt idx="7">
                  <c:v>2.8894570000000002</c:v>
                </c:pt>
                <c:pt idx="8">
                  <c:v>1.9126320999999999</c:v>
                </c:pt>
                <c:pt idx="9">
                  <c:v>0.93523199000000001</c:v>
                </c:pt>
                <c:pt idx="10">
                  <c:v>-4.1831782999999997E-2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B6-4CED-8930-546742CE4DD9}"/>
            </c:ext>
          </c:extLst>
        </c:ser>
        <c:ser>
          <c:idx val="1"/>
          <c:order val="1"/>
          <c:tx>
            <c:v>eceP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5761052110479072"/>
                  <c:y val="6.360162472486327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Data!$N$12:$N$22</c:f>
              <c:numCache>
                <c:formatCode>General</c:formatCode>
                <c:ptCount val="11"/>
                <c:pt idx="0">
                  <c:v>53</c:v>
                </c:pt>
                <c:pt idx="1">
                  <c:v>1329</c:v>
                </c:pt>
                <c:pt idx="2">
                  <c:v>2604</c:v>
                </c:pt>
                <c:pt idx="3">
                  <c:v>3880</c:v>
                </c:pt>
                <c:pt idx="4">
                  <c:v>5156</c:v>
                </c:pt>
                <c:pt idx="5">
                  <c:v>6433</c:v>
                </c:pt>
                <c:pt idx="6">
                  <c:v>7709</c:v>
                </c:pt>
                <c:pt idx="7">
                  <c:v>8986</c:v>
                </c:pt>
                <c:pt idx="8">
                  <c:v>10261</c:v>
                </c:pt>
                <c:pt idx="9">
                  <c:v>11538</c:v>
                </c:pt>
                <c:pt idx="10">
                  <c:v>12814</c:v>
                </c:pt>
              </c:numCache>
            </c:numRef>
          </c:xVal>
          <c:yVal>
            <c:numRef>
              <c:f>Data!$F$12:$F$22</c:f>
              <c:numCache>
                <c:formatCode>General</c:formatCode>
                <c:ptCount val="11"/>
                <c:pt idx="0">
                  <c:v>-4.1831782999999997E-2</c:v>
                </c:pt>
                <c:pt idx="1">
                  <c:v>-1.0189288999999999</c:v>
                </c:pt>
                <c:pt idx="2">
                  <c:v>-1.9959994000000001</c:v>
                </c:pt>
                <c:pt idx="3">
                  <c:v>-2.9731893</c:v>
                </c:pt>
                <c:pt idx="4">
                  <c:v>-3.9505184</c:v>
                </c:pt>
                <c:pt idx="5">
                  <c:v>-4.9280539000000001</c:v>
                </c:pt>
                <c:pt idx="6">
                  <c:v>-5.9055758000000003</c:v>
                </c:pt>
                <c:pt idx="7">
                  <c:v>-6.8833469000000003</c:v>
                </c:pt>
                <c:pt idx="8">
                  <c:v>-7.8602223000000002</c:v>
                </c:pt>
                <c:pt idx="9">
                  <c:v>-8.8377996999999997</c:v>
                </c:pt>
                <c:pt idx="10">
                  <c:v>-9.8152307000000008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B6-4CED-8930-546742CE4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Voltage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7599338334074361"/>
                  <c:y val="-0.4546315272234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Data!$R$2:$R$12</c:f>
              <c:numCache>
                <c:formatCode>General</c:formatCode>
                <c:ptCount val="11"/>
                <c:pt idx="0" formatCode="0.00E+00">
                  <c:v>946.99253999999996</c:v>
                </c:pt>
                <c:pt idx="1">
                  <c:v>852.02103999999997</c:v>
                </c:pt>
                <c:pt idx="2">
                  <c:v>757.02080999999998</c:v>
                </c:pt>
                <c:pt idx="3">
                  <c:v>662.07583</c:v>
                </c:pt>
                <c:pt idx="4">
                  <c:v>567.07110999999998</c:v>
                </c:pt>
                <c:pt idx="5">
                  <c:v>472.06937999999997</c:v>
                </c:pt>
                <c:pt idx="6">
                  <c:v>377.00076000000001</c:v>
                </c:pt>
                <c:pt idx="7">
                  <c:v>281.95143000000002</c:v>
                </c:pt>
                <c:pt idx="8">
                  <c:v>186.96462</c:v>
                </c:pt>
                <c:pt idx="9">
                  <c:v>91.715512000000004</c:v>
                </c:pt>
                <c:pt idx="10">
                  <c:v>-3.1028544</c:v>
                </c:pt>
              </c:numCache>
            </c:numRef>
          </c:xVal>
          <c:yVal>
            <c:numRef>
              <c:f>Data!$D$2:$D$12</c:f>
              <c:numCache>
                <c:formatCode>General</c:formatCode>
                <c:ptCount val="11"/>
                <c:pt idx="0">
                  <c:v>-27000</c:v>
                </c:pt>
                <c:pt idx="1">
                  <c:v>-24300</c:v>
                </c:pt>
                <c:pt idx="2">
                  <c:v>-21600</c:v>
                </c:pt>
                <c:pt idx="3">
                  <c:v>-18900</c:v>
                </c:pt>
                <c:pt idx="4">
                  <c:v>-16200</c:v>
                </c:pt>
                <c:pt idx="5">
                  <c:v>-13500</c:v>
                </c:pt>
                <c:pt idx="6">
                  <c:v>-10800</c:v>
                </c:pt>
                <c:pt idx="7">
                  <c:v>-8100</c:v>
                </c:pt>
                <c:pt idx="8">
                  <c:v>-5400</c:v>
                </c:pt>
                <c:pt idx="9">
                  <c:v>-2700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80-4836-B7DF-1E580192B482}"/>
            </c:ext>
          </c:extLst>
        </c:ser>
        <c:ser>
          <c:idx val="1"/>
          <c:order val="1"/>
          <c:tx>
            <c:v>DACdcP_I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49893817917569055"/>
                  <c:y val="0.13301094212538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Data!$R$12:$R$22</c:f>
              <c:numCache>
                <c:formatCode>General</c:formatCode>
                <c:ptCount val="11"/>
                <c:pt idx="0">
                  <c:v>-3.1028544</c:v>
                </c:pt>
                <c:pt idx="1">
                  <c:v>-97.992238</c:v>
                </c:pt>
                <c:pt idx="2">
                  <c:v>-193.24620999999999</c:v>
                </c:pt>
                <c:pt idx="3">
                  <c:v>-288.15653000000003</c:v>
                </c:pt>
                <c:pt idx="4">
                  <c:v>-383.19104999999996</c:v>
                </c:pt>
                <c:pt idx="5">
                  <c:v>-478.23567000000003</c:v>
                </c:pt>
                <c:pt idx="6">
                  <c:v>-573.27784000000008</c:v>
                </c:pt>
                <c:pt idx="7">
                  <c:v>-668.3330400000001</c:v>
                </c:pt>
                <c:pt idx="8">
                  <c:v>-763.28138000000001</c:v>
                </c:pt>
                <c:pt idx="9">
                  <c:v>-858.29082000000005</c:v>
                </c:pt>
                <c:pt idx="10">
                  <c:v>-953.26</c:v>
                </c:pt>
              </c:numCache>
            </c:numRef>
          </c:xVal>
          <c:yVal>
            <c:numRef>
              <c:f>Data!$D$12:$D$22</c:f>
              <c:numCache>
                <c:formatCode>General</c:formatCode>
                <c:ptCount val="11"/>
                <c:pt idx="0">
                  <c:v>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10800</c:v>
                </c:pt>
                <c:pt idx="5">
                  <c:v>13500</c:v>
                </c:pt>
                <c:pt idx="6">
                  <c:v>16200</c:v>
                </c:pt>
                <c:pt idx="7">
                  <c:v>18900</c:v>
                </c:pt>
                <c:pt idx="8">
                  <c:v>21600</c:v>
                </c:pt>
                <c:pt idx="9">
                  <c:v>24300</c:v>
                </c:pt>
                <c:pt idx="10">
                  <c:v>27000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780-4836-B7DF-1E580192B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Measured </a:t>
                </a:r>
                <a:r>
                  <a:rPr lang="en-US" b="1"/>
                  <a:t>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DAC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559544241661972"/>
                  <c:y val="-0.10208104123970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Data!$S$2:$S$12</c:f>
              <c:numCache>
                <c:formatCode>General</c:formatCode>
                <c:ptCount val="11"/>
                <c:pt idx="0">
                  <c:v>-31540</c:v>
                </c:pt>
                <c:pt idx="1">
                  <c:v>-28377</c:v>
                </c:pt>
                <c:pt idx="2">
                  <c:v>-25213</c:v>
                </c:pt>
                <c:pt idx="3">
                  <c:v>-22050</c:v>
                </c:pt>
                <c:pt idx="4">
                  <c:v>-18886</c:v>
                </c:pt>
                <c:pt idx="5">
                  <c:v>-15723</c:v>
                </c:pt>
                <c:pt idx="6">
                  <c:v>-12557</c:v>
                </c:pt>
                <c:pt idx="7">
                  <c:v>-9391</c:v>
                </c:pt>
                <c:pt idx="8">
                  <c:v>-6229</c:v>
                </c:pt>
                <c:pt idx="9">
                  <c:v>-3063</c:v>
                </c:pt>
                <c:pt idx="10">
                  <c:v>100</c:v>
                </c:pt>
              </c:numCache>
            </c:numRef>
          </c:xVal>
          <c:yVal>
            <c:numRef>
              <c:f>Data!$R$2:$R$12</c:f>
              <c:numCache>
                <c:formatCode>General</c:formatCode>
                <c:ptCount val="11"/>
                <c:pt idx="0" formatCode="0.00E+00">
                  <c:v>946.99253999999996</c:v>
                </c:pt>
                <c:pt idx="1">
                  <c:v>852.02103999999997</c:v>
                </c:pt>
                <c:pt idx="2">
                  <c:v>757.02080999999998</c:v>
                </c:pt>
                <c:pt idx="3">
                  <c:v>662.07583</c:v>
                </c:pt>
                <c:pt idx="4">
                  <c:v>567.07110999999998</c:v>
                </c:pt>
                <c:pt idx="5">
                  <c:v>472.06937999999997</c:v>
                </c:pt>
                <c:pt idx="6">
                  <c:v>377.00076000000001</c:v>
                </c:pt>
                <c:pt idx="7">
                  <c:v>281.95143000000002</c:v>
                </c:pt>
                <c:pt idx="8">
                  <c:v>186.96462</c:v>
                </c:pt>
                <c:pt idx="9">
                  <c:v>91.715512000000004</c:v>
                </c:pt>
                <c:pt idx="10">
                  <c:v>-3.1028544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3C-48ED-8DDE-D35550ECAE12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2.6049497556565829E-2"/>
                  <c:y val="-0.320515106844521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Data!$S$12:$S$22</c:f>
              <c:numCache>
                <c:formatCode>General</c:formatCode>
                <c:ptCount val="11"/>
                <c:pt idx="0">
                  <c:v>100</c:v>
                </c:pt>
                <c:pt idx="1">
                  <c:v>3263</c:v>
                </c:pt>
                <c:pt idx="2">
                  <c:v>6429</c:v>
                </c:pt>
                <c:pt idx="3">
                  <c:v>9593</c:v>
                </c:pt>
                <c:pt idx="4">
                  <c:v>12758</c:v>
                </c:pt>
                <c:pt idx="5">
                  <c:v>15924</c:v>
                </c:pt>
                <c:pt idx="6">
                  <c:v>19090</c:v>
                </c:pt>
                <c:pt idx="7">
                  <c:v>22257</c:v>
                </c:pt>
                <c:pt idx="8">
                  <c:v>25421</c:v>
                </c:pt>
                <c:pt idx="9">
                  <c:v>28585</c:v>
                </c:pt>
                <c:pt idx="10">
                  <c:v>31751</c:v>
                </c:pt>
              </c:numCache>
            </c:numRef>
          </c:xVal>
          <c:yVal>
            <c:numRef>
              <c:f>Data!$R$12:$R$22</c:f>
              <c:numCache>
                <c:formatCode>General</c:formatCode>
                <c:ptCount val="11"/>
                <c:pt idx="0">
                  <c:v>-3.1028544</c:v>
                </c:pt>
                <c:pt idx="1">
                  <c:v>-97.992238</c:v>
                </c:pt>
                <c:pt idx="2">
                  <c:v>-193.24620999999999</c:v>
                </c:pt>
                <c:pt idx="3">
                  <c:v>-288.15653000000003</c:v>
                </c:pt>
                <c:pt idx="4">
                  <c:v>-383.19104999999996</c:v>
                </c:pt>
                <c:pt idx="5">
                  <c:v>-478.23567000000003</c:v>
                </c:pt>
                <c:pt idx="6">
                  <c:v>-573.27784000000008</c:v>
                </c:pt>
                <c:pt idx="7">
                  <c:v>-668.3330400000001</c:v>
                </c:pt>
                <c:pt idx="8">
                  <c:v>-763.28138000000001</c:v>
                </c:pt>
                <c:pt idx="9">
                  <c:v>-858.29082000000005</c:v>
                </c:pt>
                <c:pt idx="10">
                  <c:v>-953.26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3C-48ED-8DDE-D35550ECA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ADC current reading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Data!$X$2:$X$12</c:f>
              <c:numCache>
                <c:formatCode>General</c:formatCode>
                <c:ptCount val="11"/>
                <c:pt idx="0" formatCode="0.00E+00">
                  <c:v>59.757235000000001</c:v>
                </c:pt>
                <c:pt idx="1">
                  <c:v>53.761265999999999</c:v>
                </c:pt>
                <c:pt idx="2">
                  <c:v>47.766083000000002</c:v>
                </c:pt>
                <c:pt idx="3">
                  <c:v>41.775135999999996</c:v>
                </c:pt>
                <c:pt idx="4">
                  <c:v>35.780921999999997</c:v>
                </c:pt>
                <c:pt idx="5">
                  <c:v>29.786325999999999</c:v>
                </c:pt>
                <c:pt idx="6">
                  <c:v>23.787620999999998</c:v>
                </c:pt>
                <c:pt idx="7">
                  <c:v>17.790084</c:v>
                </c:pt>
                <c:pt idx="8">
                  <c:v>11.796001</c:v>
                </c:pt>
                <c:pt idx="9">
                  <c:v>5.7979229999999999</c:v>
                </c:pt>
                <c:pt idx="10">
                  <c:v>-0.19868770000000002</c:v>
                </c:pt>
              </c:numCache>
            </c:numRef>
          </c:xVal>
          <c:yVal>
            <c:numRef>
              <c:f>Data!$D$2:$D$12</c:f>
              <c:numCache>
                <c:formatCode>General</c:formatCode>
                <c:ptCount val="11"/>
                <c:pt idx="0">
                  <c:v>-27000</c:v>
                </c:pt>
                <c:pt idx="1">
                  <c:v>-24300</c:v>
                </c:pt>
                <c:pt idx="2">
                  <c:v>-21600</c:v>
                </c:pt>
                <c:pt idx="3">
                  <c:v>-18900</c:v>
                </c:pt>
                <c:pt idx="4">
                  <c:v>-16200</c:v>
                </c:pt>
                <c:pt idx="5">
                  <c:v>-13500</c:v>
                </c:pt>
                <c:pt idx="6">
                  <c:v>-10800</c:v>
                </c:pt>
                <c:pt idx="7">
                  <c:v>-8100</c:v>
                </c:pt>
                <c:pt idx="8">
                  <c:v>-5400</c:v>
                </c:pt>
                <c:pt idx="9">
                  <c:v>-2700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03-4013-8786-4CDE57BECC36}"/>
            </c:ext>
          </c:extLst>
        </c:ser>
        <c:ser>
          <c:idx val="1"/>
          <c:order val="1"/>
          <c:tx>
            <c:v>DACdcP_I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Data!$X$12:$X$22</c:f>
              <c:numCache>
                <c:formatCode>General</c:formatCode>
                <c:ptCount val="11"/>
                <c:pt idx="0">
                  <c:v>-0.19868770000000002</c:v>
                </c:pt>
                <c:pt idx="1">
                  <c:v>-6.1959869999999997</c:v>
                </c:pt>
                <c:pt idx="2">
                  <c:v>-12.193223</c:v>
                </c:pt>
                <c:pt idx="3">
                  <c:v>-18.191002000000001</c:v>
                </c:pt>
                <c:pt idx="4">
                  <c:v>-24.18946</c:v>
                </c:pt>
                <c:pt idx="5">
                  <c:v>-30.188223000000001</c:v>
                </c:pt>
                <c:pt idx="6">
                  <c:v>-36.186371999999999</c:v>
                </c:pt>
                <c:pt idx="7">
                  <c:v>-42.184694999999998</c:v>
                </c:pt>
                <c:pt idx="8">
                  <c:v>-48.176139999999997</c:v>
                </c:pt>
                <c:pt idx="9">
                  <c:v>-54.170146000000003</c:v>
                </c:pt>
                <c:pt idx="10">
                  <c:v>-60.160975999999998</c:v>
                </c:pt>
              </c:numCache>
            </c:numRef>
          </c:xVal>
          <c:yVal>
            <c:numRef>
              <c:f>Data!$D$12:$D$22</c:f>
              <c:numCache>
                <c:formatCode>General</c:formatCode>
                <c:ptCount val="11"/>
                <c:pt idx="0">
                  <c:v>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10800</c:v>
                </c:pt>
                <c:pt idx="5">
                  <c:v>13500</c:v>
                </c:pt>
                <c:pt idx="6">
                  <c:v>16200</c:v>
                </c:pt>
                <c:pt idx="7">
                  <c:v>18900</c:v>
                </c:pt>
                <c:pt idx="8">
                  <c:v>21600</c:v>
                </c:pt>
                <c:pt idx="9">
                  <c:v>24300</c:v>
                </c:pt>
                <c:pt idx="10">
                  <c:v>27000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F03-4013-8786-4CDE57BEC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Measured </a:t>
                </a:r>
                <a:r>
                  <a:rPr lang="en-US" b="1"/>
                  <a:t>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DAC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305686789151356"/>
                  <c:y val="-0.135930442080319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Data!$Y$2:$Y$12</c:f>
              <c:numCache>
                <c:formatCode>General</c:formatCode>
                <c:ptCount val="11"/>
                <c:pt idx="0">
                  <c:v>-31532</c:v>
                </c:pt>
                <c:pt idx="1">
                  <c:v>-28370</c:v>
                </c:pt>
                <c:pt idx="2">
                  <c:v>-25207</c:v>
                </c:pt>
                <c:pt idx="3">
                  <c:v>-22045</c:v>
                </c:pt>
                <c:pt idx="4">
                  <c:v>-18883</c:v>
                </c:pt>
                <c:pt idx="5">
                  <c:v>-15719</c:v>
                </c:pt>
                <c:pt idx="6">
                  <c:v>-12554</c:v>
                </c:pt>
                <c:pt idx="7">
                  <c:v>-9389</c:v>
                </c:pt>
                <c:pt idx="8">
                  <c:v>-6227</c:v>
                </c:pt>
                <c:pt idx="9">
                  <c:v>-3063</c:v>
                </c:pt>
                <c:pt idx="10">
                  <c:v>100</c:v>
                </c:pt>
              </c:numCache>
            </c:numRef>
          </c:xVal>
          <c:yVal>
            <c:numRef>
              <c:f>Data!$X$2:$X$12</c:f>
              <c:numCache>
                <c:formatCode>General</c:formatCode>
                <c:ptCount val="11"/>
                <c:pt idx="0" formatCode="0.00E+00">
                  <c:v>59.757235000000001</c:v>
                </c:pt>
                <c:pt idx="1">
                  <c:v>53.761265999999999</c:v>
                </c:pt>
                <c:pt idx="2">
                  <c:v>47.766083000000002</c:v>
                </c:pt>
                <c:pt idx="3">
                  <c:v>41.775135999999996</c:v>
                </c:pt>
                <c:pt idx="4">
                  <c:v>35.780921999999997</c:v>
                </c:pt>
                <c:pt idx="5">
                  <c:v>29.786325999999999</c:v>
                </c:pt>
                <c:pt idx="6">
                  <c:v>23.787620999999998</c:v>
                </c:pt>
                <c:pt idx="7">
                  <c:v>17.790084</c:v>
                </c:pt>
                <c:pt idx="8">
                  <c:v>11.796001</c:v>
                </c:pt>
                <c:pt idx="9">
                  <c:v>5.7979229999999999</c:v>
                </c:pt>
                <c:pt idx="10">
                  <c:v>-0.19868770000000002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7A-47B5-BFCC-49C1775DCE74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9.1846199637416456E-2"/>
                  <c:y val="0.4482343938982548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Data!$Y$12:$Y$22</c:f>
              <c:numCache>
                <c:formatCode>General</c:formatCode>
                <c:ptCount val="11"/>
                <c:pt idx="0">
                  <c:v>100</c:v>
                </c:pt>
                <c:pt idx="1">
                  <c:v>3263</c:v>
                </c:pt>
                <c:pt idx="2">
                  <c:v>6427</c:v>
                </c:pt>
                <c:pt idx="3">
                  <c:v>9591</c:v>
                </c:pt>
                <c:pt idx="4">
                  <c:v>12755</c:v>
                </c:pt>
                <c:pt idx="5">
                  <c:v>15920</c:v>
                </c:pt>
                <c:pt idx="6">
                  <c:v>19085</c:v>
                </c:pt>
                <c:pt idx="7">
                  <c:v>22250</c:v>
                </c:pt>
                <c:pt idx="8">
                  <c:v>25413</c:v>
                </c:pt>
                <c:pt idx="9">
                  <c:v>28577</c:v>
                </c:pt>
                <c:pt idx="10">
                  <c:v>31741</c:v>
                </c:pt>
              </c:numCache>
            </c:numRef>
          </c:xVal>
          <c:yVal>
            <c:numRef>
              <c:f>Data!$X$12:$X$22</c:f>
              <c:numCache>
                <c:formatCode>General</c:formatCode>
                <c:ptCount val="11"/>
                <c:pt idx="0">
                  <c:v>-0.19868770000000002</c:v>
                </c:pt>
                <c:pt idx="1">
                  <c:v>-6.1959869999999997</c:v>
                </c:pt>
                <c:pt idx="2">
                  <c:v>-12.193223</c:v>
                </c:pt>
                <c:pt idx="3">
                  <c:v>-18.191002000000001</c:v>
                </c:pt>
                <c:pt idx="4">
                  <c:v>-24.18946</c:v>
                </c:pt>
                <c:pt idx="5">
                  <c:v>-30.188223000000001</c:v>
                </c:pt>
                <c:pt idx="6">
                  <c:v>-36.186371999999999</c:v>
                </c:pt>
                <c:pt idx="7">
                  <c:v>-42.184694999999998</c:v>
                </c:pt>
                <c:pt idx="8">
                  <c:v>-48.176139999999997</c:v>
                </c:pt>
                <c:pt idx="9">
                  <c:v>-54.170146000000003</c:v>
                </c:pt>
                <c:pt idx="10">
                  <c:v>-60.160975999999998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47A-47B5-BFCC-49C1775DCE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ADC current reading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Data!$AD$2:$AD$12</c:f>
              <c:numCache>
                <c:formatCode>General</c:formatCode>
                <c:ptCount val="11"/>
                <c:pt idx="0" formatCode="0.00E+00">
                  <c:v>9.6404598000000004</c:v>
                </c:pt>
                <c:pt idx="1">
                  <c:v>8.6732966000000005</c:v>
                </c:pt>
                <c:pt idx="2">
                  <c:v>7.7060395000000002</c:v>
                </c:pt>
                <c:pt idx="3">
                  <c:v>6.7392342999999997</c:v>
                </c:pt>
                <c:pt idx="4">
                  <c:v>5.7720410000000006</c:v>
                </c:pt>
                <c:pt idx="5">
                  <c:v>4.8048016999999996</c:v>
                </c:pt>
                <c:pt idx="6">
                  <c:v>3.8370045999999998</c:v>
                </c:pt>
                <c:pt idx="7">
                  <c:v>2.8695278000000002</c:v>
                </c:pt>
                <c:pt idx="8">
                  <c:v>1.9027417</c:v>
                </c:pt>
                <c:pt idx="9">
                  <c:v>0.93533660000000007</c:v>
                </c:pt>
                <c:pt idx="10">
                  <c:v>-3.1773100000000006E-2</c:v>
                </c:pt>
              </c:numCache>
            </c:numRef>
          </c:xVal>
          <c:yVal>
            <c:numRef>
              <c:f>Data!$D$2:$D$12</c:f>
              <c:numCache>
                <c:formatCode>General</c:formatCode>
                <c:ptCount val="11"/>
                <c:pt idx="0">
                  <c:v>-27000</c:v>
                </c:pt>
                <c:pt idx="1">
                  <c:v>-24300</c:v>
                </c:pt>
                <c:pt idx="2">
                  <c:v>-21600</c:v>
                </c:pt>
                <c:pt idx="3">
                  <c:v>-18900</c:v>
                </c:pt>
                <c:pt idx="4">
                  <c:v>-16200</c:v>
                </c:pt>
                <c:pt idx="5">
                  <c:v>-13500</c:v>
                </c:pt>
                <c:pt idx="6">
                  <c:v>-10800</c:v>
                </c:pt>
                <c:pt idx="7">
                  <c:v>-8100</c:v>
                </c:pt>
                <c:pt idx="8">
                  <c:v>-5400</c:v>
                </c:pt>
                <c:pt idx="9">
                  <c:v>-2700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6E-49E4-A3FA-73C9768388B7}"/>
            </c:ext>
          </c:extLst>
        </c:ser>
        <c:ser>
          <c:idx val="1"/>
          <c:order val="1"/>
          <c:tx>
            <c:v>DACdcP_I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Data!$AD$12:$AD$22</c:f>
              <c:numCache>
                <c:formatCode>General</c:formatCode>
                <c:ptCount val="11"/>
                <c:pt idx="0">
                  <c:v>-3.1773100000000006E-2</c:v>
                </c:pt>
                <c:pt idx="1">
                  <c:v>-0.99886490000000006</c:v>
                </c:pt>
                <c:pt idx="2">
                  <c:v>-1.9659688</c:v>
                </c:pt>
                <c:pt idx="3">
                  <c:v>-2.9331482000000002</c:v>
                </c:pt>
                <c:pt idx="4">
                  <c:v>-3.9004612000000001</c:v>
                </c:pt>
                <c:pt idx="5">
                  <c:v>-4.8679487000000004</c:v>
                </c:pt>
                <c:pt idx="6">
                  <c:v>-5.8354835000000005</c:v>
                </c:pt>
                <c:pt idx="7">
                  <c:v>-6.8031901999999995</c:v>
                </c:pt>
                <c:pt idx="8">
                  <c:v>-7.7700449999999996</c:v>
                </c:pt>
                <c:pt idx="9">
                  <c:v>-8.7375413000000002</c:v>
                </c:pt>
                <c:pt idx="10">
                  <c:v>-9.7048290000000001</c:v>
                </c:pt>
              </c:numCache>
            </c:numRef>
          </c:xVal>
          <c:yVal>
            <c:numRef>
              <c:f>Data!$D$12:$D$22</c:f>
              <c:numCache>
                <c:formatCode>General</c:formatCode>
                <c:ptCount val="11"/>
                <c:pt idx="0">
                  <c:v>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10800</c:v>
                </c:pt>
                <c:pt idx="5">
                  <c:v>13500</c:v>
                </c:pt>
                <c:pt idx="6">
                  <c:v>16200</c:v>
                </c:pt>
                <c:pt idx="7">
                  <c:v>18900</c:v>
                </c:pt>
                <c:pt idx="8">
                  <c:v>21600</c:v>
                </c:pt>
                <c:pt idx="9">
                  <c:v>24300</c:v>
                </c:pt>
                <c:pt idx="10">
                  <c:v>27000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6E-49E4-A3FA-73C976838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Measured Current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DAC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8453447764636113"/>
                  <c:y val="-2.32728751382570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Data!$AE$2:$AE$12</c:f>
              <c:numCache>
                <c:formatCode>General</c:formatCode>
                <c:ptCount val="11"/>
                <c:pt idx="0">
                  <c:v>-31532</c:v>
                </c:pt>
                <c:pt idx="1">
                  <c:v>-28369</c:v>
                </c:pt>
                <c:pt idx="2">
                  <c:v>-25206</c:v>
                </c:pt>
                <c:pt idx="3">
                  <c:v>-22045</c:v>
                </c:pt>
                <c:pt idx="4">
                  <c:v>-18882</c:v>
                </c:pt>
                <c:pt idx="5">
                  <c:v>-15719</c:v>
                </c:pt>
                <c:pt idx="6">
                  <c:v>-12554</c:v>
                </c:pt>
                <c:pt idx="7">
                  <c:v>-9390</c:v>
                </c:pt>
                <c:pt idx="8">
                  <c:v>-6228</c:v>
                </c:pt>
                <c:pt idx="9">
                  <c:v>-3063</c:v>
                </c:pt>
                <c:pt idx="10">
                  <c:v>99</c:v>
                </c:pt>
              </c:numCache>
            </c:numRef>
          </c:xVal>
          <c:yVal>
            <c:numRef>
              <c:f>Data!$AD$2:$AD$12</c:f>
              <c:numCache>
                <c:formatCode>General</c:formatCode>
                <c:ptCount val="11"/>
                <c:pt idx="0" formatCode="0.00E+00">
                  <c:v>9.6404598000000004</c:v>
                </c:pt>
                <c:pt idx="1">
                  <c:v>8.6732966000000005</c:v>
                </c:pt>
                <c:pt idx="2">
                  <c:v>7.7060395000000002</c:v>
                </c:pt>
                <c:pt idx="3">
                  <c:v>6.7392342999999997</c:v>
                </c:pt>
                <c:pt idx="4">
                  <c:v>5.7720410000000006</c:v>
                </c:pt>
                <c:pt idx="5">
                  <c:v>4.8048016999999996</c:v>
                </c:pt>
                <c:pt idx="6">
                  <c:v>3.8370045999999998</c:v>
                </c:pt>
                <c:pt idx="7">
                  <c:v>2.8695278000000002</c:v>
                </c:pt>
                <c:pt idx="8">
                  <c:v>1.9027417</c:v>
                </c:pt>
                <c:pt idx="9">
                  <c:v>0.93533660000000007</c:v>
                </c:pt>
                <c:pt idx="10">
                  <c:v>-3.1773100000000006E-2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0F-4B1C-BA56-6ADCE73D7196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1024873982802358"/>
                  <c:y val="-0.27049117973657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Data!$AE$12:$AE$22</c:f>
              <c:numCache>
                <c:formatCode>General</c:formatCode>
                <c:ptCount val="11"/>
                <c:pt idx="0">
                  <c:v>99</c:v>
                </c:pt>
                <c:pt idx="1">
                  <c:v>3263</c:v>
                </c:pt>
                <c:pt idx="2">
                  <c:v>6426</c:v>
                </c:pt>
                <c:pt idx="3">
                  <c:v>9590</c:v>
                </c:pt>
                <c:pt idx="4">
                  <c:v>12754</c:v>
                </c:pt>
                <c:pt idx="5">
                  <c:v>15919</c:v>
                </c:pt>
                <c:pt idx="6">
                  <c:v>19084</c:v>
                </c:pt>
                <c:pt idx="7">
                  <c:v>22250</c:v>
                </c:pt>
                <c:pt idx="8">
                  <c:v>25412</c:v>
                </c:pt>
                <c:pt idx="9">
                  <c:v>28577</c:v>
                </c:pt>
                <c:pt idx="10">
                  <c:v>31740</c:v>
                </c:pt>
              </c:numCache>
            </c:numRef>
          </c:xVal>
          <c:yVal>
            <c:numRef>
              <c:f>Data!$AD$12:$AD$22</c:f>
              <c:numCache>
                <c:formatCode>General</c:formatCode>
                <c:ptCount val="11"/>
                <c:pt idx="0">
                  <c:v>-3.1773100000000006E-2</c:v>
                </c:pt>
                <c:pt idx="1">
                  <c:v>-0.99886490000000006</c:v>
                </c:pt>
                <c:pt idx="2">
                  <c:v>-1.9659688</c:v>
                </c:pt>
                <c:pt idx="3">
                  <c:v>-2.9331482000000002</c:v>
                </c:pt>
                <c:pt idx="4">
                  <c:v>-3.9004612000000001</c:v>
                </c:pt>
                <c:pt idx="5">
                  <c:v>-4.8679487000000004</c:v>
                </c:pt>
                <c:pt idx="6">
                  <c:v>-5.8354835000000005</c:v>
                </c:pt>
                <c:pt idx="7">
                  <c:v>-6.8031901999999995</c:v>
                </c:pt>
                <c:pt idx="8">
                  <c:v>-7.7700449999999996</c:v>
                </c:pt>
                <c:pt idx="9">
                  <c:v>-8.7375413000000002</c:v>
                </c:pt>
                <c:pt idx="10">
                  <c:v>-9.7048290000000001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0F-4B1C-BA56-6ADCE73D7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ADC</a:t>
                </a:r>
                <a:r>
                  <a:rPr lang="en-US" b="1" baseline="0"/>
                  <a:t> current reading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0803980460598875"/>
                  <c:y val="5.6734732892834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Data!$AJ$2:$AJ$12</c:f>
              <c:numCache>
                <c:formatCode>General</c:formatCode>
                <c:ptCount val="11"/>
                <c:pt idx="0" formatCode="0.00E+00">
                  <c:v>0.96409999999999996</c:v>
                </c:pt>
                <c:pt idx="1">
                  <c:v>0.86729999999999996</c:v>
                </c:pt>
                <c:pt idx="2">
                  <c:v>0.77059999999999995</c:v>
                </c:pt>
                <c:pt idx="3">
                  <c:v>0.67389999999999994</c:v>
                </c:pt>
                <c:pt idx="4">
                  <c:v>0.57720000000000005</c:v>
                </c:pt>
                <c:pt idx="5">
                  <c:v>0.48040000000000005</c:v>
                </c:pt>
                <c:pt idx="6">
                  <c:v>0.3836</c:v>
                </c:pt>
                <c:pt idx="7">
                  <c:v>0.28689999999999999</c:v>
                </c:pt>
                <c:pt idx="8">
                  <c:v>0.19019999999999998</c:v>
                </c:pt>
                <c:pt idx="9">
                  <c:v>9.3439999999999995E-2</c:v>
                </c:pt>
                <c:pt idx="10">
                  <c:v>-3.2360000000000002E-3</c:v>
                </c:pt>
              </c:numCache>
            </c:numRef>
          </c:xVal>
          <c:yVal>
            <c:numRef>
              <c:f>Data!$D$2:$D$12</c:f>
              <c:numCache>
                <c:formatCode>General</c:formatCode>
                <c:ptCount val="11"/>
                <c:pt idx="0">
                  <c:v>-27000</c:v>
                </c:pt>
                <c:pt idx="1">
                  <c:v>-24300</c:v>
                </c:pt>
                <c:pt idx="2">
                  <c:v>-21600</c:v>
                </c:pt>
                <c:pt idx="3">
                  <c:v>-18900</c:v>
                </c:pt>
                <c:pt idx="4">
                  <c:v>-16200</c:v>
                </c:pt>
                <c:pt idx="5">
                  <c:v>-13500</c:v>
                </c:pt>
                <c:pt idx="6">
                  <c:v>-10800</c:v>
                </c:pt>
                <c:pt idx="7">
                  <c:v>-8100</c:v>
                </c:pt>
                <c:pt idx="8">
                  <c:v>-5400</c:v>
                </c:pt>
                <c:pt idx="9">
                  <c:v>-2700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13-44A4-BDF8-FD475293B72E}"/>
            </c:ext>
          </c:extLst>
        </c:ser>
        <c:ser>
          <c:idx val="1"/>
          <c:order val="1"/>
          <c:tx>
            <c:v>DACdcP_I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2359215558940517"/>
                  <c:y val="0.10682088107727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Data!$AJ$12:$AJ$22</c:f>
              <c:numCache>
                <c:formatCode>General</c:formatCode>
                <c:ptCount val="11"/>
                <c:pt idx="0">
                  <c:v>-3.2360000000000002E-3</c:v>
                </c:pt>
                <c:pt idx="1">
                  <c:v>-0.1</c:v>
                </c:pt>
                <c:pt idx="2">
                  <c:v>-0.19668999999999998</c:v>
                </c:pt>
                <c:pt idx="3">
                  <c:v>-0.29339999999999999</c:v>
                </c:pt>
                <c:pt idx="4">
                  <c:v>-0.3901</c:v>
                </c:pt>
                <c:pt idx="5">
                  <c:v>-0.48680000000000001</c:v>
                </c:pt>
                <c:pt idx="6">
                  <c:v>-0.58360000000000001</c:v>
                </c:pt>
                <c:pt idx="7">
                  <c:v>-0.6804</c:v>
                </c:pt>
                <c:pt idx="8">
                  <c:v>-0.77710000000000001</c:v>
                </c:pt>
                <c:pt idx="9">
                  <c:v>-0.87380000000000002</c:v>
                </c:pt>
                <c:pt idx="10">
                  <c:v>-0.97059999999999991</c:v>
                </c:pt>
              </c:numCache>
            </c:numRef>
          </c:xVal>
          <c:yVal>
            <c:numRef>
              <c:f>Data!$D$12:$D$22</c:f>
              <c:numCache>
                <c:formatCode>General</c:formatCode>
                <c:ptCount val="11"/>
                <c:pt idx="0">
                  <c:v>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10800</c:v>
                </c:pt>
                <c:pt idx="5">
                  <c:v>13500</c:v>
                </c:pt>
                <c:pt idx="6">
                  <c:v>16200</c:v>
                </c:pt>
                <c:pt idx="7">
                  <c:v>18900</c:v>
                </c:pt>
                <c:pt idx="8">
                  <c:v>21600</c:v>
                </c:pt>
                <c:pt idx="9">
                  <c:v>24300</c:v>
                </c:pt>
                <c:pt idx="10">
                  <c:v>27000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13-44A4-BDF8-FD475293B7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DAC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5423697822291041"/>
                  <c:y val="-0.1924532060575313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Data!$AK$2:$AK$12</c:f>
              <c:numCache>
                <c:formatCode>General</c:formatCode>
                <c:ptCount val="11"/>
                <c:pt idx="0">
                  <c:v>-31533</c:v>
                </c:pt>
                <c:pt idx="1">
                  <c:v>-28371</c:v>
                </c:pt>
                <c:pt idx="2">
                  <c:v>-25207</c:v>
                </c:pt>
                <c:pt idx="3">
                  <c:v>-22046</c:v>
                </c:pt>
                <c:pt idx="4">
                  <c:v>-18883</c:v>
                </c:pt>
                <c:pt idx="5">
                  <c:v>-15720</c:v>
                </c:pt>
                <c:pt idx="6">
                  <c:v>-12555</c:v>
                </c:pt>
                <c:pt idx="7">
                  <c:v>-9390</c:v>
                </c:pt>
                <c:pt idx="8">
                  <c:v>-6228</c:v>
                </c:pt>
                <c:pt idx="9">
                  <c:v>-3063</c:v>
                </c:pt>
                <c:pt idx="10">
                  <c:v>99</c:v>
                </c:pt>
              </c:numCache>
            </c:numRef>
          </c:xVal>
          <c:yVal>
            <c:numRef>
              <c:f>Data!$AJ$2:$AJ$12</c:f>
              <c:numCache>
                <c:formatCode>General</c:formatCode>
                <c:ptCount val="11"/>
                <c:pt idx="0" formatCode="0.00E+00">
                  <c:v>0.96409999999999996</c:v>
                </c:pt>
                <c:pt idx="1">
                  <c:v>0.86729999999999996</c:v>
                </c:pt>
                <c:pt idx="2">
                  <c:v>0.77059999999999995</c:v>
                </c:pt>
                <c:pt idx="3">
                  <c:v>0.67389999999999994</c:v>
                </c:pt>
                <c:pt idx="4">
                  <c:v>0.57720000000000005</c:v>
                </c:pt>
                <c:pt idx="5">
                  <c:v>0.48040000000000005</c:v>
                </c:pt>
                <c:pt idx="6">
                  <c:v>0.3836</c:v>
                </c:pt>
                <c:pt idx="7">
                  <c:v>0.28689999999999999</c:v>
                </c:pt>
                <c:pt idx="8">
                  <c:v>0.19019999999999998</c:v>
                </c:pt>
                <c:pt idx="9">
                  <c:v>9.3439999999999995E-2</c:v>
                </c:pt>
                <c:pt idx="10">
                  <c:v>-3.2360000000000002E-3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13-4C8A-A84C-FD1F739C1FA7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7.0960520812496597E-2"/>
                  <c:y val="0.5434705002534023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Data!$AK$12:$AK$22</c:f>
              <c:numCache>
                <c:formatCode>General</c:formatCode>
                <c:ptCount val="11"/>
                <c:pt idx="0">
                  <c:v>99</c:v>
                </c:pt>
                <c:pt idx="1">
                  <c:v>3264</c:v>
                </c:pt>
                <c:pt idx="2">
                  <c:v>6427</c:v>
                </c:pt>
                <c:pt idx="3">
                  <c:v>9590</c:v>
                </c:pt>
                <c:pt idx="4">
                  <c:v>12754</c:v>
                </c:pt>
                <c:pt idx="5">
                  <c:v>15918</c:v>
                </c:pt>
                <c:pt idx="6">
                  <c:v>19083</c:v>
                </c:pt>
                <c:pt idx="7">
                  <c:v>22249</c:v>
                </c:pt>
                <c:pt idx="8">
                  <c:v>25411</c:v>
                </c:pt>
                <c:pt idx="9">
                  <c:v>28575</c:v>
                </c:pt>
                <c:pt idx="10">
                  <c:v>31739</c:v>
                </c:pt>
              </c:numCache>
            </c:numRef>
          </c:xVal>
          <c:yVal>
            <c:numRef>
              <c:f>Data!$AJ$12:$AJ$22</c:f>
              <c:numCache>
                <c:formatCode>General</c:formatCode>
                <c:ptCount val="11"/>
                <c:pt idx="0">
                  <c:v>-3.2360000000000002E-3</c:v>
                </c:pt>
                <c:pt idx="1">
                  <c:v>-0.1</c:v>
                </c:pt>
                <c:pt idx="2">
                  <c:v>-0.19668999999999998</c:v>
                </c:pt>
                <c:pt idx="3">
                  <c:v>-0.29339999999999999</c:v>
                </c:pt>
                <c:pt idx="4">
                  <c:v>-0.3901</c:v>
                </c:pt>
                <c:pt idx="5">
                  <c:v>-0.48680000000000001</c:v>
                </c:pt>
                <c:pt idx="6">
                  <c:v>-0.58360000000000001</c:v>
                </c:pt>
                <c:pt idx="7">
                  <c:v>-0.6804</c:v>
                </c:pt>
                <c:pt idx="8">
                  <c:v>-0.77710000000000001</c:v>
                </c:pt>
                <c:pt idx="9">
                  <c:v>-0.87380000000000002</c:v>
                </c:pt>
                <c:pt idx="10">
                  <c:v>-0.97059999999999991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13-4C8A-A84C-FD1F739C1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ADC current reading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8.2776676399884744E-2"/>
                  <c:y val="-0.5203481996124051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Data!$AP$2:$AP$12</c:f>
              <c:numCache>
                <c:formatCode>General</c:formatCode>
                <c:ptCount val="11"/>
                <c:pt idx="0" formatCode="0.00E+00">
                  <c:v>9.6409999999999996E-2</c:v>
                </c:pt>
                <c:pt idx="1">
                  <c:v>8.6730000000000002E-2</c:v>
                </c:pt>
                <c:pt idx="2">
                  <c:v>7.7060000000000003E-2</c:v>
                </c:pt>
                <c:pt idx="3">
                  <c:v>6.7379999999999995E-2</c:v>
                </c:pt>
                <c:pt idx="4">
                  <c:v>5.7710000000000004E-2</c:v>
                </c:pt>
                <c:pt idx="5">
                  <c:v>4.8039999999999999E-2</c:v>
                </c:pt>
                <c:pt idx="6">
                  <c:v>3.8359999999999998E-2</c:v>
                </c:pt>
                <c:pt idx="7">
                  <c:v>2.8680000000000001E-2</c:v>
                </c:pt>
                <c:pt idx="8">
                  <c:v>1.9009999999999999E-2</c:v>
                </c:pt>
                <c:pt idx="9">
                  <c:v>9.3449999999999991E-3</c:v>
                </c:pt>
                <c:pt idx="10">
                  <c:v>-3.2220000000000003E-4</c:v>
                </c:pt>
              </c:numCache>
            </c:numRef>
          </c:xVal>
          <c:yVal>
            <c:numRef>
              <c:f>Data!$D$2:$D$12</c:f>
              <c:numCache>
                <c:formatCode>General</c:formatCode>
                <c:ptCount val="11"/>
                <c:pt idx="0">
                  <c:v>-27000</c:v>
                </c:pt>
                <c:pt idx="1">
                  <c:v>-24300</c:v>
                </c:pt>
                <c:pt idx="2">
                  <c:v>-21600</c:v>
                </c:pt>
                <c:pt idx="3">
                  <c:v>-18900</c:v>
                </c:pt>
                <c:pt idx="4">
                  <c:v>-16200</c:v>
                </c:pt>
                <c:pt idx="5">
                  <c:v>-13500</c:v>
                </c:pt>
                <c:pt idx="6">
                  <c:v>-10800</c:v>
                </c:pt>
                <c:pt idx="7">
                  <c:v>-8100</c:v>
                </c:pt>
                <c:pt idx="8">
                  <c:v>-5400</c:v>
                </c:pt>
                <c:pt idx="9">
                  <c:v>-2700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E5-4E83-BCE9-1568ABA3FC56}"/>
            </c:ext>
          </c:extLst>
        </c:ser>
        <c:ser>
          <c:idx val="1"/>
          <c:order val="1"/>
          <c:tx>
            <c:v>DACdcP_I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844520226888624"/>
                  <c:y val="-0.1671200791719160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Data!$AP$12:$AP$22</c:f>
              <c:numCache>
                <c:formatCode>General</c:formatCode>
                <c:ptCount val="11"/>
                <c:pt idx="0">
                  <c:v>-3.2220000000000003E-4</c:v>
                </c:pt>
                <c:pt idx="1">
                  <c:v>-1.0006999999999999E-2</c:v>
                </c:pt>
                <c:pt idx="2">
                  <c:v>-1.9675000000000002E-2</c:v>
                </c:pt>
                <c:pt idx="3">
                  <c:v>-2.9329999999999998E-2</c:v>
                </c:pt>
                <c:pt idx="4">
                  <c:v>-3.9E-2</c:v>
                </c:pt>
                <c:pt idx="5">
                  <c:v>-4.8680000000000001E-2</c:v>
                </c:pt>
                <c:pt idx="6">
                  <c:v>-5.8349999999999999E-2</c:v>
                </c:pt>
                <c:pt idx="7">
                  <c:v>-6.8029999999999993E-2</c:v>
                </c:pt>
                <c:pt idx="8">
                  <c:v>-7.7700000000000005E-2</c:v>
                </c:pt>
                <c:pt idx="9">
                  <c:v>-8.7370000000000003E-2</c:v>
                </c:pt>
                <c:pt idx="10">
                  <c:v>-9.7040000000000001E-2</c:v>
                </c:pt>
              </c:numCache>
            </c:numRef>
          </c:xVal>
          <c:yVal>
            <c:numRef>
              <c:f>Data!$D$12:$D$22</c:f>
              <c:numCache>
                <c:formatCode>General</c:formatCode>
                <c:ptCount val="11"/>
                <c:pt idx="0">
                  <c:v>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10800</c:v>
                </c:pt>
                <c:pt idx="5">
                  <c:v>13500</c:v>
                </c:pt>
                <c:pt idx="6">
                  <c:v>16200</c:v>
                </c:pt>
                <c:pt idx="7">
                  <c:v>18900</c:v>
                </c:pt>
                <c:pt idx="8">
                  <c:v>21600</c:v>
                </c:pt>
                <c:pt idx="9">
                  <c:v>24300</c:v>
                </c:pt>
                <c:pt idx="10">
                  <c:v>27000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CE5-4E83-BCE9-1568ABA3F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DAC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8453447764636113"/>
                  <c:y val="-2.32728751382570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Data!$AQ$2:$AQ$12</c:f>
              <c:numCache>
                <c:formatCode>General</c:formatCode>
                <c:ptCount val="11"/>
                <c:pt idx="0">
                  <c:v>-31533</c:v>
                </c:pt>
                <c:pt idx="1">
                  <c:v>-28370</c:v>
                </c:pt>
                <c:pt idx="2">
                  <c:v>-25207</c:v>
                </c:pt>
                <c:pt idx="3">
                  <c:v>-22045</c:v>
                </c:pt>
                <c:pt idx="4">
                  <c:v>-18882</c:v>
                </c:pt>
                <c:pt idx="5">
                  <c:v>-15719</c:v>
                </c:pt>
                <c:pt idx="6">
                  <c:v>-12554</c:v>
                </c:pt>
                <c:pt idx="7">
                  <c:v>-9390</c:v>
                </c:pt>
                <c:pt idx="8">
                  <c:v>-6228</c:v>
                </c:pt>
                <c:pt idx="9">
                  <c:v>-3064</c:v>
                </c:pt>
                <c:pt idx="10">
                  <c:v>99</c:v>
                </c:pt>
              </c:numCache>
            </c:numRef>
          </c:xVal>
          <c:yVal>
            <c:numRef>
              <c:f>Data!$AP$2:$AP$12</c:f>
              <c:numCache>
                <c:formatCode>General</c:formatCode>
                <c:ptCount val="11"/>
                <c:pt idx="0" formatCode="0.00E+00">
                  <c:v>9.6409999999999996E-2</c:v>
                </c:pt>
                <c:pt idx="1">
                  <c:v>8.6730000000000002E-2</c:v>
                </c:pt>
                <c:pt idx="2">
                  <c:v>7.7060000000000003E-2</c:v>
                </c:pt>
                <c:pt idx="3">
                  <c:v>6.7379999999999995E-2</c:v>
                </c:pt>
                <c:pt idx="4">
                  <c:v>5.7710000000000004E-2</c:v>
                </c:pt>
                <c:pt idx="5">
                  <c:v>4.8039999999999999E-2</c:v>
                </c:pt>
                <c:pt idx="6">
                  <c:v>3.8359999999999998E-2</c:v>
                </c:pt>
                <c:pt idx="7">
                  <c:v>2.8680000000000001E-2</c:v>
                </c:pt>
                <c:pt idx="8">
                  <c:v>1.9009999999999999E-2</c:v>
                </c:pt>
                <c:pt idx="9">
                  <c:v>9.3449999999999991E-3</c:v>
                </c:pt>
                <c:pt idx="10">
                  <c:v>-3.2220000000000003E-4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5A-4503-9CA6-88DA0A2649E1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1024873982802358"/>
                  <c:y val="-0.27049117973657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Data!$AQ$12:$AQ$22</c:f>
              <c:numCache>
                <c:formatCode>General</c:formatCode>
                <c:ptCount val="11"/>
                <c:pt idx="0">
                  <c:v>99</c:v>
                </c:pt>
                <c:pt idx="1">
                  <c:v>3264</c:v>
                </c:pt>
                <c:pt idx="2">
                  <c:v>6426</c:v>
                </c:pt>
                <c:pt idx="3">
                  <c:v>9589</c:v>
                </c:pt>
                <c:pt idx="4">
                  <c:v>12753</c:v>
                </c:pt>
                <c:pt idx="5">
                  <c:v>15918</c:v>
                </c:pt>
                <c:pt idx="6">
                  <c:v>19083</c:v>
                </c:pt>
                <c:pt idx="7">
                  <c:v>22249</c:v>
                </c:pt>
                <c:pt idx="8">
                  <c:v>25411</c:v>
                </c:pt>
                <c:pt idx="9">
                  <c:v>28575</c:v>
                </c:pt>
                <c:pt idx="10">
                  <c:v>31738</c:v>
                </c:pt>
              </c:numCache>
            </c:numRef>
          </c:xVal>
          <c:yVal>
            <c:numRef>
              <c:f>Data!$AP$12:$AP$22</c:f>
              <c:numCache>
                <c:formatCode>General</c:formatCode>
                <c:ptCount val="11"/>
                <c:pt idx="0">
                  <c:v>-3.2220000000000003E-4</c:v>
                </c:pt>
                <c:pt idx="1">
                  <c:v>-1.0006999999999999E-2</c:v>
                </c:pt>
                <c:pt idx="2">
                  <c:v>-1.9675000000000002E-2</c:v>
                </c:pt>
                <c:pt idx="3">
                  <c:v>-2.9329999999999998E-2</c:v>
                </c:pt>
                <c:pt idx="4">
                  <c:v>-3.9E-2</c:v>
                </c:pt>
                <c:pt idx="5">
                  <c:v>-4.8680000000000001E-2</c:v>
                </c:pt>
                <c:pt idx="6">
                  <c:v>-5.8349999999999999E-2</c:v>
                </c:pt>
                <c:pt idx="7">
                  <c:v>-6.8029999999999993E-2</c:v>
                </c:pt>
                <c:pt idx="8">
                  <c:v>-7.7700000000000005E-2</c:v>
                </c:pt>
                <c:pt idx="9">
                  <c:v>-8.7370000000000003E-2</c:v>
                </c:pt>
                <c:pt idx="10">
                  <c:v>-9.7040000000000001E-2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5A-4503-9CA6-88DA0A264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ADC current reading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9.7125704726559639E-2"/>
                  <c:y val="-0.426175261107326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Data!$AV$2:$AV$12</c:f>
              <c:numCache>
                <c:formatCode>General</c:formatCode>
                <c:ptCount val="11"/>
                <c:pt idx="0" formatCode="0.00E+00">
                  <c:v>9.6539999999999994E-3</c:v>
                </c:pt>
                <c:pt idx="1">
                  <c:v>8.6819999999999987E-3</c:v>
                </c:pt>
                <c:pt idx="2">
                  <c:v>7.7120000000000001E-3</c:v>
                </c:pt>
                <c:pt idx="3">
                  <c:v>6.7410000000000005E-3</c:v>
                </c:pt>
                <c:pt idx="4">
                  <c:v>5.7790000000000003E-3</c:v>
                </c:pt>
                <c:pt idx="5">
                  <c:v>4.8080000000000006E-3</c:v>
                </c:pt>
                <c:pt idx="6">
                  <c:v>3.836E-3</c:v>
                </c:pt>
                <c:pt idx="7">
                  <c:v>2.8710000000000003E-3</c:v>
                </c:pt>
                <c:pt idx="8">
                  <c:v>1.9039999999999999E-3</c:v>
                </c:pt>
                <c:pt idx="9">
                  <c:v>9.3639999999999999E-4</c:v>
                </c:pt>
                <c:pt idx="10">
                  <c:v>-2.9819999999999999E-5</c:v>
                </c:pt>
              </c:numCache>
            </c:numRef>
          </c:xVal>
          <c:yVal>
            <c:numRef>
              <c:f>Data!$D$2:$D$12</c:f>
              <c:numCache>
                <c:formatCode>General</c:formatCode>
                <c:ptCount val="11"/>
                <c:pt idx="0">
                  <c:v>-27000</c:v>
                </c:pt>
                <c:pt idx="1">
                  <c:v>-24300</c:v>
                </c:pt>
                <c:pt idx="2">
                  <c:v>-21600</c:v>
                </c:pt>
                <c:pt idx="3">
                  <c:v>-18900</c:v>
                </c:pt>
                <c:pt idx="4">
                  <c:v>-16200</c:v>
                </c:pt>
                <c:pt idx="5">
                  <c:v>-13500</c:v>
                </c:pt>
                <c:pt idx="6">
                  <c:v>-10800</c:v>
                </c:pt>
                <c:pt idx="7">
                  <c:v>-8100</c:v>
                </c:pt>
                <c:pt idx="8">
                  <c:v>-5400</c:v>
                </c:pt>
                <c:pt idx="9">
                  <c:v>-2700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FA-4C2E-90E7-DA92258245F3}"/>
            </c:ext>
          </c:extLst>
        </c:ser>
        <c:ser>
          <c:idx val="1"/>
          <c:order val="1"/>
          <c:tx>
            <c:v>DACdcP_I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7901736067808563"/>
                  <c:y val="-0.116680299946279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Data!$AV$12:$AV$22</c:f>
              <c:numCache>
                <c:formatCode>General</c:formatCode>
                <c:ptCount val="11"/>
                <c:pt idx="0">
                  <c:v>-2.9819999999999999E-5</c:v>
                </c:pt>
                <c:pt idx="1">
                  <c:v>-1.0096E-3</c:v>
                </c:pt>
                <c:pt idx="2">
                  <c:v>-1.9686E-3</c:v>
                </c:pt>
                <c:pt idx="3">
                  <c:v>-2.9340000000000004E-3</c:v>
                </c:pt>
                <c:pt idx="4">
                  <c:v>-3.9020000000000001E-3</c:v>
                </c:pt>
                <c:pt idx="5">
                  <c:v>-4.8700000000000002E-3</c:v>
                </c:pt>
                <c:pt idx="6">
                  <c:v>-5.8390000000000004E-3</c:v>
                </c:pt>
                <c:pt idx="7">
                  <c:v>-6.8059999999999996E-3</c:v>
                </c:pt>
                <c:pt idx="8">
                  <c:v>-7.7740000000000005E-3</c:v>
                </c:pt>
                <c:pt idx="9">
                  <c:v>-8.7419999999999998E-3</c:v>
                </c:pt>
                <c:pt idx="10">
                  <c:v>-9.7089999999999989E-3</c:v>
                </c:pt>
              </c:numCache>
            </c:numRef>
          </c:xVal>
          <c:yVal>
            <c:numRef>
              <c:f>Data!$D$12:$D$22</c:f>
              <c:numCache>
                <c:formatCode>General</c:formatCode>
                <c:ptCount val="11"/>
                <c:pt idx="0">
                  <c:v>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10800</c:v>
                </c:pt>
                <c:pt idx="5">
                  <c:v>13500</c:v>
                </c:pt>
                <c:pt idx="6">
                  <c:v>16200</c:v>
                </c:pt>
                <c:pt idx="7">
                  <c:v>18900</c:v>
                </c:pt>
                <c:pt idx="8">
                  <c:v>21600</c:v>
                </c:pt>
                <c:pt idx="9">
                  <c:v>24300</c:v>
                </c:pt>
                <c:pt idx="10">
                  <c:v>27000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FA-4C2E-90E7-DA9225824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Measured </a:t>
                </a:r>
                <a:r>
                  <a:rPr lang="en-US" b="1"/>
                  <a:t>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DAC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8453447764636113"/>
                  <c:y val="-2.32728751382570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Data!$AW$2:$AW$12</c:f>
              <c:numCache>
                <c:formatCode>General</c:formatCode>
                <c:ptCount val="11"/>
                <c:pt idx="0">
                  <c:v>-31532</c:v>
                </c:pt>
                <c:pt idx="1">
                  <c:v>-28370</c:v>
                </c:pt>
                <c:pt idx="2">
                  <c:v>-25207</c:v>
                </c:pt>
                <c:pt idx="3">
                  <c:v>-22046</c:v>
                </c:pt>
                <c:pt idx="4">
                  <c:v>-18883</c:v>
                </c:pt>
                <c:pt idx="5">
                  <c:v>-15720</c:v>
                </c:pt>
                <c:pt idx="6">
                  <c:v>-12555</c:v>
                </c:pt>
                <c:pt idx="7">
                  <c:v>-9391</c:v>
                </c:pt>
                <c:pt idx="8">
                  <c:v>-6229</c:v>
                </c:pt>
                <c:pt idx="9">
                  <c:v>-3065</c:v>
                </c:pt>
                <c:pt idx="10">
                  <c:v>98</c:v>
                </c:pt>
              </c:numCache>
            </c:numRef>
          </c:xVal>
          <c:yVal>
            <c:numRef>
              <c:f>Data!$AV$2:$AV$12</c:f>
              <c:numCache>
                <c:formatCode>General</c:formatCode>
                <c:ptCount val="11"/>
                <c:pt idx="0" formatCode="0.00E+00">
                  <c:v>9.6539999999999994E-3</c:v>
                </c:pt>
                <c:pt idx="1">
                  <c:v>8.6819999999999987E-3</c:v>
                </c:pt>
                <c:pt idx="2">
                  <c:v>7.7120000000000001E-3</c:v>
                </c:pt>
                <c:pt idx="3">
                  <c:v>6.7410000000000005E-3</c:v>
                </c:pt>
                <c:pt idx="4">
                  <c:v>5.7790000000000003E-3</c:v>
                </c:pt>
                <c:pt idx="5">
                  <c:v>4.8080000000000006E-3</c:v>
                </c:pt>
                <c:pt idx="6">
                  <c:v>3.836E-3</c:v>
                </c:pt>
                <c:pt idx="7">
                  <c:v>2.8710000000000003E-3</c:v>
                </c:pt>
                <c:pt idx="8">
                  <c:v>1.9039999999999999E-3</c:v>
                </c:pt>
                <c:pt idx="9">
                  <c:v>9.3639999999999999E-4</c:v>
                </c:pt>
                <c:pt idx="10">
                  <c:v>-2.9819999999999999E-5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13-43EF-BDE0-D8DB7E495B2C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1024873982802358"/>
                  <c:y val="-0.27049117973657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Data!$AW$12:$AW$22</c:f>
              <c:numCache>
                <c:formatCode>General</c:formatCode>
                <c:ptCount val="11"/>
                <c:pt idx="0">
                  <c:v>98</c:v>
                </c:pt>
                <c:pt idx="1">
                  <c:v>3262</c:v>
                </c:pt>
                <c:pt idx="2">
                  <c:v>6426</c:v>
                </c:pt>
                <c:pt idx="3">
                  <c:v>9590</c:v>
                </c:pt>
                <c:pt idx="4">
                  <c:v>12755</c:v>
                </c:pt>
                <c:pt idx="5">
                  <c:v>15919</c:v>
                </c:pt>
                <c:pt idx="6">
                  <c:v>19085</c:v>
                </c:pt>
                <c:pt idx="7">
                  <c:v>22250</c:v>
                </c:pt>
                <c:pt idx="8">
                  <c:v>25413</c:v>
                </c:pt>
                <c:pt idx="9">
                  <c:v>28577</c:v>
                </c:pt>
                <c:pt idx="10">
                  <c:v>31740</c:v>
                </c:pt>
              </c:numCache>
            </c:numRef>
          </c:xVal>
          <c:yVal>
            <c:numRef>
              <c:f>Data!$AV$12:$AV$22</c:f>
              <c:numCache>
                <c:formatCode>General</c:formatCode>
                <c:ptCount val="11"/>
                <c:pt idx="0">
                  <c:v>-2.9819999999999999E-5</c:v>
                </c:pt>
                <c:pt idx="1">
                  <c:v>-1.0096E-3</c:v>
                </c:pt>
                <c:pt idx="2">
                  <c:v>-1.9686E-3</c:v>
                </c:pt>
                <c:pt idx="3">
                  <c:v>-2.9340000000000004E-3</c:v>
                </c:pt>
                <c:pt idx="4">
                  <c:v>-3.9020000000000001E-3</c:v>
                </c:pt>
                <c:pt idx="5">
                  <c:v>-4.8700000000000002E-3</c:v>
                </c:pt>
                <c:pt idx="6">
                  <c:v>-5.8390000000000004E-3</c:v>
                </c:pt>
                <c:pt idx="7">
                  <c:v>-6.8059999999999996E-3</c:v>
                </c:pt>
                <c:pt idx="8">
                  <c:v>-7.7740000000000005E-3</c:v>
                </c:pt>
                <c:pt idx="9">
                  <c:v>-8.7419999999999998E-3</c:v>
                </c:pt>
                <c:pt idx="10">
                  <c:v>-9.7089999999999989E-3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E13-43EF-BDE0-D8DB7E495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ADC current reading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3801287537037121E-2"/>
          <c:y val="0.19164038022015978"/>
          <c:w val="0.89133806663025672"/>
          <c:h val="0.71010888257613891"/>
        </c:manualLayout>
      </c:layout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19200196097825292"/>
                  <c:y val="-0.145558923846831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Data!$BB$2:$BB$12</c:f>
              <c:numCache>
                <c:formatCode>General</c:formatCode>
                <c:ptCount val="11"/>
                <c:pt idx="0">
                  <c:v>9.660999999999999E-4</c:v>
                </c:pt>
                <c:pt idx="1">
                  <c:v>8.6840000000000007E-4</c:v>
                </c:pt>
                <c:pt idx="2">
                  <c:v>7.7139999999999999E-4</c:v>
                </c:pt>
                <c:pt idx="3">
                  <c:v>6.7439999999999991E-4</c:v>
                </c:pt>
                <c:pt idx="4">
                  <c:v>5.7429999999999992E-4</c:v>
                </c:pt>
                <c:pt idx="5">
                  <c:v>4.75E-4</c:v>
                </c:pt>
                <c:pt idx="6">
                  <c:v>3.8309999999999999E-4</c:v>
                </c:pt>
                <c:pt idx="7">
                  <c:v>2.8729999999999999E-4</c:v>
                </c:pt>
                <c:pt idx="8">
                  <c:v>1.9079999999999998E-4</c:v>
                </c:pt>
                <c:pt idx="9">
                  <c:v>9.4679999999999995E-5</c:v>
                </c:pt>
                <c:pt idx="10">
                  <c:v>0</c:v>
                </c:pt>
              </c:numCache>
            </c:numRef>
          </c:xVal>
          <c:yVal>
            <c:numRef>
              <c:f>Data!$D$2:$D$12</c:f>
              <c:numCache>
                <c:formatCode>General</c:formatCode>
                <c:ptCount val="11"/>
                <c:pt idx="0">
                  <c:v>-27000</c:v>
                </c:pt>
                <c:pt idx="1">
                  <c:v>-24300</c:v>
                </c:pt>
                <c:pt idx="2">
                  <c:v>-21600</c:v>
                </c:pt>
                <c:pt idx="3">
                  <c:v>-18900</c:v>
                </c:pt>
                <c:pt idx="4">
                  <c:v>-16200</c:v>
                </c:pt>
                <c:pt idx="5">
                  <c:v>-13500</c:v>
                </c:pt>
                <c:pt idx="6">
                  <c:v>-10800</c:v>
                </c:pt>
                <c:pt idx="7">
                  <c:v>-8100</c:v>
                </c:pt>
                <c:pt idx="8">
                  <c:v>-5400</c:v>
                </c:pt>
                <c:pt idx="9">
                  <c:v>-2700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8C-45EB-AF68-3C2F88703278}"/>
            </c:ext>
          </c:extLst>
        </c:ser>
        <c:ser>
          <c:idx val="1"/>
          <c:order val="1"/>
          <c:tx>
            <c:v>DACdcP_I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389404696886947"/>
                  <c:y val="0.2189354598423978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Data!$BB$12:$BB$22</c:f>
              <c:numCache>
                <c:formatCode>General</c:formatCode>
                <c:ptCount val="11"/>
                <c:pt idx="0">
                  <c:v>0</c:v>
                </c:pt>
                <c:pt idx="1">
                  <c:v>-9.9530000000000004E-5</c:v>
                </c:pt>
                <c:pt idx="2">
                  <c:v>-1.9623000000000001E-4</c:v>
                </c:pt>
                <c:pt idx="3">
                  <c:v>-2.9159999999999999E-4</c:v>
                </c:pt>
                <c:pt idx="4">
                  <c:v>-3.8969999999999999E-4</c:v>
                </c:pt>
                <c:pt idx="5">
                  <c:v>-4.8709999999999997E-4</c:v>
                </c:pt>
                <c:pt idx="6">
                  <c:v>-5.8370000000000004E-4</c:v>
                </c:pt>
                <c:pt idx="7">
                  <c:v>-6.8050000000000001E-4</c:v>
                </c:pt>
                <c:pt idx="8">
                  <c:v>-7.7729999999999997E-4</c:v>
                </c:pt>
                <c:pt idx="9">
                  <c:v>-8.7410000000000005E-4</c:v>
                </c:pt>
                <c:pt idx="10">
                  <c:v>-9.7100000000000007E-4</c:v>
                </c:pt>
              </c:numCache>
            </c:numRef>
          </c:xVal>
          <c:yVal>
            <c:numRef>
              <c:f>Data!$D$12:$D$22</c:f>
              <c:numCache>
                <c:formatCode>General</c:formatCode>
                <c:ptCount val="11"/>
                <c:pt idx="0">
                  <c:v>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10800</c:v>
                </c:pt>
                <c:pt idx="5">
                  <c:v>13500</c:v>
                </c:pt>
                <c:pt idx="6">
                  <c:v>16200</c:v>
                </c:pt>
                <c:pt idx="7">
                  <c:v>18900</c:v>
                </c:pt>
                <c:pt idx="8">
                  <c:v>21600</c:v>
                </c:pt>
                <c:pt idx="9">
                  <c:v>24300</c:v>
                </c:pt>
                <c:pt idx="10">
                  <c:v>27000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8C-45EB-AF68-3C2F887032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Received </a:t>
                </a:r>
                <a:r>
                  <a:rPr lang="en-US" b="1"/>
                  <a:t>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8453447764636113"/>
                  <c:y val="-2.32728751382570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Data!$BC$2:$BC$12</c:f>
              <c:numCache>
                <c:formatCode>General</c:formatCode>
                <c:ptCount val="11"/>
                <c:pt idx="0">
                  <c:v>-31531</c:v>
                </c:pt>
                <c:pt idx="1">
                  <c:v>-28369</c:v>
                </c:pt>
                <c:pt idx="2">
                  <c:v>-25206</c:v>
                </c:pt>
                <c:pt idx="3">
                  <c:v>-22045</c:v>
                </c:pt>
                <c:pt idx="4">
                  <c:v>-18882</c:v>
                </c:pt>
                <c:pt idx="5">
                  <c:v>-15720</c:v>
                </c:pt>
                <c:pt idx="6">
                  <c:v>-12555</c:v>
                </c:pt>
                <c:pt idx="7">
                  <c:v>-9390</c:v>
                </c:pt>
                <c:pt idx="8">
                  <c:v>-6228</c:v>
                </c:pt>
                <c:pt idx="9">
                  <c:v>-3063</c:v>
                </c:pt>
                <c:pt idx="10">
                  <c:v>100</c:v>
                </c:pt>
              </c:numCache>
            </c:numRef>
          </c:xVal>
          <c:yVal>
            <c:numRef>
              <c:f>Data!$BB$2:$BB$12</c:f>
              <c:numCache>
                <c:formatCode>General</c:formatCode>
                <c:ptCount val="11"/>
                <c:pt idx="0">
                  <c:v>9.660999999999999E-4</c:v>
                </c:pt>
                <c:pt idx="1">
                  <c:v>8.6840000000000007E-4</c:v>
                </c:pt>
                <c:pt idx="2">
                  <c:v>7.7139999999999999E-4</c:v>
                </c:pt>
                <c:pt idx="3">
                  <c:v>6.7439999999999991E-4</c:v>
                </c:pt>
                <c:pt idx="4">
                  <c:v>5.7429999999999992E-4</c:v>
                </c:pt>
                <c:pt idx="5">
                  <c:v>4.75E-4</c:v>
                </c:pt>
                <c:pt idx="6">
                  <c:v>3.8309999999999999E-4</c:v>
                </c:pt>
                <c:pt idx="7">
                  <c:v>2.8729999999999999E-4</c:v>
                </c:pt>
                <c:pt idx="8">
                  <c:v>1.9079999999999998E-4</c:v>
                </c:pt>
                <c:pt idx="9">
                  <c:v>9.4679999999999995E-5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30-4AB9-9221-6CBDFC6CCBD2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1024873982802358"/>
                  <c:y val="-0.27049117973657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Data!$BC$12:$BC$22</c:f>
              <c:numCache>
                <c:formatCode>General</c:formatCode>
                <c:ptCount val="11"/>
                <c:pt idx="0">
                  <c:v>100</c:v>
                </c:pt>
                <c:pt idx="1">
                  <c:v>3262</c:v>
                </c:pt>
                <c:pt idx="2">
                  <c:v>6426</c:v>
                </c:pt>
                <c:pt idx="3">
                  <c:v>9589</c:v>
                </c:pt>
                <c:pt idx="4">
                  <c:v>12753</c:v>
                </c:pt>
                <c:pt idx="5">
                  <c:v>15918</c:v>
                </c:pt>
                <c:pt idx="6">
                  <c:v>19083</c:v>
                </c:pt>
                <c:pt idx="7">
                  <c:v>22249</c:v>
                </c:pt>
                <c:pt idx="8">
                  <c:v>25411</c:v>
                </c:pt>
                <c:pt idx="9">
                  <c:v>28576</c:v>
                </c:pt>
                <c:pt idx="10">
                  <c:v>31739</c:v>
                </c:pt>
              </c:numCache>
            </c:numRef>
          </c:xVal>
          <c:yVal>
            <c:numRef>
              <c:f>Data!$BB$12:$BB$22</c:f>
              <c:numCache>
                <c:formatCode>General</c:formatCode>
                <c:ptCount val="11"/>
                <c:pt idx="0">
                  <c:v>0</c:v>
                </c:pt>
                <c:pt idx="1">
                  <c:v>-9.9530000000000004E-5</c:v>
                </c:pt>
                <c:pt idx="2">
                  <c:v>-1.9623000000000001E-4</c:v>
                </c:pt>
                <c:pt idx="3">
                  <c:v>-2.9159999999999999E-4</c:v>
                </c:pt>
                <c:pt idx="4">
                  <c:v>-3.8969999999999999E-4</c:v>
                </c:pt>
                <c:pt idx="5">
                  <c:v>-4.8709999999999997E-4</c:v>
                </c:pt>
                <c:pt idx="6">
                  <c:v>-5.8370000000000004E-4</c:v>
                </c:pt>
                <c:pt idx="7">
                  <c:v>-6.8050000000000001E-4</c:v>
                </c:pt>
                <c:pt idx="8">
                  <c:v>-7.7729999999999997E-4</c:v>
                </c:pt>
                <c:pt idx="9">
                  <c:v>-8.7410000000000005E-4</c:v>
                </c:pt>
                <c:pt idx="10">
                  <c:v>-9.7100000000000007E-4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530-4AB9-9221-6CBDFC6CC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926119284242946E-2"/>
                  <c:y val="4.77296351119818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Data!$BH$2:$BH$12</c:f>
              <c:numCache>
                <c:formatCode>General</c:formatCode>
                <c:ptCount val="11"/>
                <c:pt idx="0">
                  <c:v>9.6019999999999992E-5</c:v>
                </c:pt>
                <c:pt idx="1">
                  <c:v>8.6429999999999997E-5</c:v>
                </c:pt>
                <c:pt idx="2">
                  <c:v>7.6619999999999995E-5</c:v>
                </c:pt>
                <c:pt idx="3">
                  <c:v>6.6419999999999991E-5</c:v>
                </c:pt>
                <c:pt idx="4">
                  <c:v>5.8770000000000001E-5</c:v>
                </c:pt>
                <c:pt idx="5">
                  <c:v>4.6369999999999998E-5</c:v>
                </c:pt>
                <c:pt idx="6">
                  <c:v>3.8680000000000002E-5</c:v>
                </c:pt>
                <c:pt idx="7">
                  <c:v>2.9329999999999999E-5</c:v>
                </c:pt>
                <c:pt idx="8">
                  <c:v>1.8069999999999998E-5</c:v>
                </c:pt>
                <c:pt idx="9">
                  <c:v>9.3039999999999994E-6</c:v>
                </c:pt>
                <c:pt idx="10">
                  <c:v>-5.4499999999999998E-8</c:v>
                </c:pt>
              </c:numCache>
            </c:numRef>
          </c:xVal>
          <c:yVal>
            <c:numRef>
              <c:f>Data!$D$2:$D$12</c:f>
              <c:numCache>
                <c:formatCode>General</c:formatCode>
                <c:ptCount val="11"/>
                <c:pt idx="0">
                  <c:v>-27000</c:v>
                </c:pt>
                <c:pt idx="1">
                  <c:v>-24300</c:v>
                </c:pt>
                <c:pt idx="2">
                  <c:v>-21600</c:v>
                </c:pt>
                <c:pt idx="3">
                  <c:v>-18900</c:v>
                </c:pt>
                <c:pt idx="4">
                  <c:v>-16200</c:v>
                </c:pt>
                <c:pt idx="5">
                  <c:v>-13500</c:v>
                </c:pt>
                <c:pt idx="6">
                  <c:v>-10800</c:v>
                </c:pt>
                <c:pt idx="7">
                  <c:v>-8100</c:v>
                </c:pt>
                <c:pt idx="8">
                  <c:v>-5400</c:v>
                </c:pt>
                <c:pt idx="9">
                  <c:v>-2700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83-4A18-9E47-94358C838EC2}"/>
            </c:ext>
          </c:extLst>
        </c:ser>
        <c:ser>
          <c:idx val="1"/>
          <c:order val="1"/>
          <c:tx>
            <c:v>DACdcP_I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1304807406993295"/>
                  <c:y val="0.1210818007372566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Data!$BH$12:$BH$22</c:f>
              <c:numCache>
                <c:formatCode>General</c:formatCode>
                <c:ptCount val="11"/>
                <c:pt idx="0">
                  <c:v>-5.4499999999999998E-8</c:v>
                </c:pt>
                <c:pt idx="1">
                  <c:v>-8.4139999999999994E-6</c:v>
                </c:pt>
                <c:pt idx="2">
                  <c:v>-1.8716000000000002E-5</c:v>
                </c:pt>
                <c:pt idx="3">
                  <c:v>-2.745E-5</c:v>
                </c:pt>
                <c:pt idx="4">
                  <c:v>-3.854E-5</c:v>
                </c:pt>
                <c:pt idx="5">
                  <c:v>-4.9210000000000005E-5</c:v>
                </c:pt>
                <c:pt idx="6">
                  <c:v>-5.6990000000000002E-5</c:v>
                </c:pt>
                <c:pt idx="7">
                  <c:v>-6.7889999999999989E-5</c:v>
                </c:pt>
                <c:pt idx="8">
                  <c:v>-7.771E-5</c:v>
                </c:pt>
                <c:pt idx="9">
                  <c:v>-8.6139999999999999E-5</c:v>
                </c:pt>
                <c:pt idx="10">
                  <c:v>-9.7E-5</c:v>
                </c:pt>
              </c:numCache>
            </c:numRef>
          </c:xVal>
          <c:yVal>
            <c:numRef>
              <c:f>Data!$D$12:$D$22</c:f>
              <c:numCache>
                <c:formatCode>General</c:formatCode>
                <c:ptCount val="11"/>
                <c:pt idx="0">
                  <c:v>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10800</c:v>
                </c:pt>
                <c:pt idx="5">
                  <c:v>13500</c:v>
                </c:pt>
                <c:pt idx="6">
                  <c:v>16200</c:v>
                </c:pt>
                <c:pt idx="7">
                  <c:v>18900</c:v>
                </c:pt>
                <c:pt idx="8">
                  <c:v>21600</c:v>
                </c:pt>
                <c:pt idx="9">
                  <c:v>24300</c:v>
                </c:pt>
                <c:pt idx="10">
                  <c:v>27000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83-4A18-9E47-94358C838E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Received </a:t>
                </a:r>
                <a:r>
                  <a:rPr lang="en-US" b="1"/>
                  <a:t>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8453447764636113"/>
                  <c:y val="-2.32728751382570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Data!$BI$2:$BI$12</c:f>
              <c:numCache>
                <c:formatCode>General</c:formatCode>
                <c:ptCount val="11"/>
                <c:pt idx="0">
                  <c:v>-31532</c:v>
                </c:pt>
                <c:pt idx="1">
                  <c:v>-28370</c:v>
                </c:pt>
                <c:pt idx="2">
                  <c:v>-25206</c:v>
                </c:pt>
                <c:pt idx="3">
                  <c:v>-22045</c:v>
                </c:pt>
                <c:pt idx="4">
                  <c:v>-18883</c:v>
                </c:pt>
                <c:pt idx="5">
                  <c:v>-15720</c:v>
                </c:pt>
                <c:pt idx="6">
                  <c:v>-12555</c:v>
                </c:pt>
                <c:pt idx="7">
                  <c:v>-9391</c:v>
                </c:pt>
                <c:pt idx="8">
                  <c:v>-6228</c:v>
                </c:pt>
                <c:pt idx="9">
                  <c:v>-3064</c:v>
                </c:pt>
                <c:pt idx="10">
                  <c:v>98</c:v>
                </c:pt>
              </c:numCache>
            </c:numRef>
          </c:xVal>
          <c:yVal>
            <c:numRef>
              <c:f>Data!$BH$2:$BH$12</c:f>
              <c:numCache>
                <c:formatCode>General</c:formatCode>
                <c:ptCount val="11"/>
                <c:pt idx="0">
                  <c:v>9.6019999999999992E-5</c:v>
                </c:pt>
                <c:pt idx="1">
                  <c:v>8.6429999999999997E-5</c:v>
                </c:pt>
                <c:pt idx="2">
                  <c:v>7.6619999999999995E-5</c:v>
                </c:pt>
                <c:pt idx="3">
                  <c:v>6.6419999999999991E-5</c:v>
                </c:pt>
                <c:pt idx="4">
                  <c:v>5.8770000000000001E-5</c:v>
                </c:pt>
                <c:pt idx="5">
                  <c:v>4.6369999999999998E-5</c:v>
                </c:pt>
                <c:pt idx="6">
                  <c:v>3.8680000000000002E-5</c:v>
                </c:pt>
                <c:pt idx="7">
                  <c:v>2.9329999999999999E-5</c:v>
                </c:pt>
                <c:pt idx="8">
                  <c:v>1.8069999999999998E-5</c:v>
                </c:pt>
                <c:pt idx="9">
                  <c:v>9.3039999999999994E-6</c:v>
                </c:pt>
                <c:pt idx="10">
                  <c:v>-5.4499999999999998E-8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90-4A65-B719-B8D1657882F6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1024873982802358"/>
                  <c:y val="-0.27049117973657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Data!$BI$12:$BI$22</c:f>
              <c:numCache>
                <c:formatCode>General</c:formatCode>
                <c:ptCount val="11"/>
                <c:pt idx="0">
                  <c:v>98</c:v>
                </c:pt>
                <c:pt idx="1">
                  <c:v>3261</c:v>
                </c:pt>
                <c:pt idx="2">
                  <c:v>6425</c:v>
                </c:pt>
                <c:pt idx="3">
                  <c:v>9589</c:v>
                </c:pt>
                <c:pt idx="4">
                  <c:v>12752</c:v>
                </c:pt>
                <c:pt idx="5">
                  <c:v>15917</c:v>
                </c:pt>
                <c:pt idx="6">
                  <c:v>19082</c:v>
                </c:pt>
                <c:pt idx="7">
                  <c:v>22248</c:v>
                </c:pt>
                <c:pt idx="8">
                  <c:v>25410</c:v>
                </c:pt>
                <c:pt idx="9">
                  <c:v>28575</c:v>
                </c:pt>
                <c:pt idx="10">
                  <c:v>31738</c:v>
                </c:pt>
              </c:numCache>
            </c:numRef>
          </c:xVal>
          <c:yVal>
            <c:numRef>
              <c:f>Data!$BH$12:$BH$22</c:f>
              <c:numCache>
                <c:formatCode>General</c:formatCode>
                <c:ptCount val="11"/>
                <c:pt idx="0">
                  <c:v>-5.4499999999999998E-8</c:v>
                </c:pt>
                <c:pt idx="1">
                  <c:v>-8.4139999999999994E-6</c:v>
                </c:pt>
                <c:pt idx="2">
                  <c:v>-1.8716000000000002E-5</c:v>
                </c:pt>
                <c:pt idx="3">
                  <c:v>-2.745E-5</c:v>
                </c:pt>
                <c:pt idx="4">
                  <c:v>-3.854E-5</c:v>
                </c:pt>
                <c:pt idx="5">
                  <c:v>-4.9210000000000005E-5</c:v>
                </c:pt>
                <c:pt idx="6">
                  <c:v>-5.6990000000000002E-5</c:v>
                </c:pt>
                <c:pt idx="7">
                  <c:v>-6.7889999999999989E-5</c:v>
                </c:pt>
                <c:pt idx="8">
                  <c:v>-7.771E-5</c:v>
                </c:pt>
                <c:pt idx="9">
                  <c:v>-8.6139999999999999E-5</c:v>
                </c:pt>
                <c:pt idx="10">
                  <c:v>-9.7E-5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90-4A65-B719-B8D165788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2.4726596675415522E-2"/>
                  <c:y val="-0.57250328083989499"/>
                </c:manualLayout>
              </c:layout>
              <c:numFmt formatCode="0.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'HF gain'!$O$13:$O$92</c:f>
              <c:numCache>
                <c:formatCode>General</c:formatCode>
                <c:ptCount val="80"/>
                <c:pt idx="0">
                  <c:v>1000000</c:v>
                </c:pt>
                <c:pt idx="1">
                  <c:v>1000000</c:v>
                </c:pt>
                <c:pt idx="2">
                  <c:v>1000000</c:v>
                </c:pt>
                <c:pt idx="3">
                  <c:v>1000000</c:v>
                </c:pt>
                <c:pt idx="4">
                  <c:v>1000000</c:v>
                </c:pt>
                <c:pt idx="5">
                  <c:v>1000000</c:v>
                </c:pt>
                <c:pt idx="6">
                  <c:v>1000000</c:v>
                </c:pt>
                <c:pt idx="7">
                  <c:v>1000000</c:v>
                </c:pt>
                <c:pt idx="8">
                  <c:v>1000000</c:v>
                </c:pt>
                <c:pt idx="9">
                  <c:v>1000000</c:v>
                </c:pt>
                <c:pt idx="10">
                  <c:v>859999.9</c:v>
                </c:pt>
                <c:pt idx="11">
                  <c:v>859999.9</c:v>
                </c:pt>
                <c:pt idx="12">
                  <c:v>859999.9</c:v>
                </c:pt>
                <c:pt idx="13">
                  <c:v>859999.9</c:v>
                </c:pt>
                <c:pt idx="14">
                  <c:v>859999.9</c:v>
                </c:pt>
                <c:pt idx="15">
                  <c:v>859999.9</c:v>
                </c:pt>
                <c:pt idx="16">
                  <c:v>859999.9</c:v>
                </c:pt>
                <c:pt idx="17">
                  <c:v>859999.9</c:v>
                </c:pt>
                <c:pt idx="18">
                  <c:v>859999.9</c:v>
                </c:pt>
                <c:pt idx="19">
                  <c:v>859999.9</c:v>
                </c:pt>
                <c:pt idx="20">
                  <c:v>730000</c:v>
                </c:pt>
                <c:pt idx="21">
                  <c:v>730000</c:v>
                </c:pt>
                <c:pt idx="22">
                  <c:v>730000</c:v>
                </c:pt>
                <c:pt idx="23">
                  <c:v>730000</c:v>
                </c:pt>
                <c:pt idx="24">
                  <c:v>730000</c:v>
                </c:pt>
                <c:pt idx="25">
                  <c:v>730000</c:v>
                </c:pt>
                <c:pt idx="26">
                  <c:v>730000</c:v>
                </c:pt>
                <c:pt idx="27">
                  <c:v>730000</c:v>
                </c:pt>
                <c:pt idx="28">
                  <c:v>730000</c:v>
                </c:pt>
                <c:pt idx="29">
                  <c:v>730000</c:v>
                </c:pt>
                <c:pt idx="30">
                  <c:v>589999.9</c:v>
                </c:pt>
                <c:pt idx="31">
                  <c:v>589999.9</c:v>
                </c:pt>
                <c:pt idx="32">
                  <c:v>589999.9</c:v>
                </c:pt>
                <c:pt idx="33">
                  <c:v>589999.9</c:v>
                </c:pt>
                <c:pt idx="34">
                  <c:v>589999.9</c:v>
                </c:pt>
                <c:pt idx="35">
                  <c:v>589999.9</c:v>
                </c:pt>
                <c:pt idx="36">
                  <c:v>589999.9</c:v>
                </c:pt>
                <c:pt idx="37">
                  <c:v>589999.9</c:v>
                </c:pt>
                <c:pt idx="38">
                  <c:v>589999.9</c:v>
                </c:pt>
                <c:pt idx="39">
                  <c:v>589999.9</c:v>
                </c:pt>
                <c:pt idx="40">
                  <c:v>460000</c:v>
                </c:pt>
                <c:pt idx="41">
                  <c:v>460000</c:v>
                </c:pt>
                <c:pt idx="42">
                  <c:v>460000</c:v>
                </c:pt>
                <c:pt idx="43">
                  <c:v>460000</c:v>
                </c:pt>
                <c:pt idx="44">
                  <c:v>460000</c:v>
                </c:pt>
                <c:pt idx="45">
                  <c:v>460000</c:v>
                </c:pt>
                <c:pt idx="46">
                  <c:v>460000</c:v>
                </c:pt>
                <c:pt idx="47">
                  <c:v>460000</c:v>
                </c:pt>
                <c:pt idx="48">
                  <c:v>460000</c:v>
                </c:pt>
                <c:pt idx="49">
                  <c:v>460000</c:v>
                </c:pt>
                <c:pt idx="50">
                  <c:v>319999.90000000002</c:v>
                </c:pt>
                <c:pt idx="51">
                  <c:v>319999.90000000002</c:v>
                </c:pt>
                <c:pt idx="52">
                  <c:v>319999.90000000002</c:v>
                </c:pt>
                <c:pt idx="53">
                  <c:v>319999.90000000002</c:v>
                </c:pt>
                <c:pt idx="54">
                  <c:v>319999.90000000002</c:v>
                </c:pt>
                <c:pt idx="55">
                  <c:v>319999.90000000002</c:v>
                </c:pt>
                <c:pt idx="56">
                  <c:v>319999.90000000002</c:v>
                </c:pt>
                <c:pt idx="57">
                  <c:v>319999.90000000002</c:v>
                </c:pt>
                <c:pt idx="58">
                  <c:v>319999.90000000002</c:v>
                </c:pt>
                <c:pt idx="59">
                  <c:v>319999.90000000002</c:v>
                </c:pt>
                <c:pt idx="60">
                  <c:v>190000</c:v>
                </c:pt>
                <c:pt idx="61">
                  <c:v>190000</c:v>
                </c:pt>
                <c:pt idx="62">
                  <c:v>190000</c:v>
                </c:pt>
                <c:pt idx="63">
                  <c:v>190000</c:v>
                </c:pt>
                <c:pt idx="64">
                  <c:v>190000</c:v>
                </c:pt>
                <c:pt idx="65">
                  <c:v>190000</c:v>
                </c:pt>
                <c:pt idx="66">
                  <c:v>190000</c:v>
                </c:pt>
                <c:pt idx="67">
                  <c:v>190000</c:v>
                </c:pt>
                <c:pt idx="68">
                  <c:v>190000</c:v>
                </c:pt>
                <c:pt idx="69">
                  <c:v>190000</c:v>
                </c:pt>
                <c:pt idx="70">
                  <c:v>50999.97</c:v>
                </c:pt>
                <c:pt idx="71">
                  <c:v>50999.97</c:v>
                </c:pt>
                <c:pt idx="72">
                  <c:v>50999.97</c:v>
                </c:pt>
                <c:pt idx="73">
                  <c:v>50999.97</c:v>
                </c:pt>
                <c:pt idx="74">
                  <c:v>50999.97</c:v>
                </c:pt>
                <c:pt idx="75">
                  <c:v>50999.97</c:v>
                </c:pt>
                <c:pt idx="76">
                  <c:v>50999.97</c:v>
                </c:pt>
                <c:pt idx="77">
                  <c:v>50999.97</c:v>
                </c:pt>
                <c:pt idx="78">
                  <c:v>50999.97</c:v>
                </c:pt>
                <c:pt idx="79">
                  <c:v>50999.97</c:v>
                </c:pt>
              </c:numCache>
            </c:numRef>
          </c:xVal>
          <c:yVal>
            <c:numRef>
              <c:f>'HF gain'!$M$13:$M$92</c:f>
              <c:numCache>
                <c:formatCode>General</c:formatCode>
                <c:ptCount val="80"/>
                <c:pt idx="0">
                  <c:v>100.15528000000002</c:v>
                </c:pt>
                <c:pt idx="1">
                  <c:v>100.15528000000002</c:v>
                </c:pt>
                <c:pt idx="2">
                  <c:v>100.15528000000002</c:v>
                </c:pt>
                <c:pt idx="3">
                  <c:v>100.15528000000002</c:v>
                </c:pt>
                <c:pt idx="4">
                  <c:v>100.15528000000002</c:v>
                </c:pt>
                <c:pt idx="5">
                  <c:v>100.15528000000002</c:v>
                </c:pt>
                <c:pt idx="6">
                  <c:v>100.15528000000002</c:v>
                </c:pt>
                <c:pt idx="7">
                  <c:v>100.15528000000002</c:v>
                </c:pt>
                <c:pt idx="8">
                  <c:v>100.15528000000002</c:v>
                </c:pt>
                <c:pt idx="9">
                  <c:v>100.15528000000002</c:v>
                </c:pt>
                <c:pt idx="10">
                  <c:v>99.544115000000005</c:v>
                </c:pt>
                <c:pt idx="11">
                  <c:v>99.544115000000005</c:v>
                </c:pt>
                <c:pt idx="12">
                  <c:v>99.544115000000005</c:v>
                </c:pt>
                <c:pt idx="13">
                  <c:v>99.544115000000005</c:v>
                </c:pt>
                <c:pt idx="14">
                  <c:v>99.544115000000005</c:v>
                </c:pt>
                <c:pt idx="15">
                  <c:v>99.544115000000005</c:v>
                </c:pt>
                <c:pt idx="16">
                  <c:v>99.544115000000005</c:v>
                </c:pt>
                <c:pt idx="17">
                  <c:v>99.544115000000005</c:v>
                </c:pt>
                <c:pt idx="18">
                  <c:v>99.544115000000005</c:v>
                </c:pt>
                <c:pt idx="19">
                  <c:v>99.544115000000005</c:v>
                </c:pt>
                <c:pt idx="20">
                  <c:v>99.252413000000004</c:v>
                </c:pt>
                <c:pt idx="21">
                  <c:v>99.252413000000004</c:v>
                </c:pt>
                <c:pt idx="22">
                  <c:v>99.252413000000004</c:v>
                </c:pt>
                <c:pt idx="23">
                  <c:v>99.252413000000004</c:v>
                </c:pt>
                <c:pt idx="24">
                  <c:v>99.252413000000004</c:v>
                </c:pt>
                <c:pt idx="25">
                  <c:v>99.252413000000004</c:v>
                </c:pt>
                <c:pt idx="26">
                  <c:v>99.252413000000004</c:v>
                </c:pt>
                <c:pt idx="27">
                  <c:v>99.252413000000004</c:v>
                </c:pt>
                <c:pt idx="28">
                  <c:v>99.252413000000004</c:v>
                </c:pt>
                <c:pt idx="29">
                  <c:v>99.252413000000004</c:v>
                </c:pt>
                <c:pt idx="30">
                  <c:v>99.213341</c:v>
                </c:pt>
                <c:pt idx="31">
                  <c:v>99.213341</c:v>
                </c:pt>
                <c:pt idx="32">
                  <c:v>99.213341</c:v>
                </c:pt>
                <c:pt idx="33">
                  <c:v>99.213341</c:v>
                </c:pt>
                <c:pt idx="34">
                  <c:v>99.213341</c:v>
                </c:pt>
                <c:pt idx="35">
                  <c:v>99.213341</c:v>
                </c:pt>
                <c:pt idx="36">
                  <c:v>99.213341</c:v>
                </c:pt>
                <c:pt idx="37">
                  <c:v>99.213341</c:v>
                </c:pt>
                <c:pt idx="38">
                  <c:v>99.213341</c:v>
                </c:pt>
                <c:pt idx="39">
                  <c:v>99.213341</c:v>
                </c:pt>
                <c:pt idx="40">
                  <c:v>99.387019999999993</c:v>
                </c:pt>
                <c:pt idx="41">
                  <c:v>99.387019999999993</c:v>
                </c:pt>
                <c:pt idx="42">
                  <c:v>99.387019999999993</c:v>
                </c:pt>
                <c:pt idx="43">
                  <c:v>99.387019999999993</c:v>
                </c:pt>
                <c:pt idx="44">
                  <c:v>99.387019999999993</c:v>
                </c:pt>
                <c:pt idx="45">
                  <c:v>99.387019999999993</c:v>
                </c:pt>
                <c:pt idx="46">
                  <c:v>99.387019999999993</c:v>
                </c:pt>
                <c:pt idx="47">
                  <c:v>99.387019999999993</c:v>
                </c:pt>
                <c:pt idx="48">
                  <c:v>99.387019999999993</c:v>
                </c:pt>
                <c:pt idx="49">
                  <c:v>99.387019999999993</c:v>
                </c:pt>
                <c:pt idx="50">
                  <c:v>99.741448000000005</c:v>
                </c:pt>
                <c:pt idx="51">
                  <c:v>99.741448000000005</c:v>
                </c:pt>
                <c:pt idx="52">
                  <c:v>99.741448000000005</c:v>
                </c:pt>
                <c:pt idx="53">
                  <c:v>99.741448000000005</c:v>
                </c:pt>
                <c:pt idx="54">
                  <c:v>99.741448000000005</c:v>
                </c:pt>
                <c:pt idx="55">
                  <c:v>99.741448000000005</c:v>
                </c:pt>
                <c:pt idx="56">
                  <c:v>99.741448000000005</c:v>
                </c:pt>
                <c:pt idx="57">
                  <c:v>99.741448000000005</c:v>
                </c:pt>
                <c:pt idx="58">
                  <c:v>99.741448000000005</c:v>
                </c:pt>
                <c:pt idx="59">
                  <c:v>99.741448000000005</c:v>
                </c:pt>
                <c:pt idx="60">
                  <c:v>100.01634800000001</c:v>
                </c:pt>
                <c:pt idx="61">
                  <c:v>100.01634800000001</c:v>
                </c:pt>
                <c:pt idx="62">
                  <c:v>100.01634800000001</c:v>
                </c:pt>
                <c:pt idx="63">
                  <c:v>100.01634800000001</c:v>
                </c:pt>
                <c:pt idx="64">
                  <c:v>100.01634800000001</c:v>
                </c:pt>
                <c:pt idx="65">
                  <c:v>100.01634800000001</c:v>
                </c:pt>
                <c:pt idx="66">
                  <c:v>100.01634800000001</c:v>
                </c:pt>
                <c:pt idx="67">
                  <c:v>100.01634800000001</c:v>
                </c:pt>
                <c:pt idx="68">
                  <c:v>100.01634800000001</c:v>
                </c:pt>
                <c:pt idx="69">
                  <c:v>100.01634800000001</c:v>
                </c:pt>
                <c:pt idx="70">
                  <c:v>100.12146</c:v>
                </c:pt>
                <c:pt idx="71">
                  <c:v>100.12146</c:v>
                </c:pt>
                <c:pt idx="72">
                  <c:v>100.12146</c:v>
                </c:pt>
                <c:pt idx="73">
                  <c:v>100.12146</c:v>
                </c:pt>
                <c:pt idx="74">
                  <c:v>100.12146</c:v>
                </c:pt>
                <c:pt idx="75">
                  <c:v>100.12146</c:v>
                </c:pt>
                <c:pt idx="76">
                  <c:v>100.12146</c:v>
                </c:pt>
                <c:pt idx="77">
                  <c:v>100.12146</c:v>
                </c:pt>
                <c:pt idx="78">
                  <c:v>100.12146</c:v>
                </c:pt>
                <c:pt idx="79">
                  <c:v>100.12146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E8-475A-A9E0-1B2E4531B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408784"/>
        <c:axId val="351409112"/>
      </c:scatterChart>
      <c:valAx>
        <c:axId val="351408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409112"/>
        <c:crosses val="autoZero"/>
        <c:crossBetween val="midCat"/>
      </c:valAx>
      <c:valAx>
        <c:axId val="351409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408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6350</xdr:rowOff>
    </xdr:from>
    <xdr:to>
      <xdr:col>9</xdr:col>
      <xdr:colOff>6350</xdr:colOff>
      <xdr:row>14</xdr:row>
      <xdr:rowOff>6350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6350</xdr:colOff>
      <xdr:row>3</xdr:row>
      <xdr:rowOff>6350</xdr:rowOff>
    </xdr:from>
    <xdr:to>
      <xdr:col>18</xdr:col>
      <xdr:colOff>19050</xdr:colOff>
      <xdr:row>14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14</xdr:row>
      <xdr:rowOff>0</xdr:rowOff>
    </xdr:from>
    <xdr:to>
      <xdr:col>8</xdr:col>
      <xdr:colOff>603250</xdr:colOff>
      <xdr:row>26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14</xdr:row>
      <xdr:rowOff>6350</xdr:rowOff>
    </xdr:from>
    <xdr:to>
      <xdr:col>18</xdr:col>
      <xdr:colOff>12700</xdr:colOff>
      <xdr:row>26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0</xdr:row>
          <xdr:rowOff>76200</xdr:rowOff>
        </xdr:from>
        <xdr:to>
          <xdr:col>6</xdr:col>
          <xdr:colOff>518160</xdr:colOff>
          <xdr:row>2</xdr:row>
          <xdr:rowOff>60960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Run Voltage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144780</xdr:colOff>
          <xdr:row>0</xdr:row>
          <xdr:rowOff>68580</xdr:rowOff>
        </xdr:from>
        <xdr:to>
          <xdr:col>8</xdr:col>
          <xdr:colOff>518160</xdr:colOff>
          <xdr:row>2</xdr:row>
          <xdr:rowOff>60960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213360</xdr:colOff>
          <xdr:row>0</xdr:row>
          <xdr:rowOff>99060</xdr:rowOff>
        </xdr:from>
        <xdr:to>
          <xdr:col>7</xdr:col>
          <xdr:colOff>228600</xdr:colOff>
          <xdr:row>2</xdr:row>
          <xdr:rowOff>83820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Run Range 0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12700</xdr:colOff>
      <xdr:row>3</xdr:row>
      <xdr:rowOff>6350</xdr:rowOff>
    </xdr:from>
    <xdr:to>
      <xdr:col>9</xdr:col>
      <xdr:colOff>12700</xdr:colOff>
      <xdr:row>24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28575</xdr:colOff>
      <xdr:row>3</xdr:row>
      <xdr:rowOff>15875</xdr:rowOff>
    </xdr:from>
    <xdr:to>
      <xdr:col>18</xdr:col>
      <xdr:colOff>28575</xdr:colOff>
      <xdr:row>24</xdr:row>
      <xdr:rowOff>187325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388620</xdr:colOff>
          <xdr:row>0</xdr:row>
          <xdr:rowOff>99060</xdr:rowOff>
        </xdr:from>
        <xdr:to>
          <xdr:col>9</xdr:col>
          <xdr:colOff>419100</xdr:colOff>
          <xdr:row>2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251460</xdr:colOff>
          <xdr:row>0</xdr:row>
          <xdr:rowOff>99060</xdr:rowOff>
        </xdr:from>
        <xdr:to>
          <xdr:col>7</xdr:col>
          <xdr:colOff>251460</xdr:colOff>
          <xdr:row>2</xdr:row>
          <xdr:rowOff>99060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Run Range 1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12700</xdr:colOff>
      <xdr:row>2</xdr:row>
      <xdr:rowOff>177800</xdr:rowOff>
    </xdr:from>
    <xdr:to>
      <xdr:col>9</xdr:col>
      <xdr:colOff>12700</xdr:colOff>
      <xdr:row>24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19050</xdr:colOff>
      <xdr:row>2</xdr:row>
      <xdr:rowOff>177800</xdr:rowOff>
    </xdr:from>
    <xdr:to>
      <xdr:col>18</xdr:col>
      <xdr:colOff>19050</xdr:colOff>
      <xdr:row>24</xdr:row>
      <xdr:rowOff>177800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411480</xdr:colOff>
          <xdr:row>0</xdr:row>
          <xdr:rowOff>99060</xdr:rowOff>
        </xdr:from>
        <xdr:to>
          <xdr:col>9</xdr:col>
          <xdr:colOff>403860</xdr:colOff>
          <xdr:row>2</xdr:row>
          <xdr:rowOff>76200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259080</xdr:colOff>
          <xdr:row>0</xdr:row>
          <xdr:rowOff>106680</xdr:rowOff>
        </xdr:from>
        <xdr:to>
          <xdr:col>7</xdr:col>
          <xdr:colOff>251460</xdr:colOff>
          <xdr:row>2</xdr:row>
          <xdr:rowOff>99060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Run Range 2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3</xdr:row>
      <xdr:rowOff>6350</xdr:rowOff>
    </xdr:from>
    <xdr:to>
      <xdr:col>9</xdr:col>
      <xdr:colOff>19050</xdr:colOff>
      <xdr:row>24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92075</xdr:colOff>
      <xdr:row>3</xdr:row>
      <xdr:rowOff>15875</xdr:rowOff>
    </xdr:from>
    <xdr:to>
      <xdr:col>18</xdr:col>
      <xdr:colOff>73025</xdr:colOff>
      <xdr:row>24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403860</xdr:colOff>
          <xdr:row>0</xdr:row>
          <xdr:rowOff>99060</xdr:rowOff>
        </xdr:from>
        <xdr:to>
          <xdr:col>9</xdr:col>
          <xdr:colOff>403860</xdr:colOff>
          <xdr:row>2</xdr:row>
          <xdr:rowOff>83820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0</xdr:row>
          <xdr:rowOff>76200</xdr:rowOff>
        </xdr:from>
        <xdr:to>
          <xdr:col>7</xdr:col>
          <xdr:colOff>228600</xdr:colOff>
          <xdr:row>2</xdr:row>
          <xdr:rowOff>60960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Run Range 3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3</xdr:row>
      <xdr:rowOff>6350</xdr:rowOff>
    </xdr:from>
    <xdr:to>
      <xdr:col>9</xdr:col>
      <xdr:colOff>6350</xdr:colOff>
      <xdr:row>25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6350</xdr:colOff>
      <xdr:row>3</xdr:row>
      <xdr:rowOff>6350</xdr:rowOff>
    </xdr:from>
    <xdr:to>
      <xdr:col>17</xdr:col>
      <xdr:colOff>184150</xdr:colOff>
      <xdr:row>25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403860</xdr:colOff>
          <xdr:row>0</xdr:row>
          <xdr:rowOff>60960</xdr:rowOff>
        </xdr:from>
        <xdr:to>
          <xdr:col>9</xdr:col>
          <xdr:colOff>373380</xdr:colOff>
          <xdr:row>2</xdr:row>
          <xdr:rowOff>60960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2</xdr:row>
          <xdr:rowOff>99060</xdr:rowOff>
        </xdr:from>
        <xdr:to>
          <xdr:col>9</xdr:col>
          <xdr:colOff>403860</xdr:colOff>
          <xdr:row>4</xdr:row>
          <xdr:rowOff>76200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Run Range 4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9</xdr:row>
      <xdr:rowOff>0</xdr:rowOff>
    </xdr:from>
    <xdr:to>
      <xdr:col>10</xdr:col>
      <xdr:colOff>3175</xdr:colOff>
      <xdr:row>28</xdr:row>
      <xdr:rowOff>155576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247650</xdr:colOff>
      <xdr:row>9</xdr:row>
      <xdr:rowOff>9525</xdr:rowOff>
    </xdr:from>
    <xdr:to>
      <xdr:col>19</xdr:col>
      <xdr:colOff>336550</xdr:colOff>
      <xdr:row>28</xdr:row>
      <xdr:rowOff>165101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5</xdr:row>
          <xdr:rowOff>99060</xdr:rowOff>
        </xdr:from>
        <xdr:to>
          <xdr:col>9</xdr:col>
          <xdr:colOff>403860</xdr:colOff>
          <xdr:row>7</xdr:row>
          <xdr:rowOff>76200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2</xdr:row>
          <xdr:rowOff>99060</xdr:rowOff>
        </xdr:from>
        <xdr:to>
          <xdr:col>9</xdr:col>
          <xdr:colOff>403860</xdr:colOff>
          <xdr:row>4</xdr:row>
          <xdr:rowOff>76200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Run Range 5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9</xdr:row>
      <xdr:rowOff>0</xdr:rowOff>
    </xdr:from>
    <xdr:to>
      <xdr:col>9</xdr:col>
      <xdr:colOff>584200</xdr:colOff>
      <xdr:row>28</xdr:row>
      <xdr:rowOff>155576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85725</xdr:colOff>
      <xdr:row>8</xdr:row>
      <xdr:rowOff>180975</xdr:rowOff>
    </xdr:from>
    <xdr:to>
      <xdr:col>19</xdr:col>
      <xdr:colOff>174625</xdr:colOff>
      <xdr:row>28</xdr:row>
      <xdr:rowOff>146051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5</xdr:row>
          <xdr:rowOff>99060</xdr:rowOff>
        </xdr:from>
        <xdr:to>
          <xdr:col>9</xdr:col>
          <xdr:colOff>403860</xdr:colOff>
          <xdr:row>7</xdr:row>
          <xdr:rowOff>76200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8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2</xdr:row>
          <xdr:rowOff>99060</xdr:rowOff>
        </xdr:from>
        <xdr:to>
          <xdr:col>9</xdr:col>
          <xdr:colOff>403860</xdr:colOff>
          <xdr:row>4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Run Range 6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9</xdr:row>
      <xdr:rowOff>0</xdr:rowOff>
    </xdr:from>
    <xdr:to>
      <xdr:col>9</xdr:col>
      <xdr:colOff>584200</xdr:colOff>
      <xdr:row>28</xdr:row>
      <xdr:rowOff>155576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66675</xdr:colOff>
      <xdr:row>9</xdr:row>
      <xdr:rowOff>0</xdr:rowOff>
    </xdr:from>
    <xdr:to>
      <xdr:col>19</xdr:col>
      <xdr:colOff>155575</xdr:colOff>
      <xdr:row>28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5</xdr:row>
          <xdr:rowOff>99060</xdr:rowOff>
        </xdr:from>
        <xdr:to>
          <xdr:col>9</xdr:col>
          <xdr:colOff>403860</xdr:colOff>
          <xdr:row>7</xdr:row>
          <xdr:rowOff>76200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2</xdr:row>
          <xdr:rowOff>99060</xdr:rowOff>
        </xdr:from>
        <xdr:to>
          <xdr:col>9</xdr:col>
          <xdr:colOff>403860</xdr:colOff>
          <xdr:row>4</xdr:row>
          <xdr:rowOff>76200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Run Range 7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9</xdr:row>
      <xdr:rowOff>0</xdr:rowOff>
    </xdr:from>
    <xdr:to>
      <xdr:col>9</xdr:col>
      <xdr:colOff>584200</xdr:colOff>
      <xdr:row>28</xdr:row>
      <xdr:rowOff>155576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209550</xdr:colOff>
      <xdr:row>8</xdr:row>
      <xdr:rowOff>152400</xdr:rowOff>
    </xdr:from>
    <xdr:to>
      <xdr:col>20</xdr:col>
      <xdr:colOff>203200</xdr:colOff>
      <xdr:row>28</xdr:row>
      <xdr:rowOff>117476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5</xdr:row>
          <xdr:rowOff>99060</xdr:rowOff>
        </xdr:from>
        <xdr:to>
          <xdr:col>9</xdr:col>
          <xdr:colOff>403860</xdr:colOff>
          <xdr:row>7</xdr:row>
          <xdr:rowOff>76200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A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266700</xdr:rowOff>
        </xdr:from>
        <xdr:to>
          <xdr:col>6</xdr:col>
          <xdr:colOff>487680</xdr:colOff>
          <xdr:row>0</xdr:row>
          <xdr:rowOff>609600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B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0</xdr:row>
          <xdr:rowOff>281940</xdr:rowOff>
        </xdr:from>
        <xdr:to>
          <xdr:col>6</xdr:col>
          <xdr:colOff>449580</xdr:colOff>
          <xdr:row>0</xdr:row>
          <xdr:rowOff>624840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C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0</xdr:row>
          <xdr:rowOff>76200</xdr:rowOff>
        </xdr:from>
        <xdr:to>
          <xdr:col>6</xdr:col>
          <xdr:colOff>449580</xdr:colOff>
          <xdr:row>0</xdr:row>
          <xdr:rowOff>533400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D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502920</xdr:colOff>
      <xdr:row>17</xdr:row>
      <xdr:rowOff>11430</xdr:rowOff>
    </xdr:from>
    <xdr:to>
      <xdr:col>11</xdr:col>
      <xdr:colOff>106680</xdr:colOff>
      <xdr:row>32</xdr:row>
      <xdr:rowOff>3810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2</xdr:row>
          <xdr:rowOff>99060</xdr:rowOff>
        </xdr:from>
        <xdr:to>
          <xdr:col>1</xdr:col>
          <xdr:colOff>708660</xdr:colOff>
          <xdr:row>4</xdr:row>
          <xdr:rowOff>76200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E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Save Cal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594360</xdr:colOff>
          <xdr:row>2</xdr:row>
          <xdr:rowOff>99060</xdr:rowOff>
        </xdr:from>
        <xdr:to>
          <xdr:col>7</xdr:col>
          <xdr:colOff>480060</xdr:colOff>
          <xdr:row>4</xdr:row>
          <xdr:rowOff>83820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E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Import Calibration Response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</xdr:colOff>
          <xdr:row>2</xdr:row>
          <xdr:rowOff>99060</xdr:rowOff>
        </xdr:from>
        <xdr:to>
          <xdr:col>3</xdr:col>
          <xdr:colOff>441960</xdr:colOff>
          <xdr:row>4</xdr:row>
          <xdr:rowOff>83820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E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Send Cal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175260</xdr:colOff>
          <xdr:row>2</xdr:row>
          <xdr:rowOff>106680</xdr:rowOff>
        </xdr:from>
        <xdr:to>
          <xdr:col>1</xdr:col>
          <xdr:colOff>2849880</xdr:colOff>
          <xdr:row>4</xdr:row>
          <xdr:rowOff>99060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F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SAVE_HW_DATA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2</xdr:row>
          <xdr:rowOff>114300</xdr:rowOff>
        </xdr:from>
        <xdr:to>
          <xdr:col>6</xdr:col>
          <xdr:colOff>426720</xdr:colOff>
          <xdr:row>4</xdr:row>
          <xdr:rowOff>99060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F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SEND_HW_DATA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</xdr:colOff>
          <xdr:row>2</xdr:row>
          <xdr:rowOff>76200</xdr:rowOff>
        </xdr:from>
        <xdr:to>
          <xdr:col>8</xdr:col>
          <xdr:colOff>1981200</xdr:colOff>
          <xdr:row>4</xdr:row>
          <xdr:rowOff>83820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F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SAVE_CHANNEL_NAME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198120</xdr:colOff>
          <xdr:row>2</xdr:row>
          <xdr:rowOff>91440</xdr:rowOff>
        </xdr:from>
        <xdr:to>
          <xdr:col>13</xdr:col>
          <xdr:colOff>228600</xdr:colOff>
          <xdr:row>4</xdr:row>
          <xdr:rowOff>99060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F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SEND_CHANNEL_NAME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tt/Desktop/SquidstatCalibrator%20with%20phase%20ang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nect"/>
      <sheetName val="Data"/>
      <sheetName val="Voltage"/>
      <sheetName val="Range 0"/>
      <sheetName val="Range 1"/>
      <sheetName val="Range 2"/>
      <sheetName val="Range 3"/>
      <sheetName val="Range 4"/>
      <sheetName val="Range 5"/>
      <sheetName val="Range 6"/>
      <sheetName val="Range 7"/>
      <sheetName val="HF phase angle"/>
      <sheetName val="DC gain"/>
      <sheetName val="HF gain"/>
      <sheetName val="Calibrate"/>
      <sheetName val="Hardware Data"/>
      <sheetName val="Intern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2">
          <cell r="R2">
            <v>1</v>
          </cell>
        </row>
      </sheetData>
      <sheetData sheetId="13"/>
      <sheetData sheetId="14"/>
      <sheetData sheetId="15"/>
      <sheetData sheetId="16">
        <row r="3">
          <cell r="F3">
            <v>1000</v>
          </cell>
        </row>
        <row r="4">
          <cell r="F4">
            <v>100</v>
          </cell>
        </row>
        <row r="5">
          <cell r="F5">
            <v>10</v>
          </cell>
        </row>
        <row r="6">
          <cell r="F6">
            <v>1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558" xr16:uid="{00000000-0016-0000-0200-000098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" growShrinkType="overwriteClear" connectionId="608" xr16:uid="{00000000-0016-0000-0200-000097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" growShrinkType="overwriteClear" connectionId="601" xr16:uid="{00000000-0016-0000-0200-000096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" growShrinkType="overwriteClear" connectionId="618" xr16:uid="{00000000-0016-0000-0200-000095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growShrinkType="overwriteClear" connectionId="567" xr16:uid="{00000000-0016-0000-0200-00009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" growShrinkType="overwriteClear" connectionId="487" xr16:uid="{00000000-0016-0000-0200-000093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" growShrinkType="overwriteClear" connectionId="516" xr16:uid="{00000000-0016-0000-0200-000092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" growShrinkType="overwriteClear" connectionId="609" xr16:uid="{00000000-0016-0000-0200-000091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growShrinkType="overwriteClear" connectionId="551" xr16:uid="{00000000-0016-0000-0200-000090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" growShrinkType="overwriteClear" connectionId="498" xr16:uid="{00000000-0016-0000-0200-00008F00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" growShrinkType="overwriteClear" connectionId="504" xr16:uid="{00000000-0016-0000-0200-00008E00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" growShrinkType="overwriteClear" connectionId="617" xr16:uid="{00000000-0016-0000-0200-00008D00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" growShrinkType="overwriteClear" connectionId="503" xr16:uid="{00000000-0016-0000-0200-00008C00000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growShrinkType="overwriteClear" connectionId="541" xr16:uid="{00000000-0016-0000-0200-00008B00000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" growShrinkType="overwriteClear" connectionId="522" xr16:uid="{00000000-0016-0000-0200-00008A00000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growShrinkType="overwriteClear" connectionId="550" xr16:uid="{00000000-0016-0000-0200-00008900000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" growShrinkType="overwriteClear" connectionId="524" xr16:uid="{00000000-0016-0000-0200-00008800000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" growShrinkType="overwriteClear" connectionId="492" xr16:uid="{00000000-0016-0000-0200-00008700000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growShrinkType="overwriteClear" connectionId="624" xr16:uid="{00000000-0016-0000-0200-00008600000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" growShrinkType="overwriteClear" connectionId="587" xr16:uid="{00000000-0016-0000-0200-00008500000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" growShrinkType="overwriteClear" connectionId="615" xr16:uid="{00000000-0016-0000-0200-00008400000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" growShrinkType="overwriteClear" connectionId="576" xr16:uid="{00000000-0016-0000-0200-00008300000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" growShrinkType="overwriteClear" connectionId="588" xr16:uid="{00000000-0016-0000-0200-000082000000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" growShrinkType="overwriteClear" connectionId="497" xr16:uid="{00000000-0016-0000-0200-00008100000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" growShrinkType="overwriteClear" connectionId="482" xr16:uid="{00000000-0016-0000-0200-00008000000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" growShrinkType="overwriteClear" connectionId="501" xr16:uid="{00000000-0016-0000-0200-00007F00000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" growShrinkType="overwriteClear" connectionId="621" xr16:uid="{00000000-0016-0000-0200-00007E00000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" growShrinkType="overwriteClear" connectionId="592" xr16:uid="{00000000-0016-0000-0200-00007D000000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growShrinkType="overwriteClear" connectionId="488" xr16:uid="{00000000-0016-0000-0200-00007C000000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" growShrinkType="overwriteClear" connectionId="500" xr16:uid="{00000000-0016-0000-0200-00007B00000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growShrinkType="overwriteClear" connectionId="545" xr16:uid="{00000000-0016-0000-0200-00007A00000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" growShrinkType="overwriteClear" connectionId="480" xr16:uid="{00000000-0016-0000-0200-00007900000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" growShrinkType="overwriteClear" connectionId="598" xr16:uid="{00000000-0016-0000-0200-00007800000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" growShrinkType="overwriteClear" connectionId="513" xr16:uid="{00000000-0016-0000-0200-00007700000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" growShrinkType="overwriteClear" connectionId="610" xr16:uid="{00000000-0016-0000-0200-000076000000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growShrinkType="overwriteClear" connectionId="521" xr16:uid="{00000000-0016-0000-0200-000075000000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" growShrinkType="overwriteClear" connectionId="511" xr16:uid="{00000000-0016-0000-0200-000074000000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growShrinkType="overwriteClear" connectionId="538" xr16:uid="{00000000-0016-0000-0200-000073000000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" growShrinkType="overwriteClear" connectionId="519" xr16:uid="{00000000-0016-0000-0200-000072000000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growShrinkType="overwriteClear" connectionId="562" xr16:uid="{00000000-0016-0000-0200-000071000000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" growShrinkType="overwriteClear" connectionId="509" xr16:uid="{00000000-0016-0000-0200-000070000000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growShrinkType="overwriteClear" connectionId="563" xr16:uid="{00000000-0016-0000-0200-00006F000000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" growShrinkType="overwriteClear" connectionId="494" xr16:uid="{00000000-0016-0000-0200-00006E000000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growShrinkType="overwriteClear" connectionId="531" xr16:uid="{00000000-0016-0000-0200-00006D000000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" growShrinkType="overwriteClear" connectionId="506" xr16:uid="{00000000-0016-0000-0200-00006C000000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growShrinkType="overwriteClear" connectionId="566" xr16:uid="{00000000-0016-0000-0200-00006B000000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" growShrinkType="overwriteClear" connectionId="604" xr16:uid="{00000000-0016-0000-0200-00006A000000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" growShrinkType="overwriteClear" connectionId="512" xr16:uid="{00000000-0016-0000-0200-000069000000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growShrinkType="overwriteClear" connectionId="565" xr16:uid="{00000000-0016-0000-0200-000068000000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" growShrinkType="overwriteClear" connectionId="520" xr16:uid="{00000000-0016-0000-0200-000067000000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475" xr16:uid="{00000000-0016-0000-0200-000066000000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536" xr16:uid="{00000000-0016-0000-0200-000065000000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growShrinkType="overwriteClear" connectionId="539" xr16:uid="{00000000-0016-0000-0200-000064000000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" growShrinkType="overwriteClear" connectionId="508" xr16:uid="{00000000-0016-0000-0200-000063000000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476" xr16:uid="{00000000-0016-0000-0200-000062000000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growShrinkType="overwriteClear" connectionId="583" xr16:uid="{00000000-0016-0000-0200-000061000000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" growShrinkType="overwriteClear" connectionId="505" xr16:uid="{00000000-0016-0000-0200-000060000000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" growShrinkType="overwriteClear" connectionId="479" xr16:uid="{00000000-0016-0000-0200-00005F000000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" growShrinkType="overwriteClear" connectionId="623" xr16:uid="{00000000-0016-0000-0200-00005E000000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growShrinkType="overwriteClear" connectionId="477" xr16:uid="{00000000-0016-0000-0200-00005D000000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" growShrinkType="overwriteClear" connectionId="491" xr16:uid="{00000000-0016-0000-0200-00005C000000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growShrinkType="overwriteClear" connectionId="544" xr16:uid="{00000000-0016-0000-0200-00005B000000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" growShrinkType="overwriteClear" connectionId="614" xr16:uid="{00000000-0016-0000-0200-00005A000000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growShrinkType="overwriteClear" connectionId="555" xr16:uid="{00000000-0016-0000-0200-000059000000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" growShrinkType="overwriteClear" connectionId="507" xr16:uid="{00000000-0016-0000-0200-000058000000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569" xr16:uid="{00000000-0016-0000-0200-000057000000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547" xr16:uid="{00000000-0016-0000-0200-000056000000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" growShrinkType="overwriteClear" connectionId="581" xr16:uid="{00000000-0016-0000-0200-000055000000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" growShrinkType="overwriteClear" connectionId="582" xr16:uid="{00000000-0016-0000-0200-000054000000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" growShrinkType="overwriteClear" connectionId="517" xr16:uid="{00000000-0016-0000-0200-000053000000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growShrinkType="overwriteClear" connectionId="554" xr16:uid="{00000000-0016-0000-0200-000052000000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" growShrinkType="overwriteClear" connectionId="502" xr16:uid="{00000000-0016-0000-0200-000051000000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" growShrinkType="overwriteClear" connectionId="597" xr16:uid="{00000000-0016-0000-0200-000050000000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" growShrinkType="overwriteClear" connectionId="486" xr16:uid="{00000000-0016-0000-0200-00004F000000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" growShrinkType="overwriteClear" connectionId="577" xr16:uid="{00000000-0016-0000-0200-00004E000000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growShrinkType="overwriteClear" connectionId="543" xr16:uid="{00000000-0016-0000-0200-00004D000000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growShrinkType="overwriteClear" connectionId="564" xr16:uid="{00000000-0016-0000-0200-00004C000000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" growShrinkType="overwriteClear" connectionId="529" xr16:uid="{00000000-0016-0000-0200-00004B000000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growShrinkType="overwriteClear" connectionId="499" xr16:uid="{00000000-0016-0000-0200-00004A000000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" growShrinkType="overwriteClear" connectionId="420" xr16:uid="{00000000-0016-0000-0200-000049000000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" growShrinkType="overwriteClear" connectionId="483" xr16:uid="{00000000-0016-0000-0200-000048000000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growShrinkType="overwriteClear" connectionId="510" xr16:uid="{00000000-0016-0000-0200-000047000000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connectionId="561" xr16:uid="{00000000-0016-0000-0200-000046000000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" growShrinkType="overwriteClear" connectionId="490" xr16:uid="{00000000-0016-0000-0200-000045000000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" growShrinkType="overwriteClear" connectionId="612" xr16:uid="{00000000-0016-0000-0200-000044000000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growShrinkType="overwriteClear" connectionId="613" xr16:uid="{00000000-0016-0000-0200-000043000000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" growShrinkType="overwriteClear" connectionId="593" xr16:uid="{00000000-0016-0000-0200-000042000000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" growShrinkType="overwriteClear" connectionId="616" xr16:uid="{00000000-0016-0000-0200-000041000000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" growShrinkType="overwriteClear" connectionId="527" xr16:uid="{00000000-0016-0000-0200-000040000000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" growShrinkType="overwriteClear" connectionId="607" xr16:uid="{00000000-0016-0000-0200-00003F000000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growShrinkType="overwriteClear" connectionId="542" xr16:uid="{00000000-0016-0000-0200-00003E000000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" growShrinkType="overwriteClear" connectionId="599" xr16:uid="{00000000-0016-0000-0200-00003D000000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growShrinkType="overwriteClear" connectionId="572" xr16:uid="{00000000-0016-0000-0200-00003C000000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growShrinkType="overwriteClear" connectionId="559" xr16:uid="{00000000-0016-0000-0200-00003B000000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" growShrinkType="overwriteClear" connectionId="594" xr16:uid="{00000000-0016-0000-0200-00003A000000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growShrinkType="overwriteClear" connectionId="602" xr16:uid="{00000000-0016-0000-0200-000039000000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growShrinkType="overwriteClear" connectionId="540" xr16:uid="{00000000-0016-0000-0200-000038000000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" growShrinkType="overwriteClear" connectionId="484" xr16:uid="{00000000-0016-0000-0200-000037000000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" growShrinkType="overwriteClear" connectionId="568" xr16:uid="{00000000-0016-0000-0200-000036000000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" growShrinkType="overwriteClear" connectionId="514" xr16:uid="{00000000-0016-0000-0200-000035000000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growShrinkType="overwriteClear" connectionId="533" xr16:uid="{00000000-0016-0000-0200-000034000000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" growShrinkType="overwriteClear" connectionId="485" xr16:uid="{00000000-0016-0000-0200-000033000000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" growShrinkType="overwriteClear" connectionId="571" xr16:uid="{00000000-0016-0000-0200-000032000000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" growShrinkType="overwriteClear" connectionId="526" xr16:uid="{00000000-0016-0000-0200-000031000000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" growShrinkType="overwriteClear" connectionId="596" xr16:uid="{00000000-0016-0000-0200-000030000000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growShrinkType="overwriteClear" connectionId="99" xr16:uid="{00000000-0016-0000-0200-00002F000000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" growShrinkType="overwriteClear" connectionId="481" xr16:uid="{00000000-0016-0000-0200-00002E000000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" growShrinkType="overwriteClear" connectionId="573" xr16:uid="{00000000-0016-0000-0200-00002D000000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" growShrinkType="overwriteClear" connectionId="605" xr16:uid="{00000000-0016-0000-0200-00002C000000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" growShrinkType="overwriteClear" connectionId="575" xr16:uid="{00000000-0016-0000-0200-00002B000000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" growShrinkType="overwriteClear" connectionId="585" xr16:uid="{00000000-0016-0000-0200-00002A000000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growShrinkType="overwriteClear" connectionId="161" xr16:uid="{00000000-0016-0000-0200-000029000000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" growShrinkType="overwriteClear" connectionId="515" xr16:uid="{00000000-0016-0000-0200-000028000000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" growShrinkType="overwriteClear" connectionId="589" xr16:uid="{00000000-0016-0000-0200-000027000000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" growShrinkType="overwriteClear" connectionId="600" xr16:uid="{00000000-0016-0000-0200-000026000000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" growShrinkType="overwriteClear" connectionId="478" xr16:uid="{00000000-0016-0000-0200-000025000000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growShrinkType="overwriteClear" connectionId="532" xr16:uid="{00000000-0016-0000-0200-000024000000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" growShrinkType="overwriteClear" connectionId="586" xr16:uid="{00000000-0016-0000-0200-000023000000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growShrinkType="overwriteClear" connectionId="560" xr16:uid="{00000000-0016-0000-0200-000022000000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growShrinkType="overwriteClear" connectionId="552" xr16:uid="{00000000-0016-0000-0200-000021000000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" growShrinkType="overwriteClear" connectionId="606" xr16:uid="{00000000-0016-0000-0200-000020000000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591" xr16:uid="{00000000-0016-0000-0200-00001F000000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" growShrinkType="overwriteClear" connectionId="620" xr16:uid="{00000000-0016-0000-0200-00001E000000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" growShrinkType="overwriteClear" connectionId="489" xr16:uid="{00000000-0016-0000-0200-00001D000000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growShrinkType="overwriteClear" connectionId="546" xr16:uid="{00000000-0016-0000-0200-00001C000000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" growShrinkType="overwriteClear" connectionId="523" xr16:uid="{00000000-0016-0000-0200-00001B000000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growShrinkType="overwriteClear" connectionId="548" xr16:uid="{00000000-0016-0000-0200-00001A000000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" growShrinkType="overwriteClear" connectionId="495" xr16:uid="{00000000-0016-0000-0200-000019000000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" growShrinkType="overwriteClear" connectionId="570" xr16:uid="{00000000-0016-0000-0200-000018000000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" growShrinkType="overwriteClear" connectionId="578" xr16:uid="{00000000-0016-0000-0200-000017000000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" growShrinkType="overwriteClear" connectionId="530" xr16:uid="{00000000-0016-0000-0200-000016000000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growShrinkType="overwriteClear" connectionId="534" xr16:uid="{00000000-0016-0000-0200-000015000000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growShrinkType="overwriteClear" connectionId="537" xr16:uid="{00000000-0016-0000-0200-000014000000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" growShrinkType="overwriteClear" connectionId="611" xr16:uid="{00000000-0016-0000-0200-000013000000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" growShrinkType="overwriteClear" connectionId="579" xr16:uid="{00000000-0016-0000-0200-000012000000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growShrinkType="overwriteClear" connectionId="553" xr16:uid="{00000000-0016-0000-0200-000011000000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" growShrinkType="overwriteClear" connectionId="590" xr16:uid="{00000000-0016-0000-0200-000010000000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" growShrinkType="overwriteClear" connectionId="525" xr16:uid="{00000000-0016-0000-0200-00000F000000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" growShrinkType="overwriteClear" connectionId="622" xr16:uid="{00000000-0016-0000-0200-00000E000000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growShrinkType="overwriteClear" connectionId="549" xr16:uid="{00000000-0016-0000-0200-00000D000000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" growShrinkType="overwriteClear" connectionId="619" xr16:uid="{00000000-0016-0000-0200-00000C000000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" growShrinkType="overwriteClear" connectionId="574" xr16:uid="{00000000-0016-0000-0200-00000B000000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" growShrinkType="overwriteClear" connectionId="496" xr16:uid="{00000000-0016-0000-0200-00000A000000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" growShrinkType="overwriteClear" connectionId="518" xr16:uid="{00000000-0016-0000-0200-000009000000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" growShrinkType="overwriteClear" connectionId="528" xr16:uid="{00000000-0016-0000-0200-000008000000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" growShrinkType="overwriteClear" connectionId="595" xr16:uid="{00000000-0016-0000-0200-000007000000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growShrinkType="overwriteClear" connectionId="557" xr16:uid="{00000000-0016-0000-0200-000006000000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" growShrinkType="overwriteClear" connectionId="584" xr16:uid="{00000000-0016-0000-0200-000005000000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growShrinkType="overwriteClear" connectionId="535" xr16:uid="{00000000-0016-0000-0200-000004000000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580" xr16:uid="{00000000-0016-0000-0200-000003000000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" growShrinkType="overwriteClear" connectionId="493" xr16:uid="{00000000-0016-0000-0200-000002000000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growShrinkType="overwriteClear" connectionId="556" xr16:uid="{00000000-0016-0000-0200-000001000000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" growShrinkType="overwriteClear" connectionId="603" xr16:uid="{00000000-0016-0000-0200-000000000000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85" xr16:uid="{00000000-0016-0000-0300-000003010000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growShrinkType="overwriteClear" connectionId="130" xr16:uid="{00000000-0016-0000-0300-000002010000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growShrinkType="overwriteClear" connectionId="135" xr16:uid="{00000000-0016-0000-0300-000001010000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growShrinkType="overwriteClear" connectionId="148" xr16:uid="{00000000-0016-0000-0300-000000010000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growShrinkType="overwriteClear" connectionId="146" xr16:uid="{00000000-0016-0000-0300-0000FF000000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" growShrinkType="overwriteClear" connectionId="175" xr16:uid="{00000000-0016-0000-0300-0000FE000000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growShrinkType="overwriteClear" connectionId="142" xr16:uid="{00000000-0016-0000-0300-0000FD000000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106" xr16:uid="{00000000-0016-0000-0300-0000FC000000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growShrinkType="overwriteClear" connectionId="97" xr16:uid="{00000000-0016-0000-0300-0000FB000000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" growShrinkType="overwriteClear" connectionId="155" xr16:uid="{00000000-0016-0000-0300-0000FA000000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growShrinkType="overwriteClear" connectionId="101" xr16:uid="{00000000-0016-0000-0300-0000F9000000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growShrinkType="overwriteClear" connectionId="116" xr16:uid="{00000000-0016-0000-0300-0000F8000000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growShrinkType="overwriteClear" connectionId="131" xr16:uid="{00000000-0016-0000-0300-0000F7000000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growShrinkType="overwriteClear" connectionId="120" xr16:uid="{00000000-0016-0000-0300-0000F6000000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" growShrinkType="overwriteClear" connectionId="167" xr16:uid="{00000000-0016-0000-0300-0000F5000000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growShrinkType="overwriteClear" connectionId="98" xr16:uid="{00000000-0016-0000-0300-0000F4000000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139" xr16:uid="{00000000-0016-0000-0300-0000F3000000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" growShrinkType="overwriteClear" connectionId="193" xr16:uid="{00000000-0016-0000-0300-0000F2000000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" growShrinkType="overwriteClear" connectionId="164" xr16:uid="{00000000-0016-0000-0300-0000F1000000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growShrinkType="overwriteClear" connectionId="145" xr16:uid="{00000000-0016-0000-0300-0000F0000000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growShrinkType="overwriteClear" connectionId="143" xr16:uid="{00000000-0016-0000-0300-0000EF000000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" growShrinkType="overwriteClear" connectionId="90" xr16:uid="{00000000-0016-0000-0300-0000EE000000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" growShrinkType="overwriteClear" connectionId="177" xr16:uid="{00000000-0016-0000-0300-0000ED000000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" growShrinkType="overwriteClear" connectionId="163" xr16:uid="{00000000-0016-0000-0300-0000EC000000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128" xr16:uid="{00000000-0016-0000-0300-0000EB000000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growShrinkType="overwriteClear" connectionId="103" xr16:uid="{00000000-0016-0000-0300-0000EA000000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" growShrinkType="overwriteClear" connectionId="153" xr16:uid="{00000000-0016-0000-0300-0000E9000000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" growShrinkType="overwriteClear" connectionId="158" xr16:uid="{00000000-0016-0000-0300-0000E8000000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" growShrinkType="overwriteClear" connectionId="179" xr16:uid="{00000000-0016-0000-0300-0000E7000000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growShrinkType="overwriteClear" connectionId="119" xr16:uid="{00000000-0016-0000-0300-0000E6000000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" growShrinkType="overwriteClear" connectionId="89" xr16:uid="{00000000-0016-0000-0300-0000E5000000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growShrinkType="overwriteClear" connectionId="132" xr16:uid="{00000000-0016-0000-0300-0000E4000000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growShrinkType="overwriteClear" connectionId="136" xr16:uid="{00000000-0016-0000-0300-0000E3000000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growShrinkType="overwriteClear" connectionId="151" xr16:uid="{00000000-0016-0000-0300-0000E2000000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" growShrinkType="overwriteClear" connectionId="178" xr16:uid="{00000000-0016-0000-0300-0000E1000000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growShrinkType="overwriteClear" connectionId="88" xr16:uid="{00000000-0016-0000-0300-0000E0000000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" growShrinkType="overwriteClear" connectionId="156" xr16:uid="{00000000-0016-0000-0300-0000DF000000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growShrinkType="overwriteClear" connectionId="138" xr16:uid="{00000000-0016-0000-0300-0000DE000000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growShrinkType="overwriteClear" connectionId="140" xr16:uid="{00000000-0016-0000-0300-0000DD000000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growShrinkType="overwriteClear" connectionId="108" xr16:uid="{00000000-0016-0000-0300-0000DC000000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" growShrinkType="overwriteClear" connectionId="191" xr16:uid="{00000000-0016-0000-0300-0000DB000000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" growShrinkType="overwriteClear" connectionId="184" xr16:uid="{00000000-0016-0000-0300-0000DA000000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growShrinkType="overwriteClear" connectionId="125" xr16:uid="{00000000-0016-0000-0300-0000D9000000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" growShrinkType="overwriteClear" connectionId="93" xr16:uid="{00000000-0016-0000-0300-0000D8000000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growShrinkType="overwriteClear" connectionId="137" xr16:uid="{00000000-0016-0000-0300-0000D7000000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" growShrinkType="overwriteClear" connectionId="190" xr16:uid="{00000000-0016-0000-0300-0000D6000000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" growShrinkType="overwriteClear" connectionId="182" xr16:uid="{00000000-0016-0000-0300-0000D5000000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growShrinkType="overwriteClear" connectionId="107" xr16:uid="{00000000-0016-0000-0300-0000D4000000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growShrinkType="overwriteClear" connectionId="100" xr16:uid="{00000000-0016-0000-0300-0000D3000000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" growShrinkType="overwriteClear" connectionId="166" xr16:uid="{00000000-0016-0000-0300-0000D2000000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growShrinkType="overwriteClear" connectionId="141" xr16:uid="{00000000-0016-0000-0300-0000D1000000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connectionId="102" xr16:uid="{00000000-0016-0000-0300-0000D0000000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growShrinkType="overwriteClear" connectionId="134" xr16:uid="{00000000-0016-0000-0300-0000CF000000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87" xr16:uid="{00000000-0016-0000-0300-0000CE000000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growShrinkType="overwriteClear" connectionId="172" xr16:uid="{00000000-0016-0000-0300-0000CD000000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" growShrinkType="overwriteClear" connectionId="174" xr16:uid="{00000000-0016-0000-0300-0000CC000000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growShrinkType="overwriteClear" connectionId="147" xr16:uid="{00000000-0016-0000-0300-0000CB000000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" growShrinkType="overwriteClear" connectionId="170" xr16:uid="{00000000-0016-0000-0300-0000CA000000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" growShrinkType="overwriteClear" connectionId="176" xr16:uid="{00000000-0016-0000-0300-0000C9000000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growShrinkType="overwriteClear" connectionId="133" xr16:uid="{00000000-0016-0000-0300-0000C8000000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" growShrinkType="overwriteClear" connectionId="157" xr16:uid="{00000000-0016-0000-0300-0000C7000000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growShrinkType="overwriteClear" connectionId="150" xr16:uid="{00000000-0016-0000-0300-0000C6000000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" growShrinkType="overwriteClear" connectionId="160" xr16:uid="{00000000-0016-0000-0300-0000C5000000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117" xr16:uid="{00000000-0016-0000-0300-0000C4000000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" growShrinkType="overwriteClear" connectionId="189" xr16:uid="{00000000-0016-0000-0300-0000C3000000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growShrinkType="overwriteClear" connectionId="111" xr16:uid="{00000000-0016-0000-0300-0000C2000000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growShrinkType="overwriteClear" connectionId="144" xr16:uid="{00000000-0016-0000-0300-0000C1000000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" growShrinkType="overwriteClear" connectionId="159" xr16:uid="{00000000-0016-0000-0300-0000C0000000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growShrinkType="overwriteClear" connectionId="104" xr16:uid="{00000000-0016-0000-0300-0000BF000000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" growShrinkType="overwriteClear" connectionId="171" xr16:uid="{00000000-0016-0000-0300-0000BE000000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" growShrinkType="overwriteClear" connectionId="180" xr16:uid="{00000000-0016-0000-0300-0000BD000000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growShrinkType="overwriteClear" connectionId="124" xr16:uid="{00000000-0016-0000-0300-0000BC000000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growShrinkType="overwriteClear" connectionId="149" xr16:uid="{00000000-0016-0000-0300-0000BB000000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" growShrinkType="overwriteClear" connectionId="95" xr16:uid="{00000000-0016-0000-0300-0000BA000000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" growShrinkType="overwriteClear" connectionId="96" xr16:uid="{00000000-0016-0000-0300-0000B9000000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" growShrinkType="overwriteClear" connectionId="188" xr16:uid="{00000000-0016-0000-0300-0000B8000000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growShrinkType="overwriteClear" connectionId="112" xr16:uid="{00000000-0016-0000-0300-0000B7000000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growShrinkType="overwriteClear" connectionId="183" xr16:uid="{00000000-0016-0000-0300-0000B6000000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growShrinkType="overwriteClear" connectionId="110" xr16:uid="{00000000-0016-0000-0300-0000B5000000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" growShrinkType="overwriteClear" connectionId="192" xr16:uid="{00000000-0016-0000-0300-0000B4000000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growShrinkType="overwriteClear" connectionId="121" xr16:uid="{00000000-0016-0000-0300-0000B3000000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86" xr16:uid="{00000000-0016-0000-0300-0000B2000000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growShrinkType="overwriteClear" connectionId="118" xr16:uid="{00000000-0016-0000-0300-0000B1000000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growShrinkType="overwriteClear" connectionId="115" xr16:uid="{00000000-0016-0000-0300-0000B0000000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growShrinkType="overwriteClear" connectionId="127" xr16:uid="{00000000-0016-0000-0300-0000AF000000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" growShrinkType="overwriteClear" connectionId="165" xr16:uid="{00000000-0016-0000-0300-0000AE000000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growShrinkType="overwriteClear" connectionId="105" xr16:uid="{00000000-0016-0000-0300-0000AD000000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growShrinkType="overwriteClear" connectionId="114" xr16:uid="{00000000-0016-0000-0300-0000AC000000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" growShrinkType="overwriteClear" connectionId="187" xr16:uid="{00000000-0016-0000-0300-0000AB000000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growShrinkType="overwriteClear" connectionId="123" xr16:uid="{00000000-0016-0000-0300-0000AA000000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" growShrinkType="overwriteClear" connectionId="169" xr16:uid="{00000000-0016-0000-0300-0000A9000000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" growShrinkType="overwriteClear" connectionId="181" xr16:uid="{00000000-0016-0000-0300-0000A8000000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growShrinkType="overwriteClear" connectionId="122" xr16:uid="{00000000-0016-0000-0300-0000A7000000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" growShrinkType="overwriteClear" connectionId="94" xr16:uid="{00000000-0016-0000-0300-0000A6000000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growShrinkType="overwriteClear" connectionId="152" xr16:uid="{00000000-0016-0000-0300-0000A5000000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" growShrinkType="overwriteClear" connectionId="173" xr16:uid="{00000000-0016-0000-0300-0000A4000000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" growShrinkType="overwriteClear" connectionId="168" xr16:uid="{00000000-0016-0000-0300-0000A3000000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" growShrinkType="overwriteClear" connectionId="92" xr16:uid="{00000000-0016-0000-0300-0000A2000000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growShrinkType="overwriteClear" connectionId="129" xr16:uid="{00000000-0016-0000-0300-0000A1000000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" growShrinkType="overwriteClear" connectionId="154" xr16:uid="{00000000-0016-0000-0300-0000A0000000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growShrinkType="overwriteClear" connectionId="109" xr16:uid="{00000000-0016-0000-0300-00009F000000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growShrinkType="overwriteClear" connectionId="126" xr16:uid="{00000000-0016-0000-0300-00009E000000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" growShrinkType="overwriteClear" connectionId="186" xr16:uid="{00000000-0016-0000-0300-00009D000000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" growShrinkType="overwriteClear" connectionId="91" xr16:uid="{00000000-0016-0000-0300-00009C000000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" growShrinkType="overwriteClear" connectionId="162" xr16:uid="{00000000-0016-0000-0300-00009B000000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growShrinkType="overwriteClear" connectionId="113" xr16:uid="{00000000-0016-0000-0300-00009A000000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" growShrinkType="overwriteClear" connectionId="185" xr16:uid="{00000000-0016-0000-0300-000099000000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growShrinkType="overwriteClear" connectionId="205" xr16:uid="{00000000-0016-0000-0400-000051010000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growShrinkType="overwriteClear" connectionId="270" xr16:uid="{00000000-0016-0000-0400-000050010000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240" xr16:uid="{00000000-0016-0000-0400-00004F010000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growShrinkType="overwriteClear" connectionId="199" xr16:uid="{00000000-0016-0000-0400-00004E010000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" growShrinkType="overwriteClear" connectionId="259" xr16:uid="{00000000-0016-0000-0400-00004D010000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growShrinkType="overwriteClear" connectionId="231" xr16:uid="{00000000-0016-0000-0400-00004C010000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growShrinkType="overwriteClear" connectionId="239" xr16:uid="{00000000-0016-0000-0400-00004B010000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growShrinkType="overwriteClear" connectionId="202" xr16:uid="{00000000-0016-0000-0400-00004A010000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growShrinkType="overwriteClear" connectionId="238" xr16:uid="{00000000-0016-0000-0400-000049010000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growShrinkType="overwriteClear" connectionId="234" xr16:uid="{00000000-0016-0000-0400-000048010000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growShrinkType="overwriteClear" connectionId="221" xr16:uid="{00000000-0016-0000-0400-000047010000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growShrinkType="overwriteClear" connectionId="228" xr16:uid="{00000000-0016-0000-0400-000046010000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growShrinkType="overwriteClear" connectionId="222" xr16:uid="{00000000-0016-0000-0400-000045010000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growShrinkType="overwriteClear" connectionId="213" xr16:uid="{00000000-0016-0000-0400-000044010000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growShrinkType="overwriteClear" connectionId="225" xr16:uid="{00000000-0016-0000-0400-000043010000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growShrinkType="overwriteClear" connectionId="243" xr16:uid="{00000000-0016-0000-0400-000042010000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growShrinkType="overwriteClear" connectionId="233" xr16:uid="{00000000-0016-0000-0400-000041010000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connectionId="203" xr16:uid="{00000000-0016-0000-0400-000040010000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growShrinkType="overwriteClear" connectionId="195" xr16:uid="{00000000-0016-0000-0400-00003F010000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194" xr16:uid="{00000000-0016-0000-0400-00003E010000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growShrinkType="overwriteClear" connectionId="223" xr16:uid="{00000000-0016-0000-0400-00003D010000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207" xr16:uid="{00000000-0016-0000-0400-00003C010000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growShrinkType="overwriteClear" connectionId="198" xr16:uid="{00000000-0016-0000-0400-00003B010000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growShrinkType="overwriteClear" connectionId="209" xr16:uid="{00000000-0016-0000-0400-00003A010000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growShrinkType="overwriteClear" connectionId="248" xr16:uid="{00000000-0016-0000-0400-000039010000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" growShrinkType="overwriteClear" connectionId="264" xr16:uid="{00000000-0016-0000-0400-000038010000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growShrinkType="overwriteClear" connectionId="235" xr16:uid="{00000000-0016-0000-0400-000037010000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growShrinkType="overwriteClear" connectionId="237" xr16:uid="{00000000-0016-0000-0400-000036010000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growShrinkType="overwriteClear" connectionId="252" xr16:uid="{00000000-0016-0000-0400-000035010000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growShrinkType="overwriteClear" connectionId="220" xr16:uid="{00000000-0016-0000-0400-000034010000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growShrinkType="overwriteClear" connectionId="201" xr16:uid="{00000000-0016-0000-0400-000033010000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" growShrinkType="overwriteClear" connectionId="256" xr16:uid="{00000000-0016-0000-0400-000032010000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growShrinkType="overwriteClear" connectionId="227" xr16:uid="{00000000-0016-0000-0400-000031010000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" growShrinkType="overwriteClear" connectionId="265" xr16:uid="{00000000-0016-0000-0400-000030010000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growShrinkType="overwriteClear" connectionId="244" xr16:uid="{00000000-0016-0000-0400-00002F010000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growShrinkType="overwriteClear" connectionId="245" xr16:uid="{00000000-0016-0000-0400-00002E010000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growShrinkType="overwriteClear" connectionId="210" xr16:uid="{00000000-0016-0000-0400-00002D010000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growShrinkType="overwriteClear" connectionId="212" xr16:uid="{00000000-0016-0000-0400-00002C010000}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growShrinkType="overwriteClear" connectionId="217" xr16:uid="{00000000-0016-0000-0400-00002B010000}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growShrinkType="overwriteClear" connectionId="219" xr16:uid="{00000000-0016-0000-0400-00002A010000}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growShrinkType="overwriteClear" connectionId="230" xr16:uid="{00000000-0016-0000-0400-000029010000}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" growShrinkType="overwriteClear" connectionId="253" xr16:uid="{00000000-0016-0000-0400-000028010000}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growShrinkType="overwriteClear" connectionId="200" xr16:uid="{00000000-0016-0000-0400-000027010000}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" growShrinkType="overwriteClear" connectionId="255" xr16:uid="{00000000-0016-0000-0400-000026010000}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growShrinkType="overwriteClear" connectionId="216" xr16:uid="{00000000-0016-0000-0400-000025010000}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" growShrinkType="overwriteClear" connectionId="254" xr16:uid="{00000000-0016-0000-0400-000024010000}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growShrinkType="overwriteClear" connectionId="226" xr16:uid="{00000000-0016-0000-0400-000023010000}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growShrinkType="overwriteClear" connectionId="246" xr16:uid="{00000000-0016-0000-0400-000022010000}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growShrinkType="overwriteClear" connectionId="242" xr16:uid="{00000000-0016-0000-0400-000021010000}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218" xr16:uid="{00000000-0016-0000-0400-000020010000}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growShrinkType="overwriteClear" connectionId="236" xr16:uid="{00000000-0016-0000-0400-00001F010000}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" growShrinkType="overwriteClear" connectionId="258" xr16:uid="{00000000-0016-0000-0400-00001E010000}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" growShrinkType="overwriteClear" connectionId="267" xr16:uid="{00000000-0016-0000-0400-00001D010000}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growShrinkType="overwriteClear" connectionId="249" xr16:uid="{00000000-0016-0000-0400-00001C010000}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growShrinkType="overwriteClear" connectionId="247" xr16:uid="{00000000-0016-0000-0400-00001B010000}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growShrinkType="overwriteClear" connectionId="232" xr16:uid="{00000000-0016-0000-0400-00001A010000}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growShrinkType="overwriteClear" connectionId="271" xr16:uid="{00000000-0016-0000-0400-000019010000}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" growShrinkType="overwriteClear" connectionId="269" xr16:uid="{00000000-0016-0000-0400-000018010000}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" growShrinkType="overwriteClear" connectionId="266" xr16:uid="{00000000-0016-0000-0400-000017010000}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growShrinkType="overwriteClear" connectionId="224" xr16:uid="{00000000-0016-0000-0400-000016010000}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" growShrinkType="overwriteClear" connectionId="263" xr16:uid="{00000000-0016-0000-0400-000015010000}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" growShrinkType="overwriteClear" connectionId="261" xr16:uid="{00000000-0016-0000-0400-000014010000}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growShrinkType="overwriteClear" connectionId="211" xr16:uid="{00000000-0016-0000-0400-000013010000}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" growShrinkType="overwriteClear" connectionId="257" xr16:uid="{00000000-0016-0000-0400-000012010000}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growShrinkType="overwriteClear" connectionId="250" xr16:uid="{00000000-0016-0000-0400-000011010000}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" growShrinkType="overwriteClear" connectionId="268" xr16:uid="{00000000-0016-0000-0400-000010010000}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growShrinkType="overwriteClear" connectionId="197" xr16:uid="{00000000-0016-0000-0400-00000F010000}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" growShrinkType="overwriteClear" connectionId="260" xr16:uid="{00000000-0016-0000-0400-00000E010000}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growShrinkType="overwriteClear" connectionId="214" xr16:uid="{00000000-0016-0000-0400-00000D010000}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growShrinkType="overwriteClear" connectionId="215" xr16:uid="{00000000-0016-0000-0400-00000C010000}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growShrinkType="overwriteClear" connectionId="206" xr16:uid="{00000000-0016-0000-0400-00000B010000}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196" xr16:uid="{00000000-0016-0000-0400-00000A010000}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growShrinkType="overwriteClear" connectionId="204" xr16:uid="{00000000-0016-0000-0400-000009010000}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growShrinkType="overwriteClear" connectionId="208" xr16:uid="{00000000-0016-0000-0400-000008010000}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262" xr16:uid="{00000000-0016-0000-0400-000007010000}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251" xr16:uid="{00000000-0016-0000-0400-000006010000}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growShrinkType="overwriteClear" connectionId="241" xr16:uid="{00000000-0016-0000-0400-000005010000}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229" xr16:uid="{00000000-0016-0000-0400-000004010000}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growShrinkType="overwriteClear" connectionId="295" xr16:uid="{00000000-0016-0000-0500-0000A1010000}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growShrinkType="overwriteClear" connectionId="305" xr16:uid="{00000000-0016-0000-0500-0000A0010000}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273" xr16:uid="{00000000-0016-0000-0500-00009F010000}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growShrinkType="overwriteClear" connectionId="306" xr16:uid="{00000000-0016-0000-0500-00009E010000}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" growShrinkType="overwriteClear" connectionId="335" xr16:uid="{00000000-0016-0000-0500-00009D010000}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growShrinkType="overwriteClear" connectionId="312" xr16:uid="{00000000-0016-0000-0500-00009C010000}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growShrinkType="overwriteClear" connectionId="303" xr16:uid="{00000000-0016-0000-0500-00009B010000}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growShrinkType="overwriteClear" connectionId="290" xr16:uid="{00000000-0016-0000-0500-00009A010000}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growShrinkType="overwriteClear" connectionId="296" xr16:uid="{00000000-0016-0000-0500-000099010000}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growShrinkType="overwriteClear" connectionId="316" xr16:uid="{00000000-0016-0000-0500-000098010000}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" growShrinkType="overwriteClear" connectionId="346" xr16:uid="{00000000-0016-0000-0500-000097010000}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" growShrinkType="overwriteClear" connectionId="339" xr16:uid="{00000000-0016-0000-0500-000096010000}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growShrinkType="overwriteClear" connectionId="322" xr16:uid="{00000000-0016-0000-0500-000095010000}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growShrinkType="overwriteClear" connectionId="320" xr16:uid="{00000000-0016-0000-0500-000094010000}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growShrinkType="overwriteClear" connectionId="313" xr16:uid="{00000000-0016-0000-0500-000093010000}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growShrinkType="overwriteClear" connectionId="283" xr16:uid="{00000000-0016-0000-0500-000092010000}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growShrinkType="overwriteClear" connectionId="301" xr16:uid="{00000000-0016-0000-0500-000091010000}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" growShrinkType="overwriteClear" connectionId="337" xr16:uid="{00000000-0016-0000-0500-000090010000}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" growShrinkType="overwriteClear" connectionId="344" xr16:uid="{00000000-0016-0000-0500-00008F010000}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growShrinkType="overwriteClear" connectionId="294" xr16:uid="{00000000-0016-0000-0500-00008E010000}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growShrinkType="overwriteClear" connectionId="310" xr16:uid="{00000000-0016-0000-0500-00008D010000}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" growShrinkType="overwriteClear" connectionId="348" xr16:uid="{00000000-0016-0000-0500-00008C010000}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growShrinkType="overwriteClear" connectionId="324" xr16:uid="{00000000-0016-0000-0500-00008B010000}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272" xr16:uid="{00000000-0016-0000-0500-00008A010000}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growShrinkType="overwriteClear" connectionId="326" xr16:uid="{00000000-0016-0000-0500-000089010000}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growShrinkType="overwriteClear" connectionId="321" xr16:uid="{00000000-0016-0000-0500-000088010000}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growShrinkType="overwriteClear" connectionId="328" xr16:uid="{00000000-0016-0000-0500-000087010000}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" growShrinkType="overwriteClear" connectionId="340" xr16:uid="{00000000-0016-0000-0500-000086010000}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growShrinkType="overwriteClear" connectionId="281" xr16:uid="{00000000-0016-0000-0500-000085010000}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" growShrinkType="overwriteClear" connectionId="343" xr16:uid="{00000000-0016-0000-0500-000084010000}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growShrinkType="overwriteClear" connectionId="280" xr16:uid="{00000000-0016-0000-0500-000083010000}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growShrinkType="overwriteClear" connectionId="298" xr16:uid="{00000000-0016-0000-0500-000082010000}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" growShrinkType="overwriteClear" connectionId="332" xr16:uid="{00000000-0016-0000-0500-000081010000}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growShrinkType="overwriteClear" connectionId="327" xr16:uid="{00000000-0016-0000-0500-000080010000}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growShrinkType="overwriteClear" connectionId="278" xr16:uid="{00000000-0016-0000-0500-00007F010000}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" growShrinkType="overwriteClear" connectionId="336" xr16:uid="{00000000-0016-0000-0500-00007E010000}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growShrinkType="overwriteClear" connectionId="289" xr16:uid="{00000000-0016-0000-0500-00007D010000}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275" xr16:uid="{00000000-0016-0000-0500-00007C010000}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growShrinkType="overwriteClear" connectionId="318" xr16:uid="{00000000-0016-0000-0500-00007B010000}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growShrinkType="overwriteClear" connectionId="307" xr16:uid="{00000000-0016-0000-0500-00007A010000}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" growShrinkType="overwriteClear" connectionId="331" xr16:uid="{00000000-0016-0000-0500-000079010000}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growShrinkType="overwriteClear" connectionId="314" xr16:uid="{00000000-0016-0000-0500-000078010000}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growShrinkType="overwriteClear" connectionId="315" xr16:uid="{00000000-0016-0000-0500-000077010000}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" growShrinkType="overwriteClear" connectionId="334" xr16:uid="{00000000-0016-0000-0500-000076010000}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growShrinkType="overwriteClear" connectionId="299" xr16:uid="{00000000-0016-0000-0500-000075010000}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growShrinkType="overwriteClear" connectionId="287" xr16:uid="{00000000-0016-0000-0500-000074010000}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" growShrinkType="overwriteClear" connectionId="342" xr16:uid="{00000000-0016-0000-0500-000073010000}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growShrinkType="overwriteClear" connectionId="317" xr16:uid="{00000000-0016-0000-0500-000072010000}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growShrinkType="overwriteClear" connectionId="291" xr16:uid="{00000000-0016-0000-0500-000071010000}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growShrinkType="overwriteClear" connectionId="282" xr16:uid="{00000000-0016-0000-0500-000070010000}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growShrinkType="overwriteClear" connectionId="304" xr16:uid="{00000000-0016-0000-0500-00006F010000}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376" xr16:uid="{00000000-0016-0000-0500-00006E010000}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growShrinkType="overwriteClear" connectionId="323" xr16:uid="{00000000-0016-0000-0500-00006D010000}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growShrinkType="overwriteClear" connectionId="288" xr16:uid="{00000000-0016-0000-0500-00006C010000}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growShrinkType="overwriteClear" connectionId="276" xr16:uid="{00000000-0016-0000-0500-00006B010000}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growShrinkType="overwriteClear" connectionId="277" xr16:uid="{00000000-0016-0000-0500-00006A010000}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growShrinkType="overwriteClear" connectionId="309" xr16:uid="{00000000-0016-0000-0500-000069010000}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297" xr16:uid="{00000000-0016-0000-0500-000068010000}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" growShrinkType="overwriteClear" connectionId="345" xr16:uid="{00000000-0016-0000-0500-000067010000}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" growShrinkType="overwriteClear" connectionId="338" xr16:uid="{00000000-0016-0000-0500-000066010000}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" growShrinkType="overwriteClear" connectionId="347" xr16:uid="{00000000-0016-0000-0500-000065010000}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connectionId="384" xr16:uid="{00000000-0016-0000-0500-000064010000}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" growShrinkType="overwriteClear" connectionId="333" xr16:uid="{00000000-0016-0000-0500-000063010000}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growShrinkType="overwriteClear" connectionId="285" xr16:uid="{00000000-0016-0000-0500-000062010000}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growShrinkType="overwriteClear" connectionId="349" xr16:uid="{00000000-0016-0000-0500-000061010000}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growShrinkType="overwriteClear" connectionId="279" xr16:uid="{00000000-0016-0000-0500-000060010000}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growShrinkType="overwriteClear" connectionId="284" xr16:uid="{00000000-0016-0000-0500-00005F010000}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growShrinkType="overwriteClear" connectionId="293" xr16:uid="{00000000-0016-0000-0500-00005E010000}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growShrinkType="overwriteClear" connectionId="330" xr16:uid="{00000000-0016-0000-0500-00005D010000}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274" xr16:uid="{00000000-0016-0000-0500-00005C010000}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growShrinkType="overwriteClear" connectionId="341" xr16:uid="{00000000-0016-0000-0500-00005B010000}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" growShrinkType="overwriteClear" connectionId="329" xr16:uid="{00000000-0016-0000-0500-00005A010000}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308" xr16:uid="{00000000-0016-0000-0500-000059010000}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growShrinkType="overwriteClear" connectionId="292" xr16:uid="{00000000-0016-0000-0500-000058010000}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286" xr16:uid="{00000000-0016-0000-0500-000057010000}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growShrinkType="overwriteClear" connectionId="302" xr16:uid="{00000000-0016-0000-0500-000056010000}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growShrinkType="overwriteClear" connectionId="311" xr16:uid="{00000000-0016-0000-0500-000055010000}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growShrinkType="overwriteClear" connectionId="350" xr16:uid="{00000000-0016-0000-0500-000054010000}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growShrinkType="overwriteClear" connectionId="300" xr16:uid="{00000000-0016-0000-0500-000053010000}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growShrinkType="overwriteClear" connectionId="325" xr16:uid="{00000000-0016-0000-0500-000052010000}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growShrinkType="overwriteClear" connectionId="373" xr16:uid="{00000000-0016-0000-0600-000007020000}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" growShrinkType="overwriteClear" connectionId="431" xr16:uid="{00000000-0016-0000-0600-000006020000}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growShrinkType="overwriteClear" connectionId="388" xr16:uid="{00000000-0016-0000-0600-000005020000}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growShrinkType="overwriteClear" connectionId="380" xr16:uid="{00000000-0016-0000-0600-000004020000}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growShrinkType="overwriteClear" connectionId="369" xr16:uid="{00000000-0016-0000-0600-000003020000}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" growShrinkType="overwriteClear" connectionId="430" xr16:uid="{00000000-0016-0000-0600-000002020000}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growShrinkType="overwriteClear" connectionId="398" xr16:uid="{00000000-0016-0000-0600-000001020000}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" growShrinkType="overwriteClear" connectionId="441" xr16:uid="{00000000-0016-0000-0600-000000020000}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growShrinkType="overwriteClear" connectionId="403" xr16:uid="{00000000-0016-0000-0600-0000FF010000}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" growShrinkType="overwriteClear" connectionId="413" xr16:uid="{00000000-0016-0000-0600-0000FE010000}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351" xr16:uid="{00000000-0016-0000-0600-0000FD010000}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growShrinkType="overwriteClear" connectionId="379" xr16:uid="{00000000-0016-0000-0600-0000FC010000}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growShrinkType="overwriteClear" connectionId="372" xr16:uid="{00000000-0016-0000-0600-0000FB010000}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growShrinkType="overwriteClear" connectionId="364" xr16:uid="{00000000-0016-0000-0600-0000FA010000}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" growShrinkType="overwriteClear" connectionId="356" xr16:uid="{00000000-0016-0000-0600-0000F9010000}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growShrinkType="overwriteClear" connectionId="371" xr16:uid="{00000000-0016-0000-0600-0000F8010000}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" growShrinkType="overwriteClear" connectionId="454" xr16:uid="{00000000-0016-0000-0600-0000F7010000}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" growShrinkType="overwriteClear" connectionId="425" xr16:uid="{00000000-0016-0000-0600-0000F6010000}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" growShrinkType="overwriteClear" connectionId="414" xr16:uid="{00000000-0016-0000-0600-0000F5010000}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" growShrinkType="overwriteClear" connectionId="453" xr16:uid="{00000000-0016-0000-0600-0000F4010000}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" growShrinkType="overwriteClear" connectionId="438" xr16:uid="{00000000-0016-0000-0600-0000F3010000}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growShrinkType="overwriteClear" connectionId="392" xr16:uid="{00000000-0016-0000-0600-0000F2010000}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growShrinkType="overwriteClear" connectionId="408" xr16:uid="{00000000-0016-0000-0600-0000F1010000}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growShrinkType="overwriteClear" connectionId="446" xr16:uid="{00000000-0016-0000-0600-0000F0010000}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" growShrinkType="overwriteClear" connectionId="449" xr16:uid="{00000000-0016-0000-0600-0000EF010000}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growShrinkType="overwriteClear" connectionId="405" xr16:uid="{00000000-0016-0000-0600-0000EE010000}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" growShrinkType="overwriteClear" connectionId="355" xr16:uid="{00000000-0016-0000-0600-0000ED010000}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" growShrinkType="overwriteClear" connectionId="435" xr16:uid="{00000000-0016-0000-0600-0000EC010000}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" growShrinkType="overwriteClear" connectionId="451" xr16:uid="{00000000-0016-0000-0600-0000EB010000}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" growShrinkType="overwriteClear" connectionId="434" xr16:uid="{00000000-0016-0000-0600-0000EA010000}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" growShrinkType="overwriteClear" connectionId="439" xr16:uid="{00000000-0016-0000-0600-0000E9010000}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" growShrinkType="overwriteClear" connectionId="452" xr16:uid="{00000000-0016-0000-0600-0000E8010000}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growShrinkType="overwriteClear" connectionId="397" xr16:uid="{00000000-0016-0000-0600-0000E7010000}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" growShrinkType="overwriteClear" connectionId="432" xr16:uid="{00000000-0016-0000-0600-0000E6010000}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growShrinkType="overwriteClear" connectionId="406" xr16:uid="{00000000-0016-0000-0600-0000E5010000}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growShrinkType="overwriteClear" connectionId="394" xr16:uid="{00000000-0016-0000-0600-0000E4010000}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" growShrinkType="overwriteClear" connectionId="450" xr16:uid="{00000000-0016-0000-0600-0000E3010000}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" growShrinkType="overwriteClear" connectionId="418" xr16:uid="{00000000-0016-0000-0600-0000E2010000}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400" xr16:uid="{00000000-0016-0000-0600-0000E1010000}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growShrinkType="overwriteClear" connectionId="352" xr16:uid="{00000000-0016-0000-0600-0000E0010000}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growShrinkType="overwriteClear" connectionId="363" xr16:uid="{00000000-0016-0000-0600-0000DF010000}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" growShrinkType="overwriteClear" connectionId="445" xr16:uid="{00000000-0016-0000-0600-0000DE010000}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" growShrinkType="overwriteClear" connectionId="436" xr16:uid="{00000000-0016-0000-0600-0000DD010000}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" growShrinkType="overwriteClear" connectionId="357" xr16:uid="{00000000-0016-0000-0600-0000DC010000}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growShrinkType="overwriteClear" connectionId="404" xr16:uid="{00000000-0016-0000-0600-0000DB010000}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growShrinkType="overwriteClear" connectionId="366" xr16:uid="{00000000-0016-0000-0600-0000DA010000}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growShrinkType="overwriteClear" connectionId="374" xr16:uid="{00000000-0016-0000-0600-0000D9010000}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" growShrinkType="overwriteClear" connectionId="417" xr16:uid="{00000000-0016-0000-0600-0000D8010000}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growShrinkType="overwriteClear" connectionId="444" xr16:uid="{00000000-0016-0000-0600-0000D7010000}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353" xr16:uid="{00000000-0016-0000-0600-0000D6010000}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" growShrinkType="overwriteClear" connectionId="443" xr16:uid="{00000000-0016-0000-0600-0000D5010000}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" growShrinkType="overwriteClear" connectionId="426" xr16:uid="{00000000-0016-0000-0600-0000D4010000}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growShrinkType="overwriteClear" connectionId="395" xr16:uid="{00000000-0016-0000-0600-0000D3010000}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growShrinkType="overwriteClear" connectionId="381" xr16:uid="{00000000-0016-0000-0600-0000D2010000}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" growShrinkType="overwriteClear" connectionId="424" xr16:uid="{00000000-0016-0000-0600-0000D1010000}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" growShrinkType="overwriteClear" connectionId="429" xr16:uid="{00000000-0016-0000-0600-0000D0010000}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growShrinkType="overwriteClear" connectionId="354" xr16:uid="{00000000-0016-0000-0600-0000CF010000}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" growShrinkType="overwriteClear" connectionId="423" xr16:uid="{00000000-0016-0000-0600-0000CE010000}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" growShrinkType="overwriteClear" connectionId="447" xr16:uid="{00000000-0016-0000-0600-0000CD010000}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growShrinkType="overwriteClear" connectionId="393" xr16:uid="{00000000-0016-0000-0600-0000CC010000}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growShrinkType="overwriteClear" connectionId="401" xr16:uid="{00000000-0016-0000-0600-0000CB010000}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" growShrinkType="overwriteClear" connectionId="440" xr16:uid="{00000000-0016-0000-0600-0000CA010000}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growShrinkType="overwriteClear" connectionId="386" xr16:uid="{00000000-0016-0000-0600-0000C9010000}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growShrinkType="overwriteClear" connectionId="370" xr16:uid="{00000000-0016-0000-0600-0000C8010000}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378" xr16:uid="{00000000-0016-0000-0600-0000C7010000}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growShrinkType="overwriteClear" connectionId="390" xr16:uid="{00000000-0016-0000-0600-0000C6010000}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growShrinkType="overwriteClear" connectionId="385" xr16:uid="{00000000-0016-0000-0600-0000C5010000}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" growShrinkType="overwriteClear" connectionId="437" xr16:uid="{00000000-0016-0000-0600-0000C4010000}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" growShrinkType="overwriteClear" connectionId="415" xr16:uid="{00000000-0016-0000-0600-0000C3010000}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growShrinkType="overwriteClear" connectionId="382" xr16:uid="{00000000-0016-0000-0600-0000C2010000}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" growShrinkType="overwriteClear" connectionId="419" xr16:uid="{00000000-0016-0000-0600-0000C1010000}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growShrinkType="overwriteClear" connectionId="410" xr16:uid="{00000000-0016-0000-0600-0000C0010000}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411" xr16:uid="{00000000-0016-0000-0600-0000BF010000}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367" xr16:uid="{00000000-0016-0000-0600-0000BE010000}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389" xr16:uid="{00000000-0016-0000-0600-0000BD010000}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growShrinkType="overwriteClear" connectionId="365" xr16:uid="{00000000-0016-0000-0600-0000BC010000}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growShrinkType="overwriteClear" connectionId="409" xr16:uid="{00000000-0016-0000-0600-0000BB010000}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connectionId="361" xr16:uid="{00000000-0016-0000-0600-0000BA010000}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" growShrinkType="overwriteClear" connectionId="442" xr16:uid="{00000000-0016-0000-0600-0000B9010000}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growShrinkType="overwriteClear" connectionId="383" xr16:uid="{00000000-0016-0000-0600-0000B8010000}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growShrinkType="overwriteClear" connectionId="399" xr16:uid="{00000000-0016-0000-0600-0000B7010000}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growShrinkType="overwriteClear" connectionId="396" xr16:uid="{00000000-0016-0000-0600-0000B6010000}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growShrinkType="overwriteClear" connectionId="433" xr16:uid="{00000000-0016-0000-0600-0000B5010000}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growShrinkType="overwriteClear" connectionId="359" xr16:uid="{00000000-0016-0000-0600-0000B4010000}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growShrinkType="overwriteClear" connectionId="407" xr16:uid="{00000000-0016-0000-0600-0000B3010000}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" growShrinkType="overwriteClear" connectionId="412" xr16:uid="{00000000-0016-0000-0600-0000B2010000}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growShrinkType="overwriteClear" connectionId="391" xr16:uid="{00000000-0016-0000-0600-0000B1010000}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growShrinkType="overwriteClear" connectionId="358" xr16:uid="{00000000-0016-0000-0600-0000B0010000}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" growShrinkType="overwriteClear" connectionId="416" xr16:uid="{00000000-0016-0000-0600-0000AF010000}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growShrinkType="overwriteClear" connectionId="375" xr16:uid="{00000000-0016-0000-0600-0000AE010000}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growShrinkType="overwriteClear" connectionId="362" xr16:uid="{00000000-0016-0000-0600-0000AD010000}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" growShrinkType="overwriteClear" connectionId="428" xr16:uid="{00000000-0016-0000-0600-0000AC010000}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growShrinkType="overwriteClear" connectionId="319" xr16:uid="{00000000-0016-0000-0600-0000AB010000}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422" xr16:uid="{00000000-0016-0000-0600-0000AA010000}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" growShrinkType="overwriteClear" connectionId="448" xr16:uid="{00000000-0016-0000-0600-0000A9010000}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growShrinkType="overwriteClear" connectionId="387" xr16:uid="{00000000-0016-0000-0600-0000A8010000}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" growShrinkType="overwriteClear" connectionId="421" xr16:uid="{00000000-0016-0000-0600-0000A7010000}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growShrinkType="overwriteClear" connectionId="402" xr16:uid="{00000000-0016-0000-0600-0000A6010000}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growShrinkType="overwriteClear" connectionId="377" xr16:uid="{00000000-0016-0000-0600-0000A5010000}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growShrinkType="overwriteClear" connectionId="360" xr16:uid="{00000000-0016-0000-0600-0000A4010000}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growShrinkType="overwriteClear" connectionId="368" xr16:uid="{00000000-0016-0000-0600-0000A3010000}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" growShrinkType="overwriteClear" connectionId="427" xr16:uid="{00000000-0016-0000-0600-0000A2010000}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458" xr16:uid="{00000000-0016-0000-0700-00000D020000}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457" xr16:uid="{00000000-0016-0000-0700-00000C020000}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460" xr16:uid="{00000000-0016-0000-0700-00000B020000}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459" xr16:uid="{00000000-0016-0000-0700-00000A020000}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455" xr16:uid="{00000000-0016-0000-0700-000009020000}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456" xr16:uid="{00000000-0016-0000-0700-000008020000}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461" xr16:uid="{00000000-0016-0000-0800-000011020000}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463" xr16:uid="{00000000-0016-0000-0800-000010020000}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462" xr16:uid="{00000000-0016-0000-0800-00000F020000}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464" xr16:uid="{00000000-0016-0000-0800-00000E020000}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468" xr16:uid="{00000000-0016-0000-0900-000016020000}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469" xr16:uid="{00000000-0016-0000-0900-000015020000}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467" xr16:uid="{00000000-0016-0000-0900-000014020000}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466" xr16:uid="{00000000-0016-0000-0900-000013020000}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465" xr16:uid="{00000000-0016-0000-0900-000012020000}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472" xr16:uid="{00000000-0016-0000-0A00-00001B020000}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471" xr16:uid="{00000000-0016-0000-0A00-00001A020000}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470" xr16:uid="{00000000-0016-0000-0A00-000019020000}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474" xr16:uid="{00000000-0016-0000-0A00-000018020000}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473" xr16:uid="{00000000-0016-0000-0A00-000017020000}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80" xr16:uid="{00000000-0016-0000-0B00-00001C020000}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82" xr16:uid="{BE8B0D0E-4763-4BC9-9875-7EF65D065097}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83" xr16:uid="{00000000-0016-0000-0C00-00001D020000}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81" xr16:uid="{00000000-0016-0000-0D00-00001E020000}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growShrinkType="overwriteClear" connectionId="35" xr16:uid="{00000000-0016-0000-0E00-00006D020000}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" growShrinkType="overwriteClear" connectionId="62" xr16:uid="{00000000-0016-0000-0E00-00006C020000}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growShrinkType="overwriteClear" connectionId="17" xr16:uid="{00000000-0016-0000-0E00-00006B020000}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47" xr16:uid="{00000000-0016-0000-0E00-00006A020000}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growShrinkType="overwriteClear" connectionId="9" xr16:uid="{00000000-0016-0000-0E00-000069020000}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growShrinkType="overwriteClear" connectionId="72" xr16:uid="{00000000-0016-0000-0E00-000068020000}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growShrinkType="overwriteClear" connectionId="29" xr16:uid="{00000000-0016-0000-0E00-000067020000}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" growShrinkType="overwriteClear" connectionId="60" xr16:uid="{00000000-0016-0000-0E00-000066020000}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growShrinkType="overwriteClear" connectionId="52" xr16:uid="{00000000-0016-0000-0E00-000065020000}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growShrinkType="overwriteClear" connectionId="20" xr16:uid="{00000000-0016-0000-0E00-000064020000}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" growShrinkType="overwriteClear" connectionId="57" xr16:uid="{00000000-0016-0000-0E00-000063020000}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growShrinkType="overwriteClear" connectionId="44" xr16:uid="{00000000-0016-0000-0E00-000062020000}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growShrinkType="overwriteClear" connectionId="4" xr16:uid="{00000000-0016-0000-0E00-000061020000}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growShrinkType="overwriteClear" connectionId="37" xr16:uid="{00000000-0016-0000-0E00-000060020000}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growShrinkType="overwriteClear" connectionId="32" xr16:uid="{00000000-0016-0000-0E00-00005F020000}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growShrinkType="overwriteClear" connectionId="23" xr16:uid="{00000000-0016-0000-0E00-00005E020000}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growShrinkType="overwriteClear" connectionId="38" xr16:uid="{00000000-0016-0000-0E00-00005D020000}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growShrinkType="overwriteClear" connectionId="24" xr16:uid="{00000000-0016-0000-0E00-00005C020000}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" growShrinkType="overwriteClear" connectionId="61" xr16:uid="{00000000-0016-0000-0E00-00005B020000}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growShrinkType="overwriteClear" connectionId="18" xr16:uid="{00000000-0016-0000-0E00-00005A020000}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" growShrinkType="overwriteClear" connectionId="65" xr16:uid="{00000000-0016-0000-0E00-000059020000}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" growShrinkType="overwriteClear" connectionId="77" xr16:uid="{00000000-0016-0000-0E00-000058020000}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growShrinkType="overwriteClear" connectionId="15" xr16:uid="{00000000-0016-0000-0E00-000057020000}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" growShrinkType="overwriteClear" connectionId="55" xr16:uid="{00000000-0016-0000-0E00-000056020000}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growShrinkType="overwriteClear" connectionId="21" xr16:uid="{00000000-0016-0000-0E00-000055020000}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growShrinkType="overwriteClear" connectionId="51" xr16:uid="{00000000-0016-0000-0E00-000054020000}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growShrinkType="overwriteClear" connectionId="46" xr16:uid="{00000000-0016-0000-0E00-000053020000}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growShrinkType="overwriteClear" connectionId="41" xr16:uid="{00000000-0016-0000-0E00-000052020000}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growShrinkType="overwriteClear" connectionId="39" xr16:uid="{00000000-0016-0000-0E00-000051020000}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growShrinkType="overwriteClear" connectionId="27" xr16:uid="{00000000-0016-0000-0E00-000050020000}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" growShrinkType="overwriteClear" connectionId="63" xr16:uid="{00000000-0016-0000-0E00-00004F020000}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" growShrinkType="overwriteClear" connectionId="70" xr16:uid="{00000000-0016-0000-0E00-00004E020000}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growShrinkType="overwriteClear" connectionId="16" xr16:uid="{00000000-0016-0000-0E00-00004D020000}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" growShrinkType="overwriteClear" connectionId="67" xr16:uid="{00000000-0016-0000-0E00-00004C020000}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growShrinkType="overwriteClear" connectionId="42" xr16:uid="{00000000-0016-0000-0E00-00004B020000}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growShrinkType="overwriteClear" connectionId="26" xr16:uid="{00000000-0016-0000-0E00-00004A020000}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growShrinkType="overwriteClear" connectionId="7" xr16:uid="{00000000-0016-0000-0E00-000049020000}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" growShrinkType="overwriteClear" connectionId="64" xr16:uid="{00000000-0016-0000-0E00-000048020000}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connectionId="73" xr16:uid="{00000000-0016-0000-0E00-000047020000}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growShrinkType="overwriteClear" connectionId="50" xr16:uid="{00000000-0016-0000-0E00-000046020000}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14" xr16:uid="{00000000-0016-0000-0E00-000045020000}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growShrinkType="overwriteClear" connectionId="43" xr16:uid="{00000000-0016-0000-0E00-000044020000}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growShrinkType="overwriteClear" connectionId="13" xr16:uid="{00000000-0016-0000-0E00-000043020000}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growShrinkType="overwriteClear" connectionId="12" xr16:uid="{00000000-0016-0000-0E00-000042020000}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3" xr16:uid="{00000000-0016-0000-0E00-000041020000}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growShrinkType="overwriteClear" connectionId="6" xr16:uid="{00000000-0016-0000-0E00-000040020000}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" growShrinkType="overwriteClear" connectionId="59" xr16:uid="{00000000-0016-0000-0E00-00003F020000}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growShrinkType="overwriteClear" connectionId="30" xr16:uid="{00000000-0016-0000-0E00-00003E020000}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" growShrinkType="overwriteClear" connectionId="56" xr16:uid="{00000000-0016-0000-0E00-00003D020000}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growShrinkType="overwriteClear" connectionId="8" xr16:uid="{00000000-0016-0000-0E00-00003C020000}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growShrinkType="overwriteClear" connectionId="28" xr16:uid="{00000000-0016-0000-0E00-00003B020000}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growShrinkType="overwriteClear" connectionId="53" xr16:uid="{00000000-0016-0000-0E00-00003A020000}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" growShrinkType="overwriteClear" connectionId="78" xr16:uid="{00000000-0016-0000-0E00-000039020000}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25" xr16:uid="{00000000-0016-0000-0E00-000038020000}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growShrinkType="overwriteClear" connectionId="19" xr16:uid="{00000000-0016-0000-0E00-000037020000}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growShrinkType="overwriteClear" connectionId="74" xr16:uid="{00000000-0016-0000-0E00-000036020000}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growShrinkType="overwriteClear" connectionId="31" xr16:uid="{00000000-0016-0000-0E00-000035020000}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" growShrinkType="overwriteClear" connectionId="66" xr16:uid="{00000000-0016-0000-0E00-000034020000}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growShrinkType="overwriteClear" connectionId="71" xr16:uid="{00000000-0016-0000-0E00-000033020000}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growShrinkType="overwriteClear" connectionId="45" xr16:uid="{00000000-0016-0000-0E00-000032020000}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58" xr16:uid="{00000000-0016-0000-0E00-000031020000}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69" xr16:uid="{00000000-0016-0000-0E00-000030020000}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growShrinkType="overwriteClear" connectionId="49" xr16:uid="{00000000-0016-0000-0E00-00002F020000}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growShrinkType="overwriteClear" connectionId="76" xr16:uid="{00000000-0016-0000-0E00-00002E020000}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growShrinkType="overwriteClear" connectionId="40" xr16:uid="{00000000-0016-0000-0E00-00002D020000}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growShrinkType="overwriteClear" connectionId="11" xr16:uid="{00000000-0016-0000-0E00-00002C020000}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growShrinkType="overwriteClear" connectionId="48" xr16:uid="{00000000-0016-0000-0E00-00002B020000}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growShrinkType="overwriteClear" connectionId="54" xr16:uid="{00000000-0016-0000-0E00-00002A020000}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growShrinkType="overwriteClear" connectionId="22" xr16:uid="{00000000-0016-0000-0E00-000029020000}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" growShrinkType="overwriteClear" connectionId="79" xr16:uid="{00000000-0016-0000-0E00-000028020000}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" growShrinkType="overwriteClear" connectionId="68" xr16:uid="{00000000-0016-0000-0E00-000027020000}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growShrinkType="overwriteClear" connectionId="10" xr16:uid="{00000000-0016-0000-0E00-000026020000}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2" xr16:uid="{00000000-0016-0000-0E00-000025020000}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growShrinkType="overwriteClear" connectionId="5" xr16:uid="{00000000-0016-0000-0E00-000024020000}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growShrinkType="overwriteClear" connectionId="34" xr16:uid="{00000000-0016-0000-0E00-000023020000}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growShrinkType="overwriteClear" connectionId="1" xr16:uid="{00000000-0016-0000-0E00-000022020000}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growShrinkType="overwriteClear" connectionId="33" xr16:uid="{00000000-0016-0000-0E00-000021020000}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growShrinkType="overwriteClear" connectionId="75" xr16:uid="{00000000-0016-0000-0E00-000020020000}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36" xr16:uid="{00000000-0016-0000-0E00-00001F02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1.xml"/><Relationship Id="rId117" Type="http://schemas.openxmlformats.org/officeDocument/2006/relationships/queryTable" Target="../queryTables/queryTable112.xml"/><Relationship Id="rId21" Type="http://schemas.openxmlformats.org/officeDocument/2006/relationships/queryTable" Target="../queryTables/queryTable16.xml"/><Relationship Id="rId42" Type="http://schemas.openxmlformats.org/officeDocument/2006/relationships/queryTable" Target="../queryTables/queryTable37.xml"/><Relationship Id="rId47" Type="http://schemas.openxmlformats.org/officeDocument/2006/relationships/queryTable" Target="../queryTables/queryTable42.xml"/><Relationship Id="rId63" Type="http://schemas.openxmlformats.org/officeDocument/2006/relationships/queryTable" Target="../queryTables/queryTable58.xml"/><Relationship Id="rId68" Type="http://schemas.openxmlformats.org/officeDocument/2006/relationships/queryTable" Target="../queryTables/queryTable63.xml"/><Relationship Id="rId84" Type="http://schemas.openxmlformats.org/officeDocument/2006/relationships/queryTable" Target="../queryTables/queryTable79.xml"/><Relationship Id="rId89" Type="http://schemas.openxmlformats.org/officeDocument/2006/relationships/queryTable" Target="../queryTables/queryTable84.xml"/><Relationship Id="rId112" Type="http://schemas.openxmlformats.org/officeDocument/2006/relationships/queryTable" Target="../queryTables/queryTable107.xml"/><Relationship Id="rId133" Type="http://schemas.openxmlformats.org/officeDocument/2006/relationships/queryTable" Target="../queryTables/queryTable128.xml"/><Relationship Id="rId138" Type="http://schemas.openxmlformats.org/officeDocument/2006/relationships/queryTable" Target="../queryTables/queryTable133.xml"/><Relationship Id="rId154" Type="http://schemas.openxmlformats.org/officeDocument/2006/relationships/queryTable" Target="../queryTables/queryTable149.xml"/><Relationship Id="rId16" Type="http://schemas.openxmlformats.org/officeDocument/2006/relationships/queryTable" Target="../queryTables/queryTable11.xml"/><Relationship Id="rId107" Type="http://schemas.openxmlformats.org/officeDocument/2006/relationships/queryTable" Target="../queryTables/queryTable102.xml"/><Relationship Id="rId11" Type="http://schemas.openxmlformats.org/officeDocument/2006/relationships/queryTable" Target="../queryTables/queryTable6.xml"/><Relationship Id="rId32" Type="http://schemas.openxmlformats.org/officeDocument/2006/relationships/queryTable" Target="../queryTables/queryTable27.xml"/><Relationship Id="rId37" Type="http://schemas.openxmlformats.org/officeDocument/2006/relationships/queryTable" Target="../queryTables/queryTable32.xml"/><Relationship Id="rId53" Type="http://schemas.openxmlformats.org/officeDocument/2006/relationships/queryTable" Target="../queryTables/queryTable48.xml"/><Relationship Id="rId58" Type="http://schemas.openxmlformats.org/officeDocument/2006/relationships/queryTable" Target="../queryTables/queryTable53.xml"/><Relationship Id="rId74" Type="http://schemas.openxmlformats.org/officeDocument/2006/relationships/queryTable" Target="../queryTables/queryTable69.xml"/><Relationship Id="rId79" Type="http://schemas.openxmlformats.org/officeDocument/2006/relationships/queryTable" Target="../queryTables/queryTable74.xml"/><Relationship Id="rId102" Type="http://schemas.openxmlformats.org/officeDocument/2006/relationships/queryTable" Target="../queryTables/queryTable97.xml"/><Relationship Id="rId123" Type="http://schemas.openxmlformats.org/officeDocument/2006/relationships/queryTable" Target="../queryTables/queryTable118.xml"/><Relationship Id="rId128" Type="http://schemas.openxmlformats.org/officeDocument/2006/relationships/queryTable" Target="../queryTables/queryTable123.xml"/><Relationship Id="rId144" Type="http://schemas.openxmlformats.org/officeDocument/2006/relationships/queryTable" Target="../queryTables/queryTable139.xml"/><Relationship Id="rId149" Type="http://schemas.openxmlformats.org/officeDocument/2006/relationships/queryTable" Target="../queryTables/queryTable144.xml"/><Relationship Id="rId5" Type="http://schemas.openxmlformats.org/officeDocument/2006/relationships/ctrlProp" Target="../ctrlProps/ctrlProp2.xml"/><Relationship Id="rId90" Type="http://schemas.openxmlformats.org/officeDocument/2006/relationships/queryTable" Target="../queryTables/queryTable85.xml"/><Relationship Id="rId95" Type="http://schemas.openxmlformats.org/officeDocument/2006/relationships/queryTable" Target="../queryTables/queryTable90.xml"/><Relationship Id="rId22" Type="http://schemas.openxmlformats.org/officeDocument/2006/relationships/queryTable" Target="../queryTables/queryTable17.xml"/><Relationship Id="rId27" Type="http://schemas.openxmlformats.org/officeDocument/2006/relationships/queryTable" Target="../queryTables/queryTable22.xml"/><Relationship Id="rId43" Type="http://schemas.openxmlformats.org/officeDocument/2006/relationships/queryTable" Target="../queryTables/queryTable38.xml"/><Relationship Id="rId48" Type="http://schemas.openxmlformats.org/officeDocument/2006/relationships/queryTable" Target="../queryTables/queryTable43.xml"/><Relationship Id="rId64" Type="http://schemas.openxmlformats.org/officeDocument/2006/relationships/queryTable" Target="../queryTables/queryTable59.xml"/><Relationship Id="rId69" Type="http://schemas.openxmlformats.org/officeDocument/2006/relationships/queryTable" Target="../queryTables/queryTable64.xml"/><Relationship Id="rId113" Type="http://schemas.openxmlformats.org/officeDocument/2006/relationships/queryTable" Target="../queryTables/queryTable108.xml"/><Relationship Id="rId118" Type="http://schemas.openxmlformats.org/officeDocument/2006/relationships/queryTable" Target="../queryTables/queryTable113.xml"/><Relationship Id="rId134" Type="http://schemas.openxmlformats.org/officeDocument/2006/relationships/queryTable" Target="../queryTables/queryTable129.xml"/><Relationship Id="rId139" Type="http://schemas.openxmlformats.org/officeDocument/2006/relationships/queryTable" Target="../queryTables/queryTable134.xml"/><Relationship Id="rId80" Type="http://schemas.openxmlformats.org/officeDocument/2006/relationships/queryTable" Target="../queryTables/queryTable75.xml"/><Relationship Id="rId85" Type="http://schemas.openxmlformats.org/officeDocument/2006/relationships/queryTable" Target="../queryTables/queryTable80.xml"/><Relationship Id="rId150" Type="http://schemas.openxmlformats.org/officeDocument/2006/relationships/queryTable" Target="../queryTables/queryTable145.xml"/><Relationship Id="rId155" Type="http://schemas.openxmlformats.org/officeDocument/2006/relationships/queryTable" Target="../queryTables/queryTable150.xml"/><Relationship Id="rId12" Type="http://schemas.openxmlformats.org/officeDocument/2006/relationships/queryTable" Target="../queryTables/queryTable7.xml"/><Relationship Id="rId17" Type="http://schemas.openxmlformats.org/officeDocument/2006/relationships/queryTable" Target="../queryTables/queryTable12.xml"/><Relationship Id="rId33" Type="http://schemas.openxmlformats.org/officeDocument/2006/relationships/queryTable" Target="../queryTables/queryTable28.xml"/><Relationship Id="rId38" Type="http://schemas.openxmlformats.org/officeDocument/2006/relationships/queryTable" Target="../queryTables/queryTable33.xml"/><Relationship Id="rId59" Type="http://schemas.openxmlformats.org/officeDocument/2006/relationships/queryTable" Target="../queryTables/queryTable54.xml"/><Relationship Id="rId103" Type="http://schemas.openxmlformats.org/officeDocument/2006/relationships/queryTable" Target="../queryTables/queryTable98.xml"/><Relationship Id="rId108" Type="http://schemas.openxmlformats.org/officeDocument/2006/relationships/queryTable" Target="../queryTables/queryTable103.xml"/><Relationship Id="rId124" Type="http://schemas.openxmlformats.org/officeDocument/2006/relationships/queryTable" Target="../queryTables/queryTable119.xml"/><Relationship Id="rId129" Type="http://schemas.openxmlformats.org/officeDocument/2006/relationships/queryTable" Target="../queryTables/queryTable124.xml"/><Relationship Id="rId20" Type="http://schemas.openxmlformats.org/officeDocument/2006/relationships/queryTable" Target="../queryTables/queryTable15.xml"/><Relationship Id="rId41" Type="http://schemas.openxmlformats.org/officeDocument/2006/relationships/queryTable" Target="../queryTables/queryTable36.xml"/><Relationship Id="rId54" Type="http://schemas.openxmlformats.org/officeDocument/2006/relationships/queryTable" Target="../queryTables/queryTable49.xml"/><Relationship Id="rId62" Type="http://schemas.openxmlformats.org/officeDocument/2006/relationships/queryTable" Target="../queryTables/queryTable57.xml"/><Relationship Id="rId70" Type="http://schemas.openxmlformats.org/officeDocument/2006/relationships/queryTable" Target="../queryTables/queryTable65.xml"/><Relationship Id="rId75" Type="http://schemas.openxmlformats.org/officeDocument/2006/relationships/queryTable" Target="../queryTables/queryTable70.xml"/><Relationship Id="rId83" Type="http://schemas.openxmlformats.org/officeDocument/2006/relationships/queryTable" Target="../queryTables/queryTable78.xml"/><Relationship Id="rId88" Type="http://schemas.openxmlformats.org/officeDocument/2006/relationships/queryTable" Target="../queryTables/queryTable83.xml"/><Relationship Id="rId91" Type="http://schemas.openxmlformats.org/officeDocument/2006/relationships/queryTable" Target="../queryTables/queryTable86.xml"/><Relationship Id="rId96" Type="http://schemas.openxmlformats.org/officeDocument/2006/relationships/queryTable" Target="../queryTables/queryTable91.xml"/><Relationship Id="rId111" Type="http://schemas.openxmlformats.org/officeDocument/2006/relationships/queryTable" Target="../queryTables/queryTable106.xml"/><Relationship Id="rId132" Type="http://schemas.openxmlformats.org/officeDocument/2006/relationships/queryTable" Target="../queryTables/queryTable127.xml"/><Relationship Id="rId140" Type="http://schemas.openxmlformats.org/officeDocument/2006/relationships/queryTable" Target="../queryTables/queryTable135.xml"/><Relationship Id="rId145" Type="http://schemas.openxmlformats.org/officeDocument/2006/relationships/queryTable" Target="../queryTables/queryTable140.xml"/><Relationship Id="rId153" Type="http://schemas.openxmlformats.org/officeDocument/2006/relationships/queryTable" Target="../queryTables/queryTable148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1.xml"/><Relationship Id="rId15" Type="http://schemas.openxmlformats.org/officeDocument/2006/relationships/queryTable" Target="../queryTables/queryTable10.xml"/><Relationship Id="rId23" Type="http://schemas.openxmlformats.org/officeDocument/2006/relationships/queryTable" Target="../queryTables/queryTable18.xml"/><Relationship Id="rId28" Type="http://schemas.openxmlformats.org/officeDocument/2006/relationships/queryTable" Target="../queryTables/queryTable23.xml"/><Relationship Id="rId36" Type="http://schemas.openxmlformats.org/officeDocument/2006/relationships/queryTable" Target="../queryTables/queryTable31.xml"/><Relationship Id="rId49" Type="http://schemas.openxmlformats.org/officeDocument/2006/relationships/queryTable" Target="../queryTables/queryTable44.xml"/><Relationship Id="rId57" Type="http://schemas.openxmlformats.org/officeDocument/2006/relationships/queryTable" Target="../queryTables/queryTable52.xml"/><Relationship Id="rId106" Type="http://schemas.openxmlformats.org/officeDocument/2006/relationships/queryTable" Target="../queryTables/queryTable101.xml"/><Relationship Id="rId114" Type="http://schemas.openxmlformats.org/officeDocument/2006/relationships/queryTable" Target="../queryTables/queryTable109.xml"/><Relationship Id="rId119" Type="http://schemas.openxmlformats.org/officeDocument/2006/relationships/queryTable" Target="../queryTables/queryTable114.xml"/><Relationship Id="rId127" Type="http://schemas.openxmlformats.org/officeDocument/2006/relationships/queryTable" Target="../queryTables/queryTable122.xml"/><Relationship Id="rId10" Type="http://schemas.openxmlformats.org/officeDocument/2006/relationships/queryTable" Target="../queryTables/queryTable5.xml"/><Relationship Id="rId31" Type="http://schemas.openxmlformats.org/officeDocument/2006/relationships/queryTable" Target="../queryTables/queryTable26.xml"/><Relationship Id="rId44" Type="http://schemas.openxmlformats.org/officeDocument/2006/relationships/queryTable" Target="../queryTables/queryTable39.xml"/><Relationship Id="rId52" Type="http://schemas.openxmlformats.org/officeDocument/2006/relationships/queryTable" Target="../queryTables/queryTable47.xml"/><Relationship Id="rId60" Type="http://schemas.openxmlformats.org/officeDocument/2006/relationships/queryTable" Target="../queryTables/queryTable55.xml"/><Relationship Id="rId65" Type="http://schemas.openxmlformats.org/officeDocument/2006/relationships/queryTable" Target="../queryTables/queryTable60.xml"/><Relationship Id="rId73" Type="http://schemas.openxmlformats.org/officeDocument/2006/relationships/queryTable" Target="../queryTables/queryTable68.xml"/><Relationship Id="rId78" Type="http://schemas.openxmlformats.org/officeDocument/2006/relationships/queryTable" Target="../queryTables/queryTable73.xml"/><Relationship Id="rId81" Type="http://schemas.openxmlformats.org/officeDocument/2006/relationships/queryTable" Target="../queryTables/queryTable76.xml"/><Relationship Id="rId86" Type="http://schemas.openxmlformats.org/officeDocument/2006/relationships/queryTable" Target="../queryTables/queryTable81.xml"/><Relationship Id="rId94" Type="http://schemas.openxmlformats.org/officeDocument/2006/relationships/queryTable" Target="../queryTables/queryTable89.xml"/><Relationship Id="rId99" Type="http://schemas.openxmlformats.org/officeDocument/2006/relationships/queryTable" Target="../queryTables/queryTable94.xml"/><Relationship Id="rId101" Type="http://schemas.openxmlformats.org/officeDocument/2006/relationships/queryTable" Target="../queryTables/queryTable96.xml"/><Relationship Id="rId122" Type="http://schemas.openxmlformats.org/officeDocument/2006/relationships/queryTable" Target="../queryTables/queryTable117.xml"/><Relationship Id="rId130" Type="http://schemas.openxmlformats.org/officeDocument/2006/relationships/queryTable" Target="../queryTables/queryTable125.xml"/><Relationship Id="rId135" Type="http://schemas.openxmlformats.org/officeDocument/2006/relationships/queryTable" Target="../queryTables/queryTable130.xml"/><Relationship Id="rId143" Type="http://schemas.openxmlformats.org/officeDocument/2006/relationships/queryTable" Target="../queryTables/queryTable138.xml"/><Relationship Id="rId148" Type="http://schemas.openxmlformats.org/officeDocument/2006/relationships/queryTable" Target="../queryTables/queryTable143.xml"/><Relationship Id="rId151" Type="http://schemas.openxmlformats.org/officeDocument/2006/relationships/queryTable" Target="../queryTables/queryTable146.xml"/><Relationship Id="rId156" Type="http://schemas.openxmlformats.org/officeDocument/2006/relationships/queryTable" Target="../queryTables/queryTable151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4.xml"/><Relationship Id="rId13" Type="http://schemas.openxmlformats.org/officeDocument/2006/relationships/queryTable" Target="../queryTables/queryTable8.xml"/><Relationship Id="rId18" Type="http://schemas.openxmlformats.org/officeDocument/2006/relationships/queryTable" Target="../queryTables/queryTable13.xml"/><Relationship Id="rId39" Type="http://schemas.openxmlformats.org/officeDocument/2006/relationships/queryTable" Target="../queryTables/queryTable34.xml"/><Relationship Id="rId109" Type="http://schemas.openxmlformats.org/officeDocument/2006/relationships/queryTable" Target="../queryTables/queryTable104.xml"/><Relationship Id="rId34" Type="http://schemas.openxmlformats.org/officeDocument/2006/relationships/queryTable" Target="../queryTables/queryTable29.xml"/><Relationship Id="rId50" Type="http://schemas.openxmlformats.org/officeDocument/2006/relationships/queryTable" Target="../queryTables/queryTable45.xml"/><Relationship Id="rId55" Type="http://schemas.openxmlformats.org/officeDocument/2006/relationships/queryTable" Target="../queryTables/queryTable50.xml"/><Relationship Id="rId76" Type="http://schemas.openxmlformats.org/officeDocument/2006/relationships/queryTable" Target="../queryTables/queryTable71.xml"/><Relationship Id="rId97" Type="http://schemas.openxmlformats.org/officeDocument/2006/relationships/queryTable" Target="../queryTables/queryTable92.xml"/><Relationship Id="rId104" Type="http://schemas.openxmlformats.org/officeDocument/2006/relationships/queryTable" Target="../queryTables/queryTable99.xml"/><Relationship Id="rId120" Type="http://schemas.openxmlformats.org/officeDocument/2006/relationships/queryTable" Target="../queryTables/queryTable115.xml"/><Relationship Id="rId125" Type="http://schemas.openxmlformats.org/officeDocument/2006/relationships/queryTable" Target="../queryTables/queryTable120.xml"/><Relationship Id="rId141" Type="http://schemas.openxmlformats.org/officeDocument/2006/relationships/queryTable" Target="../queryTables/queryTable136.xml"/><Relationship Id="rId146" Type="http://schemas.openxmlformats.org/officeDocument/2006/relationships/queryTable" Target="../queryTables/queryTable141.xml"/><Relationship Id="rId7" Type="http://schemas.openxmlformats.org/officeDocument/2006/relationships/queryTable" Target="../queryTables/queryTable2.xml"/><Relationship Id="rId71" Type="http://schemas.openxmlformats.org/officeDocument/2006/relationships/queryTable" Target="../queryTables/queryTable66.xml"/><Relationship Id="rId92" Type="http://schemas.openxmlformats.org/officeDocument/2006/relationships/queryTable" Target="../queryTables/queryTable87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24.xml"/><Relationship Id="rId24" Type="http://schemas.openxmlformats.org/officeDocument/2006/relationships/queryTable" Target="../queryTables/queryTable19.xml"/><Relationship Id="rId40" Type="http://schemas.openxmlformats.org/officeDocument/2006/relationships/queryTable" Target="../queryTables/queryTable35.xml"/><Relationship Id="rId45" Type="http://schemas.openxmlformats.org/officeDocument/2006/relationships/queryTable" Target="../queryTables/queryTable40.xml"/><Relationship Id="rId66" Type="http://schemas.openxmlformats.org/officeDocument/2006/relationships/queryTable" Target="../queryTables/queryTable61.xml"/><Relationship Id="rId87" Type="http://schemas.openxmlformats.org/officeDocument/2006/relationships/queryTable" Target="../queryTables/queryTable82.xml"/><Relationship Id="rId110" Type="http://schemas.openxmlformats.org/officeDocument/2006/relationships/queryTable" Target="../queryTables/queryTable105.xml"/><Relationship Id="rId115" Type="http://schemas.openxmlformats.org/officeDocument/2006/relationships/queryTable" Target="../queryTables/queryTable110.xml"/><Relationship Id="rId131" Type="http://schemas.openxmlformats.org/officeDocument/2006/relationships/queryTable" Target="../queryTables/queryTable126.xml"/><Relationship Id="rId136" Type="http://schemas.openxmlformats.org/officeDocument/2006/relationships/queryTable" Target="../queryTables/queryTable131.xml"/><Relationship Id="rId157" Type="http://schemas.openxmlformats.org/officeDocument/2006/relationships/queryTable" Target="../queryTables/queryTable152.xml"/><Relationship Id="rId61" Type="http://schemas.openxmlformats.org/officeDocument/2006/relationships/queryTable" Target="../queryTables/queryTable56.xml"/><Relationship Id="rId82" Type="http://schemas.openxmlformats.org/officeDocument/2006/relationships/queryTable" Target="../queryTables/queryTable77.xml"/><Relationship Id="rId152" Type="http://schemas.openxmlformats.org/officeDocument/2006/relationships/queryTable" Target="../queryTables/queryTable147.xml"/><Relationship Id="rId19" Type="http://schemas.openxmlformats.org/officeDocument/2006/relationships/queryTable" Target="../queryTables/queryTable14.xml"/><Relationship Id="rId14" Type="http://schemas.openxmlformats.org/officeDocument/2006/relationships/queryTable" Target="../queryTables/queryTable9.xml"/><Relationship Id="rId30" Type="http://schemas.openxmlformats.org/officeDocument/2006/relationships/queryTable" Target="../queryTables/queryTable25.xml"/><Relationship Id="rId35" Type="http://schemas.openxmlformats.org/officeDocument/2006/relationships/queryTable" Target="../queryTables/queryTable30.xml"/><Relationship Id="rId56" Type="http://schemas.openxmlformats.org/officeDocument/2006/relationships/queryTable" Target="../queryTables/queryTable51.xml"/><Relationship Id="rId77" Type="http://schemas.openxmlformats.org/officeDocument/2006/relationships/queryTable" Target="../queryTables/queryTable72.xml"/><Relationship Id="rId100" Type="http://schemas.openxmlformats.org/officeDocument/2006/relationships/queryTable" Target="../queryTables/queryTable95.xml"/><Relationship Id="rId105" Type="http://schemas.openxmlformats.org/officeDocument/2006/relationships/queryTable" Target="../queryTables/queryTable100.xml"/><Relationship Id="rId126" Type="http://schemas.openxmlformats.org/officeDocument/2006/relationships/queryTable" Target="../queryTables/queryTable121.xml"/><Relationship Id="rId147" Type="http://schemas.openxmlformats.org/officeDocument/2006/relationships/queryTable" Target="../queryTables/queryTable142.xml"/><Relationship Id="rId8" Type="http://schemas.openxmlformats.org/officeDocument/2006/relationships/queryTable" Target="../queryTables/queryTable3.xml"/><Relationship Id="rId51" Type="http://schemas.openxmlformats.org/officeDocument/2006/relationships/queryTable" Target="../queryTables/queryTable46.xml"/><Relationship Id="rId72" Type="http://schemas.openxmlformats.org/officeDocument/2006/relationships/queryTable" Target="../queryTables/queryTable67.xml"/><Relationship Id="rId93" Type="http://schemas.openxmlformats.org/officeDocument/2006/relationships/queryTable" Target="../queryTables/queryTable88.xml"/><Relationship Id="rId98" Type="http://schemas.openxmlformats.org/officeDocument/2006/relationships/queryTable" Target="../queryTables/queryTable93.xml"/><Relationship Id="rId121" Type="http://schemas.openxmlformats.org/officeDocument/2006/relationships/queryTable" Target="../queryTables/queryTable116.xml"/><Relationship Id="rId142" Type="http://schemas.openxmlformats.org/officeDocument/2006/relationships/queryTable" Target="../queryTables/queryTable137.xml"/><Relationship Id="rId3" Type="http://schemas.openxmlformats.org/officeDocument/2006/relationships/vmlDrawing" Target="../drawings/vmlDrawing2.vml"/><Relationship Id="rId25" Type="http://schemas.openxmlformats.org/officeDocument/2006/relationships/queryTable" Target="../queryTables/queryTable20.xml"/><Relationship Id="rId46" Type="http://schemas.openxmlformats.org/officeDocument/2006/relationships/queryTable" Target="../queryTables/queryTable41.xml"/><Relationship Id="rId67" Type="http://schemas.openxmlformats.org/officeDocument/2006/relationships/queryTable" Target="../queryTables/queryTable62.xml"/><Relationship Id="rId116" Type="http://schemas.openxmlformats.org/officeDocument/2006/relationships/queryTable" Target="../queryTables/queryTable111.xml"/><Relationship Id="rId137" Type="http://schemas.openxmlformats.org/officeDocument/2006/relationships/queryTable" Target="../queryTables/queryTable132.xml"/><Relationship Id="rId158" Type="http://schemas.openxmlformats.org/officeDocument/2006/relationships/queryTable" Target="../queryTables/queryTable153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74.xml"/><Relationship Id="rId21" Type="http://schemas.openxmlformats.org/officeDocument/2006/relationships/queryTable" Target="../queryTables/queryTable169.xml"/><Relationship Id="rId42" Type="http://schemas.openxmlformats.org/officeDocument/2006/relationships/queryTable" Target="../queryTables/queryTable190.xml"/><Relationship Id="rId47" Type="http://schemas.openxmlformats.org/officeDocument/2006/relationships/queryTable" Target="../queryTables/queryTable195.xml"/><Relationship Id="rId63" Type="http://schemas.openxmlformats.org/officeDocument/2006/relationships/queryTable" Target="../queryTables/queryTable211.xml"/><Relationship Id="rId68" Type="http://schemas.openxmlformats.org/officeDocument/2006/relationships/queryTable" Target="../queryTables/queryTable216.xml"/><Relationship Id="rId84" Type="http://schemas.openxmlformats.org/officeDocument/2006/relationships/queryTable" Target="../queryTables/queryTable232.xml"/><Relationship Id="rId89" Type="http://schemas.openxmlformats.org/officeDocument/2006/relationships/queryTable" Target="../queryTables/queryTable237.xml"/><Relationship Id="rId112" Type="http://schemas.openxmlformats.org/officeDocument/2006/relationships/queryTable" Target="../queryTables/queryTable260.xml"/><Relationship Id="rId2" Type="http://schemas.openxmlformats.org/officeDocument/2006/relationships/drawing" Target="../drawings/drawing2.xml"/><Relationship Id="rId16" Type="http://schemas.openxmlformats.org/officeDocument/2006/relationships/queryTable" Target="../queryTables/queryTable164.xml"/><Relationship Id="rId29" Type="http://schemas.openxmlformats.org/officeDocument/2006/relationships/queryTable" Target="../queryTables/queryTable177.xml"/><Relationship Id="rId107" Type="http://schemas.openxmlformats.org/officeDocument/2006/relationships/queryTable" Target="../queryTables/queryTable255.xml"/><Relationship Id="rId11" Type="http://schemas.openxmlformats.org/officeDocument/2006/relationships/queryTable" Target="../queryTables/queryTable159.xml"/><Relationship Id="rId24" Type="http://schemas.openxmlformats.org/officeDocument/2006/relationships/queryTable" Target="../queryTables/queryTable172.xml"/><Relationship Id="rId32" Type="http://schemas.openxmlformats.org/officeDocument/2006/relationships/queryTable" Target="../queryTables/queryTable180.xml"/><Relationship Id="rId37" Type="http://schemas.openxmlformats.org/officeDocument/2006/relationships/queryTable" Target="../queryTables/queryTable185.xml"/><Relationship Id="rId40" Type="http://schemas.openxmlformats.org/officeDocument/2006/relationships/queryTable" Target="../queryTables/queryTable188.xml"/><Relationship Id="rId45" Type="http://schemas.openxmlformats.org/officeDocument/2006/relationships/queryTable" Target="../queryTables/queryTable193.xml"/><Relationship Id="rId53" Type="http://schemas.openxmlformats.org/officeDocument/2006/relationships/queryTable" Target="../queryTables/queryTable201.xml"/><Relationship Id="rId58" Type="http://schemas.openxmlformats.org/officeDocument/2006/relationships/queryTable" Target="../queryTables/queryTable206.xml"/><Relationship Id="rId66" Type="http://schemas.openxmlformats.org/officeDocument/2006/relationships/queryTable" Target="../queryTables/queryTable214.xml"/><Relationship Id="rId74" Type="http://schemas.openxmlformats.org/officeDocument/2006/relationships/queryTable" Target="../queryTables/queryTable222.xml"/><Relationship Id="rId79" Type="http://schemas.openxmlformats.org/officeDocument/2006/relationships/queryTable" Target="../queryTables/queryTable227.xml"/><Relationship Id="rId87" Type="http://schemas.openxmlformats.org/officeDocument/2006/relationships/queryTable" Target="../queryTables/queryTable235.xml"/><Relationship Id="rId102" Type="http://schemas.openxmlformats.org/officeDocument/2006/relationships/queryTable" Target="../queryTables/queryTable250.xml"/><Relationship Id="rId110" Type="http://schemas.openxmlformats.org/officeDocument/2006/relationships/queryTable" Target="../queryTables/queryTable258.xml"/><Relationship Id="rId5" Type="http://schemas.openxmlformats.org/officeDocument/2006/relationships/ctrlProp" Target="../ctrlProps/ctrlProp4.xml"/><Relationship Id="rId61" Type="http://schemas.openxmlformats.org/officeDocument/2006/relationships/queryTable" Target="../queryTables/queryTable209.xml"/><Relationship Id="rId82" Type="http://schemas.openxmlformats.org/officeDocument/2006/relationships/queryTable" Target="../queryTables/queryTable230.xml"/><Relationship Id="rId90" Type="http://schemas.openxmlformats.org/officeDocument/2006/relationships/queryTable" Target="../queryTables/queryTable238.xml"/><Relationship Id="rId95" Type="http://schemas.openxmlformats.org/officeDocument/2006/relationships/queryTable" Target="../queryTables/queryTable243.xml"/><Relationship Id="rId19" Type="http://schemas.openxmlformats.org/officeDocument/2006/relationships/queryTable" Target="../queryTables/queryTable167.xml"/><Relationship Id="rId14" Type="http://schemas.openxmlformats.org/officeDocument/2006/relationships/queryTable" Target="../queryTables/queryTable162.xml"/><Relationship Id="rId22" Type="http://schemas.openxmlformats.org/officeDocument/2006/relationships/queryTable" Target="../queryTables/queryTable170.xml"/><Relationship Id="rId27" Type="http://schemas.openxmlformats.org/officeDocument/2006/relationships/queryTable" Target="../queryTables/queryTable175.xml"/><Relationship Id="rId30" Type="http://schemas.openxmlformats.org/officeDocument/2006/relationships/queryTable" Target="../queryTables/queryTable178.xml"/><Relationship Id="rId35" Type="http://schemas.openxmlformats.org/officeDocument/2006/relationships/queryTable" Target="../queryTables/queryTable183.xml"/><Relationship Id="rId43" Type="http://schemas.openxmlformats.org/officeDocument/2006/relationships/queryTable" Target="../queryTables/queryTable191.xml"/><Relationship Id="rId48" Type="http://schemas.openxmlformats.org/officeDocument/2006/relationships/queryTable" Target="../queryTables/queryTable196.xml"/><Relationship Id="rId56" Type="http://schemas.openxmlformats.org/officeDocument/2006/relationships/queryTable" Target="../queryTables/queryTable204.xml"/><Relationship Id="rId64" Type="http://schemas.openxmlformats.org/officeDocument/2006/relationships/queryTable" Target="../queryTables/queryTable212.xml"/><Relationship Id="rId69" Type="http://schemas.openxmlformats.org/officeDocument/2006/relationships/queryTable" Target="../queryTables/queryTable217.xml"/><Relationship Id="rId77" Type="http://schemas.openxmlformats.org/officeDocument/2006/relationships/queryTable" Target="../queryTables/queryTable225.xml"/><Relationship Id="rId100" Type="http://schemas.openxmlformats.org/officeDocument/2006/relationships/queryTable" Target="../queryTables/queryTable248.xml"/><Relationship Id="rId105" Type="http://schemas.openxmlformats.org/officeDocument/2006/relationships/queryTable" Target="../queryTables/queryTable253.xml"/><Relationship Id="rId8" Type="http://schemas.openxmlformats.org/officeDocument/2006/relationships/queryTable" Target="../queryTables/queryTable156.xml"/><Relationship Id="rId51" Type="http://schemas.openxmlformats.org/officeDocument/2006/relationships/queryTable" Target="../queryTables/queryTable199.xml"/><Relationship Id="rId72" Type="http://schemas.openxmlformats.org/officeDocument/2006/relationships/queryTable" Target="../queryTables/queryTable220.xml"/><Relationship Id="rId80" Type="http://schemas.openxmlformats.org/officeDocument/2006/relationships/queryTable" Target="../queryTables/queryTable228.xml"/><Relationship Id="rId85" Type="http://schemas.openxmlformats.org/officeDocument/2006/relationships/queryTable" Target="../queryTables/queryTable233.xml"/><Relationship Id="rId93" Type="http://schemas.openxmlformats.org/officeDocument/2006/relationships/queryTable" Target="../queryTables/queryTable241.xml"/><Relationship Id="rId98" Type="http://schemas.openxmlformats.org/officeDocument/2006/relationships/queryTable" Target="../queryTables/queryTable246.xml"/><Relationship Id="rId3" Type="http://schemas.openxmlformats.org/officeDocument/2006/relationships/vmlDrawing" Target="../drawings/vmlDrawing3.vml"/><Relationship Id="rId12" Type="http://schemas.openxmlformats.org/officeDocument/2006/relationships/queryTable" Target="../queryTables/queryTable160.xml"/><Relationship Id="rId17" Type="http://schemas.openxmlformats.org/officeDocument/2006/relationships/queryTable" Target="../queryTables/queryTable165.xml"/><Relationship Id="rId25" Type="http://schemas.openxmlformats.org/officeDocument/2006/relationships/queryTable" Target="../queryTables/queryTable173.xml"/><Relationship Id="rId33" Type="http://schemas.openxmlformats.org/officeDocument/2006/relationships/queryTable" Target="../queryTables/queryTable181.xml"/><Relationship Id="rId38" Type="http://schemas.openxmlformats.org/officeDocument/2006/relationships/queryTable" Target="../queryTables/queryTable186.xml"/><Relationship Id="rId46" Type="http://schemas.openxmlformats.org/officeDocument/2006/relationships/queryTable" Target="../queryTables/queryTable194.xml"/><Relationship Id="rId59" Type="http://schemas.openxmlformats.org/officeDocument/2006/relationships/queryTable" Target="../queryTables/queryTable207.xml"/><Relationship Id="rId67" Type="http://schemas.openxmlformats.org/officeDocument/2006/relationships/queryTable" Target="../queryTables/queryTable215.xml"/><Relationship Id="rId103" Type="http://schemas.openxmlformats.org/officeDocument/2006/relationships/queryTable" Target="../queryTables/queryTable251.xml"/><Relationship Id="rId108" Type="http://schemas.openxmlformats.org/officeDocument/2006/relationships/queryTable" Target="../queryTables/queryTable256.xml"/><Relationship Id="rId20" Type="http://schemas.openxmlformats.org/officeDocument/2006/relationships/queryTable" Target="../queryTables/queryTable168.xml"/><Relationship Id="rId41" Type="http://schemas.openxmlformats.org/officeDocument/2006/relationships/queryTable" Target="../queryTables/queryTable189.xml"/><Relationship Id="rId54" Type="http://schemas.openxmlformats.org/officeDocument/2006/relationships/queryTable" Target="../queryTables/queryTable202.xml"/><Relationship Id="rId62" Type="http://schemas.openxmlformats.org/officeDocument/2006/relationships/queryTable" Target="../queryTables/queryTable210.xml"/><Relationship Id="rId70" Type="http://schemas.openxmlformats.org/officeDocument/2006/relationships/queryTable" Target="../queryTables/queryTable218.xml"/><Relationship Id="rId75" Type="http://schemas.openxmlformats.org/officeDocument/2006/relationships/queryTable" Target="../queryTables/queryTable223.xml"/><Relationship Id="rId83" Type="http://schemas.openxmlformats.org/officeDocument/2006/relationships/queryTable" Target="../queryTables/queryTable231.xml"/><Relationship Id="rId88" Type="http://schemas.openxmlformats.org/officeDocument/2006/relationships/queryTable" Target="../queryTables/queryTable236.xml"/><Relationship Id="rId91" Type="http://schemas.openxmlformats.org/officeDocument/2006/relationships/queryTable" Target="../queryTables/queryTable239.xml"/><Relationship Id="rId96" Type="http://schemas.openxmlformats.org/officeDocument/2006/relationships/queryTable" Target="../queryTables/queryTable244.xml"/><Relationship Id="rId111" Type="http://schemas.openxmlformats.org/officeDocument/2006/relationships/queryTable" Target="../queryTables/queryTable259.xml"/><Relationship Id="rId1" Type="http://schemas.openxmlformats.org/officeDocument/2006/relationships/printerSettings" Target="../printerSettings/printerSettings4.bin"/><Relationship Id="rId6" Type="http://schemas.openxmlformats.org/officeDocument/2006/relationships/queryTable" Target="../queryTables/queryTable154.xml"/><Relationship Id="rId15" Type="http://schemas.openxmlformats.org/officeDocument/2006/relationships/queryTable" Target="../queryTables/queryTable163.xml"/><Relationship Id="rId23" Type="http://schemas.openxmlformats.org/officeDocument/2006/relationships/queryTable" Target="../queryTables/queryTable171.xml"/><Relationship Id="rId28" Type="http://schemas.openxmlformats.org/officeDocument/2006/relationships/queryTable" Target="../queryTables/queryTable176.xml"/><Relationship Id="rId36" Type="http://schemas.openxmlformats.org/officeDocument/2006/relationships/queryTable" Target="../queryTables/queryTable184.xml"/><Relationship Id="rId49" Type="http://schemas.openxmlformats.org/officeDocument/2006/relationships/queryTable" Target="../queryTables/queryTable197.xml"/><Relationship Id="rId57" Type="http://schemas.openxmlformats.org/officeDocument/2006/relationships/queryTable" Target="../queryTables/queryTable205.xml"/><Relationship Id="rId106" Type="http://schemas.openxmlformats.org/officeDocument/2006/relationships/queryTable" Target="../queryTables/queryTable254.xml"/><Relationship Id="rId10" Type="http://schemas.openxmlformats.org/officeDocument/2006/relationships/queryTable" Target="../queryTables/queryTable158.xml"/><Relationship Id="rId31" Type="http://schemas.openxmlformats.org/officeDocument/2006/relationships/queryTable" Target="../queryTables/queryTable179.xml"/><Relationship Id="rId44" Type="http://schemas.openxmlformats.org/officeDocument/2006/relationships/queryTable" Target="../queryTables/queryTable192.xml"/><Relationship Id="rId52" Type="http://schemas.openxmlformats.org/officeDocument/2006/relationships/queryTable" Target="../queryTables/queryTable200.xml"/><Relationship Id="rId60" Type="http://schemas.openxmlformats.org/officeDocument/2006/relationships/queryTable" Target="../queryTables/queryTable208.xml"/><Relationship Id="rId65" Type="http://schemas.openxmlformats.org/officeDocument/2006/relationships/queryTable" Target="../queryTables/queryTable213.xml"/><Relationship Id="rId73" Type="http://schemas.openxmlformats.org/officeDocument/2006/relationships/queryTable" Target="../queryTables/queryTable221.xml"/><Relationship Id="rId78" Type="http://schemas.openxmlformats.org/officeDocument/2006/relationships/queryTable" Target="../queryTables/queryTable226.xml"/><Relationship Id="rId81" Type="http://schemas.openxmlformats.org/officeDocument/2006/relationships/queryTable" Target="../queryTables/queryTable229.xml"/><Relationship Id="rId86" Type="http://schemas.openxmlformats.org/officeDocument/2006/relationships/queryTable" Target="../queryTables/queryTable234.xml"/><Relationship Id="rId94" Type="http://schemas.openxmlformats.org/officeDocument/2006/relationships/queryTable" Target="../queryTables/queryTable242.xml"/><Relationship Id="rId99" Type="http://schemas.openxmlformats.org/officeDocument/2006/relationships/queryTable" Target="../queryTables/queryTable247.xml"/><Relationship Id="rId101" Type="http://schemas.openxmlformats.org/officeDocument/2006/relationships/queryTable" Target="../queryTables/queryTable249.xml"/><Relationship Id="rId4" Type="http://schemas.openxmlformats.org/officeDocument/2006/relationships/ctrlProp" Target="../ctrlProps/ctrlProp3.xml"/><Relationship Id="rId9" Type="http://schemas.openxmlformats.org/officeDocument/2006/relationships/queryTable" Target="../queryTables/queryTable157.xml"/><Relationship Id="rId13" Type="http://schemas.openxmlformats.org/officeDocument/2006/relationships/queryTable" Target="../queryTables/queryTable161.xml"/><Relationship Id="rId18" Type="http://schemas.openxmlformats.org/officeDocument/2006/relationships/queryTable" Target="../queryTables/queryTable166.xml"/><Relationship Id="rId39" Type="http://schemas.openxmlformats.org/officeDocument/2006/relationships/queryTable" Target="../queryTables/queryTable187.xml"/><Relationship Id="rId109" Type="http://schemas.openxmlformats.org/officeDocument/2006/relationships/queryTable" Target="../queryTables/queryTable257.xml"/><Relationship Id="rId34" Type="http://schemas.openxmlformats.org/officeDocument/2006/relationships/queryTable" Target="../queryTables/queryTable182.xml"/><Relationship Id="rId50" Type="http://schemas.openxmlformats.org/officeDocument/2006/relationships/queryTable" Target="../queryTables/queryTable198.xml"/><Relationship Id="rId55" Type="http://schemas.openxmlformats.org/officeDocument/2006/relationships/queryTable" Target="../queryTables/queryTable203.xml"/><Relationship Id="rId76" Type="http://schemas.openxmlformats.org/officeDocument/2006/relationships/queryTable" Target="../queryTables/queryTable224.xml"/><Relationship Id="rId97" Type="http://schemas.openxmlformats.org/officeDocument/2006/relationships/queryTable" Target="../queryTables/queryTable245.xml"/><Relationship Id="rId104" Type="http://schemas.openxmlformats.org/officeDocument/2006/relationships/queryTable" Target="../queryTables/queryTable252.xml"/><Relationship Id="rId7" Type="http://schemas.openxmlformats.org/officeDocument/2006/relationships/queryTable" Target="../queryTables/queryTable155.xml"/><Relationship Id="rId71" Type="http://schemas.openxmlformats.org/officeDocument/2006/relationships/queryTable" Target="../queryTables/queryTable219.xml"/><Relationship Id="rId92" Type="http://schemas.openxmlformats.org/officeDocument/2006/relationships/queryTable" Target="../queryTables/queryTable240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269.xml"/><Relationship Id="rId18" Type="http://schemas.openxmlformats.org/officeDocument/2006/relationships/queryTable" Target="../queryTables/queryTable274.xml"/><Relationship Id="rId26" Type="http://schemas.openxmlformats.org/officeDocument/2006/relationships/queryTable" Target="../queryTables/queryTable282.xml"/><Relationship Id="rId39" Type="http://schemas.openxmlformats.org/officeDocument/2006/relationships/queryTable" Target="../queryTables/queryTable295.xml"/><Relationship Id="rId21" Type="http://schemas.openxmlformats.org/officeDocument/2006/relationships/queryTable" Target="../queryTables/queryTable277.xml"/><Relationship Id="rId34" Type="http://schemas.openxmlformats.org/officeDocument/2006/relationships/queryTable" Target="../queryTables/queryTable290.xml"/><Relationship Id="rId42" Type="http://schemas.openxmlformats.org/officeDocument/2006/relationships/queryTable" Target="../queryTables/queryTable298.xml"/><Relationship Id="rId47" Type="http://schemas.openxmlformats.org/officeDocument/2006/relationships/queryTable" Target="../queryTables/queryTable303.xml"/><Relationship Id="rId50" Type="http://schemas.openxmlformats.org/officeDocument/2006/relationships/queryTable" Target="../queryTables/queryTable306.xml"/><Relationship Id="rId55" Type="http://schemas.openxmlformats.org/officeDocument/2006/relationships/queryTable" Target="../queryTables/queryTable311.xml"/><Relationship Id="rId63" Type="http://schemas.openxmlformats.org/officeDocument/2006/relationships/queryTable" Target="../queryTables/queryTable319.xml"/><Relationship Id="rId68" Type="http://schemas.openxmlformats.org/officeDocument/2006/relationships/queryTable" Target="../queryTables/queryTable324.xml"/><Relationship Id="rId76" Type="http://schemas.openxmlformats.org/officeDocument/2006/relationships/queryTable" Target="../queryTables/queryTable332.xml"/><Relationship Id="rId7" Type="http://schemas.openxmlformats.org/officeDocument/2006/relationships/queryTable" Target="../queryTables/queryTable263.xml"/><Relationship Id="rId71" Type="http://schemas.openxmlformats.org/officeDocument/2006/relationships/queryTable" Target="../queryTables/queryTable327.xml"/><Relationship Id="rId2" Type="http://schemas.openxmlformats.org/officeDocument/2006/relationships/vmlDrawing" Target="../drawings/vmlDrawing4.vml"/><Relationship Id="rId16" Type="http://schemas.openxmlformats.org/officeDocument/2006/relationships/queryTable" Target="../queryTables/queryTable272.xml"/><Relationship Id="rId29" Type="http://schemas.openxmlformats.org/officeDocument/2006/relationships/queryTable" Target="../queryTables/queryTable285.xml"/><Relationship Id="rId11" Type="http://schemas.openxmlformats.org/officeDocument/2006/relationships/queryTable" Target="../queryTables/queryTable267.xml"/><Relationship Id="rId24" Type="http://schemas.openxmlformats.org/officeDocument/2006/relationships/queryTable" Target="../queryTables/queryTable280.xml"/><Relationship Id="rId32" Type="http://schemas.openxmlformats.org/officeDocument/2006/relationships/queryTable" Target="../queryTables/queryTable288.xml"/><Relationship Id="rId37" Type="http://schemas.openxmlformats.org/officeDocument/2006/relationships/queryTable" Target="../queryTables/queryTable293.xml"/><Relationship Id="rId40" Type="http://schemas.openxmlformats.org/officeDocument/2006/relationships/queryTable" Target="../queryTables/queryTable296.xml"/><Relationship Id="rId45" Type="http://schemas.openxmlformats.org/officeDocument/2006/relationships/queryTable" Target="../queryTables/queryTable301.xml"/><Relationship Id="rId53" Type="http://schemas.openxmlformats.org/officeDocument/2006/relationships/queryTable" Target="../queryTables/queryTable309.xml"/><Relationship Id="rId58" Type="http://schemas.openxmlformats.org/officeDocument/2006/relationships/queryTable" Target="../queryTables/queryTable314.xml"/><Relationship Id="rId66" Type="http://schemas.openxmlformats.org/officeDocument/2006/relationships/queryTable" Target="../queryTables/queryTable322.xml"/><Relationship Id="rId74" Type="http://schemas.openxmlformats.org/officeDocument/2006/relationships/queryTable" Target="../queryTables/queryTable330.xml"/><Relationship Id="rId79" Type="http://schemas.openxmlformats.org/officeDocument/2006/relationships/queryTable" Target="../queryTables/queryTable335.xml"/><Relationship Id="rId5" Type="http://schemas.openxmlformats.org/officeDocument/2006/relationships/queryTable" Target="../queryTables/queryTable261.xml"/><Relationship Id="rId61" Type="http://schemas.openxmlformats.org/officeDocument/2006/relationships/queryTable" Target="../queryTables/queryTable317.xml"/><Relationship Id="rId82" Type="http://schemas.openxmlformats.org/officeDocument/2006/relationships/queryTable" Target="../queryTables/queryTable338.xml"/><Relationship Id="rId10" Type="http://schemas.openxmlformats.org/officeDocument/2006/relationships/queryTable" Target="../queryTables/queryTable266.xml"/><Relationship Id="rId19" Type="http://schemas.openxmlformats.org/officeDocument/2006/relationships/queryTable" Target="../queryTables/queryTable275.xml"/><Relationship Id="rId31" Type="http://schemas.openxmlformats.org/officeDocument/2006/relationships/queryTable" Target="../queryTables/queryTable287.xml"/><Relationship Id="rId44" Type="http://schemas.openxmlformats.org/officeDocument/2006/relationships/queryTable" Target="../queryTables/queryTable300.xml"/><Relationship Id="rId52" Type="http://schemas.openxmlformats.org/officeDocument/2006/relationships/queryTable" Target="../queryTables/queryTable308.xml"/><Relationship Id="rId60" Type="http://schemas.openxmlformats.org/officeDocument/2006/relationships/queryTable" Target="../queryTables/queryTable316.xml"/><Relationship Id="rId65" Type="http://schemas.openxmlformats.org/officeDocument/2006/relationships/queryTable" Target="../queryTables/queryTable321.xml"/><Relationship Id="rId73" Type="http://schemas.openxmlformats.org/officeDocument/2006/relationships/queryTable" Target="../queryTables/queryTable329.xml"/><Relationship Id="rId78" Type="http://schemas.openxmlformats.org/officeDocument/2006/relationships/queryTable" Target="../queryTables/queryTable334.xml"/><Relationship Id="rId81" Type="http://schemas.openxmlformats.org/officeDocument/2006/relationships/queryTable" Target="../queryTables/queryTable337.xml"/><Relationship Id="rId4" Type="http://schemas.openxmlformats.org/officeDocument/2006/relationships/ctrlProp" Target="../ctrlProps/ctrlProp6.xml"/><Relationship Id="rId9" Type="http://schemas.openxmlformats.org/officeDocument/2006/relationships/queryTable" Target="../queryTables/queryTable265.xml"/><Relationship Id="rId14" Type="http://schemas.openxmlformats.org/officeDocument/2006/relationships/queryTable" Target="../queryTables/queryTable270.xml"/><Relationship Id="rId22" Type="http://schemas.openxmlformats.org/officeDocument/2006/relationships/queryTable" Target="../queryTables/queryTable278.xml"/><Relationship Id="rId27" Type="http://schemas.openxmlformats.org/officeDocument/2006/relationships/queryTable" Target="../queryTables/queryTable283.xml"/><Relationship Id="rId30" Type="http://schemas.openxmlformats.org/officeDocument/2006/relationships/queryTable" Target="../queryTables/queryTable286.xml"/><Relationship Id="rId35" Type="http://schemas.openxmlformats.org/officeDocument/2006/relationships/queryTable" Target="../queryTables/queryTable291.xml"/><Relationship Id="rId43" Type="http://schemas.openxmlformats.org/officeDocument/2006/relationships/queryTable" Target="../queryTables/queryTable299.xml"/><Relationship Id="rId48" Type="http://schemas.openxmlformats.org/officeDocument/2006/relationships/queryTable" Target="../queryTables/queryTable304.xml"/><Relationship Id="rId56" Type="http://schemas.openxmlformats.org/officeDocument/2006/relationships/queryTable" Target="../queryTables/queryTable312.xml"/><Relationship Id="rId64" Type="http://schemas.openxmlformats.org/officeDocument/2006/relationships/queryTable" Target="../queryTables/queryTable320.xml"/><Relationship Id="rId69" Type="http://schemas.openxmlformats.org/officeDocument/2006/relationships/queryTable" Target="../queryTables/queryTable325.xml"/><Relationship Id="rId77" Type="http://schemas.openxmlformats.org/officeDocument/2006/relationships/queryTable" Target="../queryTables/queryTable333.xml"/><Relationship Id="rId8" Type="http://schemas.openxmlformats.org/officeDocument/2006/relationships/queryTable" Target="../queryTables/queryTable264.xml"/><Relationship Id="rId51" Type="http://schemas.openxmlformats.org/officeDocument/2006/relationships/queryTable" Target="../queryTables/queryTable307.xml"/><Relationship Id="rId72" Type="http://schemas.openxmlformats.org/officeDocument/2006/relationships/queryTable" Target="../queryTables/queryTable328.xml"/><Relationship Id="rId80" Type="http://schemas.openxmlformats.org/officeDocument/2006/relationships/queryTable" Target="../queryTables/queryTable336.xml"/><Relationship Id="rId3" Type="http://schemas.openxmlformats.org/officeDocument/2006/relationships/ctrlProp" Target="../ctrlProps/ctrlProp5.xml"/><Relationship Id="rId12" Type="http://schemas.openxmlformats.org/officeDocument/2006/relationships/queryTable" Target="../queryTables/queryTable268.xml"/><Relationship Id="rId17" Type="http://schemas.openxmlformats.org/officeDocument/2006/relationships/queryTable" Target="../queryTables/queryTable273.xml"/><Relationship Id="rId25" Type="http://schemas.openxmlformats.org/officeDocument/2006/relationships/queryTable" Target="../queryTables/queryTable281.xml"/><Relationship Id="rId33" Type="http://schemas.openxmlformats.org/officeDocument/2006/relationships/queryTable" Target="../queryTables/queryTable289.xml"/><Relationship Id="rId38" Type="http://schemas.openxmlformats.org/officeDocument/2006/relationships/queryTable" Target="../queryTables/queryTable294.xml"/><Relationship Id="rId46" Type="http://schemas.openxmlformats.org/officeDocument/2006/relationships/queryTable" Target="../queryTables/queryTable302.xml"/><Relationship Id="rId59" Type="http://schemas.openxmlformats.org/officeDocument/2006/relationships/queryTable" Target="../queryTables/queryTable315.xml"/><Relationship Id="rId67" Type="http://schemas.openxmlformats.org/officeDocument/2006/relationships/queryTable" Target="../queryTables/queryTable323.xml"/><Relationship Id="rId20" Type="http://schemas.openxmlformats.org/officeDocument/2006/relationships/queryTable" Target="../queryTables/queryTable276.xml"/><Relationship Id="rId41" Type="http://schemas.openxmlformats.org/officeDocument/2006/relationships/queryTable" Target="../queryTables/queryTable297.xml"/><Relationship Id="rId54" Type="http://schemas.openxmlformats.org/officeDocument/2006/relationships/queryTable" Target="../queryTables/queryTable310.xml"/><Relationship Id="rId62" Type="http://schemas.openxmlformats.org/officeDocument/2006/relationships/queryTable" Target="../queryTables/queryTable318.xml"/><Relationship Id="rId70" Type="http://schemas.openxmlformats.org/officeDocument/2006/relationships/queryTable" Target="../queryTables/queryTable326.xml"/><Relationship Id="rId75" Type="http://schemas.openxmlformats.org/officeDocument/2006/relationships/queryTable" Target="../queryTables/queryTable331.xml"/><Relationship Id="rId1" Type="http://schemas.openxmlformats.org/officeDocument/2006/relationships/drawing" Target="../drawings/drawing3.xml"/><Relationship Id="rId6" Type="http://schemas.openxmlformats.org/officeDocument/2006/relationships/queryTable" Target="../queryTables/queryTable262.xml"/><Relationship Id="rId15" Type="http://schemas.openxmlformats.org/officeDocument/2006/relationships/queryTable" Target="../queryTables/queryTable271.xml"/><Relationship Id="rId23" Type="http://schemas.openxmlformats.org/officeDocument/2006/relationships/queryTable" Target="../queryTables/queryTable279.xml"/><Relationship Id="rId28" Type="http://schemas.openxmlformats.org/officeDocument/2006/relationships/queryTable" Target="../queryTables/queryTable284.xml"/><Relationship Id="rId36" Type="http://schemas.openxmlformats.org/officeDocument/2006/relationships/queryTable" Target="../queryTables/queryTable292.xml"/><Relationship Id="rId49" Type="http://schemas.openxmlformats.org/officeDocument/2006/relationships/queryTable" Target="../queryTables/queryTable305.xml"/><Relationship Id="rId57" Type="http://schemas.openxmlformats.org/officeDocument/2006/relationships/queryTable" Target="../queryTables/queryTable313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347.xml"/><Relationship Id="rId18" Type="http://schemas.openxmlformats.org/officeDocument/2006/relationships/queryTable" Target="../queryTables/queryTable352.xml"/><Relationship Id="rId26" Type="http://schemas.openxmlformats.org/officeDocument/2006/relationships/queryTable" Target="../queryTables/queryTable360.xml"/><Relationship Id="rId39" Type="http://schemas.openxmlformats.org/officeDocument/2006/relationships/queryTable" Target="../queryTables/queryTable373.xml"/><Relationship Id="rId21" Type="http://schemas.openxmlformats.org/officeDocument/2006/relationships/queryTable" Target="../queryTables/queryTable355.xml"/><Relationship Id="rId34" Type="http://schemas.openxmlformats.org/officeDocument/2006/relationships/queryTable" Target="../queryTables/queryTable368.xml"/><Relationship Id="rId42" Type="http://schemas.openxmlformats.org/officeDocument/2006/relationships/queryTable" Target="../queryTables/queryTable376.xml"/><Relationship Id="rId47" Type="http://schemas.openxmlformats.org/officeDocument/2006/relationships/queryTable" Target="../queryTables/queryTable381.xml"/><Relationship Id="rId50" Type="http://schemas.openxmlformats.org/officeDocument/2006/relationships/queryTable" Target="../queryTables/queryTable384.xml"/><Relationship Id="rId55" Type="http://schemas.openxmlformats.org/officeDocument/2006/relationships/queryTable" Target="../queryTables/queryTable389.xml"/><Relationship Id="rId63" Type="http://schemas.openxmlformats.org/officeDocument/2006/relationships/queryTable" Target="../queryTables/queryTable397.xml"/><Relationship Id="rId68" Type="http://schemas.openxmlformats.org/officeDocument/2006/relationships/queryTable" Target="../queryTables/queryTable402.xml"/><Relationship Id="rId76" Type="http://schemas.openxmlformats.org/officeDocument/2006/relationships/queryTable" Target="../queryTables/queryTable410.xml"/><Relationship Id="rId84" Type="http://schemas.openxmlformats.org/officeDocument/2006/relationships/queryTable" Target="../queryTables/queryTable418.xml"/><Relationship Id="rId7" Type="http://schemas.openxmlformats.org/officeDocument/2006/relationships/queryTable" Target="../queryTables/queryTable341.xml"/><Relationship Id="rId71" Type="http://schemas.openxmlformats.org/officeDocument/2006/relationships/queryTable" Target="../queryTables/queryTable405.xml"/><Relationship Id="rId2" Type="http://schemas.openxmlformats.org/officeDocument/2006/relationships/vmlDrawing" Target="../drawings/vmlDrawing5.vml"/><Relationship Id="rId16" Type="http://schemas.openxmlformats.org/officeDocument/2006/relationships/queryTable" Target="../queryTables/queryTable350.xml"/><Relationship Id="rId29" Type="http://schemas.openxmlformats.org/officeDocument/2006/relationships/queryTable" Target="../queryTables/queryTable363.xml"/><Relationship Id="rId11" Type="http://schemas.openxmlformats.org/officeDocument/2006/relationships/queryTable" Target="../queryTables/queryTable345.xml"/><Relationship Id="rId24" Type="http://schemas.openxmlformats.org/officeDocument/2006/relationships/queryTable" Target="../queryTables/queryTable358.xml"/><Relationship Id="rId32" Type="http://schemas.openxmlformats.org/officeDocument/2006/relationships/queryTable" Target="../queryTables/queryTable366.xml"/><Relationship Id="rId37" Type="http://schemas.openxmlformats.org/officeDocument/2006/relationships/queryTable" Target="../queryTables/queryTable371.xml"/><Relationship Id="rId40" Type="http://schemas.openxmlformats.org/officeDocument/2006/relationships/queryTable" Target="../queryTables/queryTable374.xml"/><Relationship Id="rId45" Type="http://schemas.openxmlformats.org/officeDocument/2006/relationships/queryTable" Target="../queryTables/queryTable379.xml"/><Relationship Id="rId53" Type="http://schemas.openxmlformats.org/officeDocument/2006/relationships/queryTable" Target="../queryTables/queryTable387.xml"/><Relationship Id="rId58" Type="http://schemas.openxmlformats.org/officeDocument/2006/relationships/queryTable" Target="../queryTables/queryTable392.xml"/><Relationship Id="rId66" Type="http://schemas.openxmlformats.org/officeDocument/2006/relationships/queryTable" Target="../queryTables/queryTable400.xml"/><Relationship Id="rId74" Type="http://schemas.openxmlformats.org/officeDocument/2006/relationships/queryTable" Target="../queryTables/queryTable408.xml"/><Relationship Id="rId79" Type="http://schemas.openxmlformats.org/officeDocument/2006/relationships/queryTable" Target="../queryTables/queryTable413.xml"/><Relationship Id="rId5" Type="http://schemas.openxmlformats.org/officeDocument/2006/relationships/queryTable" Target="../queryTables/queryTable339.xml"/><Relationship Id="rId61" Type="http://schemas.openxmlformats.org/officeDocument/2006/relationships/queryTable" Target="../queryTables/queryTable395.xml"/><Relationship Id="rId82" Type="http://schemas.openxmlformats.org/officeDocument/2006/relationships/queryTable" Target="../queryTables/queryTable416.xml"/><Relationship Id="rId10" Type="http://schemas.openxmlformats.org/officeDocument/2006/relationships/queryTable" Target="../queryTables/queryTable344.xml"/><Relationship Id="rId19" Type="http://schemas.openxmlformats.org/officeDocument/2006/relationships/queryTable" Target="../queryTables/queryTable353.xml"/><Relationship Id="rId31" Type="http://schemas.openxmlformats.org/officeDocument/2006/relationships/queryTable" Target="../queryTables/queryTable365.xml"/><Relationship Id="rId44" Type="http://schemas.openxmlformats.org/officeDocument/2006/relationships/queryTable" Target="../queryTables/queryTable378.xml"/><Relationship Id="rId52" Type="http://schemas.openxmlformats.org/officeDocument/2006/relationships/queryTable" Target="../queryTables/queryTable386.xml"/><Relationship Id="rId60" Type="http://schemas.openxmlformats.org/officeDocument/2006/relationships/queryTable" Target="../queryTables/queryTable394.xml"/><Relationship Id="rId65" Type="http://schemas.openxmlformats.org/officeDocument/2006/relationships/queryTable" Target="../queryTables/queryTable399.xml"/><Relationship Id="rId73" Type="http://schemas.openxmlformats.org/officeDocument/2006/relationships/queryTable" Target="../queryTables/queryTable407.xml"/><Relationship Id="rId78" Type="http://schemas.openxmlformats.org/officeDocument/2006/relationships/queryTable" Target="../queryTables/queryTable412.xml"/><Relationship Id="rId81" Type="http://schemas.openxmlformats.org/officeDocument/2006/relationships/queryTable" Target="../queryTables/queryTable415.xml"/><Relationship Id="rId4" Type="http://schemas.openxmlformats.org/officeDocument/2006/relationships/ctrlProp" Target="../ctrlProps/ctrlProp8.xml"/><Relationship Id="rId9" Type="http://schemas.openxmlformats.org/officeDocument/2006/relationships/queryTable" Target="../queryTables/queryTable343.xml"/><Relationship Id="rId14" Type="http://schemas.openxmlformats.org/officeDocument/2006/relationships/queryTable" Target="../queryTables/queryTable348.xml"/><Relationship Id="rId22" Type="http://schemas.openxmlformats.org/officeDocument/2006/relationships/queryTable" Target="../queryTables/queryTable356.xml"/><Relationship Id="rId27" Type="http://schemas.openxmlformats.org/officeDocument/2006/relationships/queryTable" Target="../queryTables/queryTable361.xml"/><Relationship Id="rId30" Type="http://schemas.openxmlformats.org/officeDocument/2006/relationships/queryTable" Target="../queryTables/queryTable364.xml"/><Relationship Id="rId35" Type="http://schemas.openxmlformats.org/officeDocument/2006/relationships/queryTable" Target="../queryTables/queryTable369.xml"/><Relationship Id="rId43" Type="http://schemas.openxmlformats.org/officeDocument/2006/relationships/queryTable" Target="../queryTables/queryTable377.xml"/><Relationship Id="rId48" Type="http://schemas.openxmlformats.org/officeDocument/2006/relationships/queryTable" Target="../queryTables/queryTable382.xml"/><Relationship Id="rId56" Type="http://schemas.openxmlformats.org/officeDocument/2006/relationships/queryTable" Target="../queryTables/queryTable390.xml"/><Relationship Id="rId64" Type="http://schemas.openxmlformats.org/officeDocument/2006/relationships/queryTable" Target="../queryTables/queryTable398.xml"/><Relationship Id="rId69" Type="http://schemas.openxmlformats.org/officeDocument/2006/relationships/queryTable" Target="../queryTables/queryTable403.xml"/><Relationship Id="rId77" Type="http://schemas.openxmlformats.org/officeDocument/2006/relationships/queryTable" Target="../queryTables/queryTable411.xml"/><Relationship Id="rId8" Type="http://schemas.openxmlformats.org/officeDocument/2006/relationships/queryTable" Target="../queryTables/queryTable342.xml"/><Relationship Id="rId51" Type="http://schemas.openxmlformats.org/officeDocument/2006/relationships/queryTable" Target="../queryTables/queryTable385.xml"/><Relationship Id="rId72" Type="http://schemas.openxmlformats.org/officeDocument/2006/relationships/queryTable" Target="../queryTables/queryTable406.xml"/><Relationship Id="rId80" Type="http://schemas.openxmlformats.org/officeDocument/2006/relationships/queryTable" Target="../queryTables/queryTable414.xml"/><Relationship Id="rId3" Type="http://schemas.openxmlformats.org/officeDocument/2006/relationships/ctrlProp" Target="../ctrlProps/ctrlProp7.xml"/><Relationship Id="rId12" Type="http://schemas.openxmlformats.org/officeDocument/2006/relationships/queryTable" Target="../queryTables/queryTable346.xml"/><Relationship Id="rId17" Type="http://schemas.openxmlformats.org/officeDocument/2006/relationships/queryTable" Target="../queryTables/queryTable351.xml"/><Relationship Id="rId25" Type="http://schemas.openxmlformats.org/officeDocument/2006/relationships/queryTable" Target="../queryTables/queryTable359.xml"/><Relationship Id="rId33" Type="http://schemas.openxmlformats.org/officeDocument/2006/relationships/queryTable" Target="../queryTables/queryTable367.xml"/><Relationship Id="rId38" Type="http://schemas.openxmlformats.org/officeDocument/2006/relationships/queryTable" Target="../queryTables/queryTable372.xml"/><Relationship Id="rId46" Type="http://schemas.openxmlformats.org/officeDocument/2006/relationships/queryTable" Target="../queryTables/queryTable380.xml"/><Relationship Id="rId59" Type="http://schemas.openxmlformats.org/officeDocument/2006/relationships/queryTable" Target="../queryTables/queryTable393.xml"/><Relationship Id="rId67" Type="http://schemas.openxmlformats.org/officeDocument/2006/relationships/queryTable" Target="../queryTables/queryTable401.xml"/><Relationship Id="rId20" Type="http://schemas.openxmlformats.org/officeDocument/2006/relationships/queryTable" Target="../queryTables/queryTable354.xml"/><Relationship Id="rId41" Type="http://schemas.openxmlformats.org/officeDocument/2006/relationships/queryTable" Target="../queryTables/queryTable375.xml"/><Relationship Id="rId54" Type="http://schemas.openxmlformats.org/officeDocument/2006/relationships/queryTable" Target="../queryTables/queryTable388.xml"/><Relationship Id="rId62" Type="http://schemas.openxmlformats.org/officeDocument/2006/relationships/queryTable" Target="../queryTables/queryTable396.xml"/><Relationship Id="rId70" Type="http://schemas.openxmlformats.org/officeDocument/2006/relationships/queryTable" Target="../queryTables/queryTable404.xml"/><Relationship Id="rId75" Type="http://schemas.openxmlformats.org/officeDocument/2006/relationships/queryTable" Target="../queryTables/queryTable409.xml"/><Relationship Id="rId83" Type="http://schemas.openxmlformats.org/officeDocument/2006/relationships/queryTable" Target="../queryTables/queryTable417.xml"/><Relationship Id="rId1" Type="http://schemas.openxmlformats.org/officeDocument/2006/relationships/drawing" Target="../drawings/drawing4.xml"/><Relationship Id="rId6" Type="http://schemas.openxmlformats.org/officeDocument/2006/relationships/queryTable" Target="../queryTables/queryTable340.xml"/><Relationship Id="rId15" Type="http://schemas.openxmlformats.org/officeDocument/2006/relationships/queryTable" Target="../queryTables/queryTable349.xml"/><Relationship Id="rId23" Type="http://schemas.openxmlformats.org/officeDocument/2006/relationships/queryTable" Target="../queryTables/queryTable357.xml"/><Relationship Id="rId28" Type="http://schemas.openxmlformats.org/officeDocument/2006/relationships/queryTable" Target="../queryTables/queryTable362.xml"/><Relationship Id="rId36" Type="http://schemas.openxmlformats.org/officeDocument/2006/relationships/queryTable" Target="../queryTables/queryTable370.xml"/><Relationship Id="rId49" Type="http://schemas.openxmlformats.org/officeDocument/2006/relationships/queryTable" Target="../queryTables/queryTable383.xml"/><Relationship Id="rId57" Type="http://schemas.openxmlformats.org/officeDocument/2006/relationships/queryTable" Target="../queryTables/queryTable391.xm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440.xml"/><Relationship Id="rId21" Type="http://schemas.openxmlformats.org/officeDocument/2006/relationships/queryTable" Target="../queryTables/queryTable435.xml"/><Relationship Id="rId42" Type="http://schemas.openxmlformats.org/officeDocument/2006/relationships/queryTable" Target="../queryTables/queryTable456.xml"/><Relationship Id="rId47" Type="http://schemas.openxmlformats.org/officeDocument/2006/relationships/queryTable" Target="../queryTables/queryTable461.xml"/><Relationship Id="rId63" Type="http://schemas.openxmlformats.org/officeDocument/2006/relationships/queryTable" Target="../queryTables/queryTable477.xml"/><Relationship Id="rId68" Type="http://schemas.openxmlformats.org/officeDocument/2006/relationships/queryTable" Target="../queryTables/queryTable482.xml"/><Relationship Id="rId84" Type="http://schemas.openxmlformats.org/officeDocument/2006/relationships/queryTable" Target="../queryTables/queryTable498.xml"/><Relationship Id="rId89" Type="http://schemas.openxmlformats.org/officeDocument/2006/relationships/queryTable" Target="../queryTables/queryTable503.xml"/><Relationship Id="rId7" Type="http://schemas.openxmlformats.org/officeDocument/2006/relationships/queryTable" Target="../queryTables/queryTable421.xml"/><Relationship Id="rId71" Type="http://schemas.openxmlformats.org/officeDocument/2006/relationships/queryTable" Target="../queryTables/queryTable485.xml"/><Relationship Id="rId92" Type="http://schemas.openxmlformats.org/officeDocument/2006/relationships/queryTable" Target="../queryTables/queryTable506.xml"/><Relationship Id="rId2" Type="http://schemas.openxmlformats.org/officeDocument/2006/relationships/vmlDrawing" Target="../drawings/vmlDrawing6.vml"/><Relationship Id="rId16" Type="http://schemas.openxmlformats.org/officeDocument/2006/relationships/queryTable" Target="../queryTables/queryTable430.xml"/><Relationship Id="rId29" Type="http://schemas.openxmlformats.org/officeDocument/2006/relationships/queryTable" Target="../queryTables/queryTable443.xml"/><Relationship Id="rId11" Type="http://schemas.openxmlformats.org/officeDocument/2006/relationships/queryTable" Target="../queryTables/queryTable425.xml"/><Relationship Id="rId24" Type="http://schemas.openxmlformats.org/officeDocument/2006/relationships/queryTable" Target="../queryTables/queryTable438.xml"/><Relationship Id="rId32" Type="http://schemas.openxmlformats.org/officeDocument/2006/relationships/queryTable" Target="../queryTables/queryTable446.xml"/><Relationship Id="rId37" Type="http://schemas.openxmlformats.org/officeDocument/2006/relationships/queryTable" Target="../queryTables/queryTable451.xml"/><Relationship Id="rId40" Type="http://schemas.openxmlformats.org/officeDocument/2006/relationships/queryTable" Target="../queryTables/queryTable454.xml"/><Relationship Id="rId45" Type="http://schemas.openxmlformats.org/officeDocument/2006/relationships/queryTable" Target="../queryTables/queryTable459.xml"/><Relationship Id="rId53" Type="http://schemas.openxmlformats.org/officeDocument/2006/relationships/queryTable" Target="../queryTables/queryTable467.xml"/><Relationship Id="rId58" Type="http://schemas.openxmlformats.org/officeDocument/2006/relationships/queryTable" Target="../queryTables/queryTable472.xml"/><Relationship Id="rId66" Type="http://schemas.openxmlformats.org/officeDocument/2006/relationships/queryTable" Target="../queryTables/queryTable480.xml"/><Relationship Id="rId74" Type="http://schemas.openxmlformats.org/officeDocument/2006/relationships/queryTable" Target="../queryTables/queryTable488.xml"/><Relationship Id="rId79" Type="http://schemas.openxmlformats.org/officeDocument/2006/relationships/queryTable" Target="../queryTables/queryTable493.xml"/><Relationship Id="rId87" Type="http://schemas.openxmlformats.org/officeDocument/2006/relationships/queryTable" Target="../queryTables/queryTable501.xml"/><Relationship Id="rId102" Type="http://schemas.openxmlformats.org/officeDocument/2006/relationships/queryTable" Target="../queryTables/queryTable516.xml"/><Relationship Id="rId5" Type="http://schemas.openxmlformats.org/officeDocument/2006/relationships/queryTable" Target="../queryTables/queryTable419.xml"/><Relationship Id="rId61" Type="http://schemas.openxmlformats.org/officeDocument/2006/relationships/queryTable" Target="../queryTables/queryTable475.xml"/><Relationship Id="rId82" Type="http://schemas.openxmlformats.org/officeDocument/2006/relationships/queryTable" Target="../queryTables/queryTable496.xml"/><Relationship Id="rId90" Type="http://schemas.openxmlformats.org/officeDocument/2006/relationships/queryTable" Target="../queryTables/queryTable504.xml"/><Relationship Id="rId95" Type="http://schemas.openxmlformats.org/officeDocument/2006/relationships/queryTable" Target="../queryTables/queryTable509.xml"/><Relationship Id="rId19" Type="http://schemas.openxmlformats.org/officeDocument/2006/relationships/queryTable" Target="../queryTables/queryTable433.xml"/><Relationship Id="rId14" Type="http://schemas.openxmlformats.org/officeDocument/2006/relationships/queryTable" Target="../queryTables/queryTable428.xml"/><Relationship Id="rId22" Type="http://schemas.openxmlformats.org/officeDocument/2006/relationships/queryTable" Target="../queryTables/queryTable436.xml"/><Relationship Id="rId27" Type="http://schemas.openxmlformats.org/officeDocument/2006/relationships/queryTable" Target="../queryTables/queryTable441.xml"/><Relationship Id="rId30" Type="http://schemas.openxmlformats.org/officeDocument/2006/relationships/queryTable" Target="../queryTables/queryTable444.xml"/><Relationship Id="rId35" Type="http://schemas.openxmlformats.org/officeDocument/2006/relationships/queryTable" Target="../queryTables/queryTable449.xml"/><Relationship Id="rId43" Type="http://schemas.openxmlformats.org/officeDocument/2006/relationships/queryTable" Target="../queryTables/queryTable457.xml"/><Relationship Id="rId48" Type="http://schemas.openxmlformats.org/officeDocument/2006/relationships/queryTable" Target="../queryTables/queryTable462.xml"/><Relationship Id="rId56" Type="http://schemas.openxmlformats.org/officeDocument/2006/relationships/queryTable" Target="../queryTables/queryTable470.xml"/><Relationship Id="rId64" Type="http://schemas.openxmlformats.org/officeDocument/2006/relationships/queryTable" Target="../queryTables/queryTable478.xml"/><Relationship Id="rId69" Type="http://schemas.openxmlformats.org/officeDocument/2006/relationships/queryTable" Target="../queryTables/queryTable483.xml"/><Relationship Id="rId77" Type="http://schemas.openxmlformats.org/officeDocument/2006/relationships/queryTable" Target="../queryTables/queryTable491.xml"/><Relationship Id="rId100" Type="http://schemas.openxmlformats.org/officeDocument/2006/relationships/queryTable" Target="../queryTables/queryTable514.xml"/><Relationship Id="rId105" Type="http://schemas.openxmlformats.org/officeDocument/2006/relationships/queryTable" Target="../queryTables/queryTable519.xml"/><Relationship Id="rId8" Type="http://schemas.openxmlformats.org/officeDocument/2006/relationships/queryTable" Target="../queryTables/queryTable422.xml"/><Relationship Id="rId51" Type="http://schemas.openxmlformats.org/officeDocument/2006/relationships/queryTable" Target="../queryTables/queryTable465.xml"/><Relationship Id="rId72" Type="http://schemas.openxmlformats.org/officeDocument/2006/relationships/queryTable" Target="../queryTables/queryTable486.xml"/><Relationship Id="rId80" Type="http://schemas.openxmlformats.org/officeDocument/2006/relationships/queryTable" Target="../queryTables/queryTable494.xml"/><Relationship Id="rId85" Type="http://schemas.openxmlformats.org/officeDocument/2006/relationships/queryTable" Target="../queryTables/queryTable499.xml"/><Relationship Id="rId93" Type="http://schemas.openxmlformats.org/officeDocument/2006/relationships/queryTable" Target="../queryTables/queryTable507.xml"/><Relationship Id="rId98" Type="http://schemas.openxmlformats.org/officeDocument/2006/relationships/queryTable" Target="../queryTables/queryTable512.xml"/><Relationship Id="rId3" Type="http://schemas.openxmlformats.org/officeDocument/2006/relationships/ctrlProp" Target="../ctrlProps/ctrlProp9.xml"/><Relationship Id="rId12" Type="http://schemas.openxmlformats.org/officeDocument/2006/relationships/queryTable" Target="../queryTables/queryTable426.xml"/><Relationship Id="rId17" Type="http://schemas.openxmlformats.org/officeDocument/2006/relationships/queryTable" Target="../queryTables/queryTable431.xml"/><Relationship Id="rId25" Type="http://schemas.openxmlformats.org/officeDocument/2006/relationships/queryTable" Target="../queryTables/queryTable439.xml"/><Relationship Id="rId33" Type="http://schemas.openxmlformats.org/officeDocument/2006/relationships/queryTable" Target="../queryTables/queryTable447.xml"/><Relationship Id="rId38" Type="http://schemas.openxmlformats.org/officeDocument/2006/relationships/queryTable" Target="../queryTables/queryTable452.xml"/><Relationship Id="rId46" Type="http://schemas.openxmlformats.org/officeDocument/2006/relationships/queryTable" Target="../queryTables/queryTable460.xml"/><Relationship Id="rId59" Type="http://schemas.openxmlformats.org/officeDocument/2006/relationships/queryTable" Target="../queryTables/queryTable473.xml"/><Relationship Id="rId67" Type="http://schemas.openxmlformats.org/officeDocument/2006/relationships/queryTable" Target="../queryTables/queryTable481.xml"/><Relationship Id="rId103" Type="http://schemas.openxmlformats.org/officeDocument/2006/relationships/queryTable" Target="../queryTables/queryTable517.xml"/><Relationship Id="rId20" Type="http://schemas.openxmlformats.org/officeDocument/2006/relationships/queryTable" Target="../queryTables/queryTable434.xml"/><Relationship Id="rId41" Type="http://schemas.openxmlformats.org/officeDocument/2006/relationships/queryTable" Target="../queryTables/queryTable455.xml"/><Relationship Id="rId54" Type="http://schemas.openxmlformats.org/officeDocument/2006/relationships/queryTable" Target="../queryTables/queryTable468.xml"/><Relationship Id="rId62" Type="http://schemas.openxmlformats.org/officeDocument/2006/relationships/queryTable" Target="../queryTables/queryTable476.xml"/><Relationship Id="rId70" Type="http://schemas.openxmlformats.org/officeDocument/2006/relationships/queryTable" Target="../queryTables/queryTable484.xml"/><Relationship Id="rId75" Type="http://schemas.openxmlformats.org/officeDocument/2006/relationships/queryTable" Target="../queryTables/queryTable489.xml"/><Relationship Id="rId83" Type="http://schemas.openxmlformats.org/officeDocument/2006/relationships/queryTable" Target="../queryTables/queryTable497.xml"/><Relationship Id="rId88" Type="http://schemas.openxmlformats.org/officeDocument/2006/relationships/queryTable" Target="../queryTables/queryTable502.xml"/><Relationship Id="rId91" Type="http://schemas.openxmlformats.org/officeDocument/2006/relationships/queryTable" Target="../queryTables/queryTable505.xml"/><Relationship Id="rId96" Type="http://schemas.openxmlformats.org/officeDocument/2006/relationships/queryTable" Target="../queryTables/queryTable510.xml"/><Relationship Id="rId1" Type="http://schemas.openxmlformats.org/officeDocument/2006/relationships/drawing" Target="../drawings/drawing5.xml"/><Relationship Id="rId6" Type="http://schemas.openxmlformats.org/officeDocument/2006/relationships/queryTable" Target="../queryTables/queryTable420.xml"/><Relationship Id="rId15" Type="http://schemas.openxmlformats.org/officeDocument/2006/relationships/queryTable" Target="../queryTables/queryTable429.xml"/><Relationship Id="rId23" Type="http://schemas.openxmlformats.org/officeDocument/2006/relationships/queryTable" Target="../queryTables/queryTable437.xml"/><Relationship Id="rId28" Type="http://schemas.openxmlformats.org/officeDocument/2006/relationships/queryTable" Target="../queryTables/queryTable442.xml"/><Relationship Id="rId36" Type="http://schemas.openxmlformats.org/officeDocument/2006/relationships/queryTable" Target="../queryTables/queryTable450.xml"/><Relationship Id="rId49" Type="http://schemas.openxmlformats.org/officeDocument/2006/relationships/queryTable" Target="../queryTables/queryTable463.xml"/><Relationship Id="rId57" Type="http://schemas.openxmlformats.org/officeDocument/2006/relationships/queryTable" Target="../queryTables/queryTable471.xml"/><Relationship Id="rId106" Type="http://schemas.openxmlformats.org/officeDocument/2006/relationships/queryTable" Target="../queryTables/queryTable520.xml"/><Relationship Id="rId10" Type="http://schemas.openxmlformats.org/officeDocument/2006/relationships/queryTable" Target="../queryTables/queryTable424.xml"/><Relationship Id="rId31" Type="http://schemas.openxmlformats.org/officeDocument/2006/relationships/queryTable" Target="../queryTables/queryTable445.xml"/><Relationship Id="rId44" Type="http://schemas.openxmlformats.org/officeDocument/2006/relationships/queryTable" Target="../queryTables/queryTable458.xml"/><Relationship Id="rId52" Type="http://schemas.openxmlformats.org/officeDocument/2006/relationships/queryTable" Target="../queryTables/queryTable466.xml"/><Relationship Id="rId60" Type="http://schemas.openxmlformats.org/officeDocument/2006/relationships/queryTable" Target="../queryTables/queryTable474.xml"/><Relationship Id="rId65" Type="http://schemas.openxmlformats.org/officeDocument/2006/relationships/queryTable" Target="../queryTables/queryTable479.xml"/><Relationship Id="rId73" Type="http://schemas.openxmlformats.org/officeDocument/2006/relationships/queryTable" Target="../queryTables/queryTable487.xml"/><Relationship Id="rId78" Type="http://schemas.openxmlformats.org/officeDocument/2006/relationships/queryTable" Target="../queryTables/queryTable492.xml"/><Relationship Id="rId81" Type="http://schemas.openxmlformats.org/officeDocument/2006/relationships/queryTable" Target="../queryTables/queryTable495.xml"/><Relationship Id="rId86" Type="http://schemas.openxmlformats.org/officeDocument/2006/relationships/queryTable" Target="../queryTables/queryTable500.xml"/><Relationship Id="rId94" Type="http://schemas.openxmlformats.org/officeDocument/2006/relationships/queryTable" Target="../queryTables/queryTable508.xml"/><Relationship Id="rId99" Type="http://schemas.openxmlformats.org/officeDocument/2006/relationships/queryTable" Target="../queryTables/queryTable513.xml"/><Relationship Id="rId101" Type="http://schemas.openxmlformats.org/officeDocument/2006/relationships/queryTable" Target="../queryTables/queryTable515.xml"/><Relationship Id="rId4" Type="http://schemas.openxmlformats.org/officeDocument/2006/relationships/ctrlProp" Target="../ctrlProps/ctrlProp10.xml"/><Relationship Id="rId9" Type="http://schemas.openxmlformats.org/officeDocument/2006/relationships/queryTable" Target="../queryTables/queryTable423.xml"/><Relationship Id="rId13" Type="http://schemas.openxmlformats.org/officeDocument/2006/relationships/queryTable" Target="../queryTables/queryTable427.xml"/><Relationship Id="rId18" Type="http://schemas.openxmlformats.org/officeDocument/2006/relationships/queryTable" Target="../queryTables/queryTable432.xml"/><Relationship Id="rId39" Type="http://schemas.openxmlformats.org/officeDocument/2006/relationships/queryTable" Target="../queryTables/queryTable453.xml"/><Relationship Id="rId34" Type="http://schemas.openxmlformats.org/officeDocument/2006/relationships/queryTable" Target="../queryTables/queryTable448.xml"/><Relationship Id="rId50" Type="http://schemas.openxmlformats.org/officeDocument/2006/relationships/queryTable" Target="../queryTables/queryTable464.xml"/><Relationship Id="rId55" Type="http://schemas.openxmlformats.org/officeDocument/2006/relationships/queryTable" Target="../queryTables/queryTable469.xml"/><Relationship Id="rId76" Type="http://schemas.openxmlformats.org/officeDocument/2006/relationships/queryTable" Target="../queryTables/queryTable490.xml"/><Relationship Id="rId97" Type="http://schemas.openxmlformats.org/officeDocument/2006/relationships/queryTable" Target="../queryTables/queryTable511.xml"/><Relationship Id="rId104" Type="http://schemas.openxmlformats.org/officeDocument/2006/relationships/queryTable" Target="../queryTables/queryTable51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24.xml"/><Relationship Id="rId3" Type="http://schemas.openxmlformats.org/officeDocument/2006/relationships/ctrlProp" Target="../ctrlProps/ctrlProp11.xml"/><Relationship Id="rId7" Type="http://schemas.openxmlformats.org/officeDocument/2006/relationships/queryTable" Target="../queryTables/queryTable52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Relationship Id="rId6" Type="http://schemas.openxmlformats.org/officeDocument/2006/relationships/queryTable" Target="../queryTables/queryTable522.xml"/><Relationship Id="rId5" Type="http://schemas.openxmlformats.org/officeDocument/2006/relationships/queryTable" Target="../queryTables/queryTable521.xml"/><Relationship Id="rId10" Type="http://schemas.openxmlformats.org/officeDocument/2006/relationships/queryTable" Target="../queryTables/queryTable526.xml"/><Relationship Id="rId4" Type="http://schemas.openxmlformats.org/officeDocument/2006/relationships/ctrlProp" Target="../ctrlProps/ctrlProp12.xml"/><Relationship Id="rId9" Type="http://schemas.openxmlformats.org/officeDocument/2006/relationships/queryTable" Target="../queryTables/queryTable525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30.xml"/><Relationship Id="rId3" Type="http://schemas.openxmlformats.org/officeDocument/2006/relationships/ctrlProp" Target="../ctrlProps/ctrlProp13.xml"/><Relationship Id="rId7" Type="http://schemas.openxmlformats.org/officeDocument/2006/relationships/queryTable" Target="../queryTables/queryTable52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7.xml"/><Relationship Id="rId6" Type="http://schemas.openxmlformats.org/officeDocument/2006/relationships/queryTable" Target="../queryTables/queryTable528.xml"/><Relationship Id="rId5" Type="http://schemas.openxmlformats.org/officeDocument/2006/relationships/queryTable" Target="../queryTables/queryTable527.xml"/><Relationship Id="rId4" Type="http://schemas.openxmlformats.org/officeDocument/2006/relationships/ctrlProp" Target="../ctrlProps/ctrlProp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34.xml"/><Relationship Id="rId3" Type="http://schemas.openxmlformats.org/officeDocument/2006/relationships/ctrlProp" Target="../ctrlProps/ctrlProp15.xml"/><Relationship Id="rId7" Type="http://schemas.openxmlformats.org/officeDocument/2006/relationships/queryTable" Target="../queryTables/queryTable533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6" Type="http://schemas.openxmlformats.org/officeDocument/2006/relationships/queryTable" Target="../queryTables/queryTable532.xml"/><Relationship Id="rId5" Type="http://schemas.openxmlformats.org/officeDocument/2006/relationships/queryTable" Target="../queryTables/queryTable531.xml"/><Relationship Id="rId4" Type="http://schemas.openxmlformats.org/officeDocument/2006/relationships/ctrlProp" Target="../ctrlProps/ctrlProp16.xml"/><Relationship Id="rId9" Type="http://schemas.openxmlformats.org/officeDocument/2006/relationships/queryTable" Target="../queryTables/queryTable535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39.xml"/><Relationship Id="rId3" Type="http://schemas.openxmlformats.org/officeDocument/2006/relationships/ctrlProp" Target="../ctrlProps/ctrlProp17.xml"/><Relationship Id="rId7" Type="http://schemas.openxmlformats.org/officeDocument/2006/relationships/queryTable" Target="../queryTables/queryTable53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9.xml"/><Relationship Id="rId6" Type="http://schemas.openxmlformats.org/officeDocument/2006/relationships/queryTable" Target="../queryTables/queryTable537.xml"/><Relationship Id="rId5" Type="http://schemas.openxmlformats.org/officeDocument/2006/relationships/queryTable" Target="../queryTables/queryTable536.xml"/><Relationship Id="rId4" Type="http://schemas.openxmlformats.org/officeDocument/2006/relationships/ctrlProp" Target="../ctrlProps/ctrlProp18.xml"/><Relationship Id="rId9" Type="http://schemas.openxmlformats.org/officeDocument/2006/relationships/queryTable" Target="../queryTables/queryTable54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Relationship Id="rId4" Type="http://schemas.openxmlformats.org/officeDocument/2006/relationships/queryTable" Target="../queryTables/queryTable54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6" Type="http://schemas.openxmlformats.org/officeDocument/2006/relationships/queryTable" Target="../queryTables/queryTable543.xml"/><Relationship Id="rId5" Type="http://schemas.openxmlformats.org/officeDocument/2006/relationships/queryTable" Target="../queryTables/queryTable542.xml"/><Relationship Id="rId4" Type="http://schemas.openxmlformats.org/officeDocument/2006/relationships/ctrlProp" Target="../ctrlProps/ctrlProp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.bin"/><Relationship Id="rId5" Type="http://schemas.openxmlformats.org/officeDocument/2006/relationships/queryTable" Target="../queryTables/queryTable544.xml"/><Relationship Id="rId4" Type="http://schemas.openxmlformats.org/officeDocument/2006/relationships/ctrlProp" Target="../ctrlProps/ctrlProp21.xm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551.xml"/><Relationship Id="rId18" Type="http://schemas.openxmlformats.org/officeDocument/2006/relationships/queryTable" Target="../queryTables/queryTable556.xml"/><Relationship Id="rId26" Type="http://schemas.openxmlformats.org/officeDocument/2006/relationships/queryTable" Target="../queryTables/queryTable564.xml"/><Relationship Id="rId39" Type="http://schemas.openxmlformats.org/officeDocument/2006/relationships/queryTable" Target="../queryTables/queryTable577.xml"/><Relationship Id="rId21" Type="http://schemas.openxmlformats.org/officeDocument/2006/relationships/queryTable" Target="../queryTables/queryTable559.xml"/><Relationship Id="rId34" Type="http://schemas.openxmlformats.org/officeDocument/2006/relationships/queryTable" Target="../queryTables/queryTable572.xml"/><Relationship Id="rId42" Type="http://schemas.openxmlformats.org/officeDocument/2006/relationships/queryTable" Target="../queryTables/queryTable580.xml"/><Relationship Id="rId47" Type="http://schemas.openxmlformats.org/officeDocument/2006/relationships/queryTable" Target="../queryTables/queryTable585.xml"/><Relationship Id="rId50" Type="http://schemas.openxmlformats.org/officeDocument/2006/relationships/queryTable" Target="../queryTables/queryTable588.xml"/><Relationship Id="rId55" Type="http://schemas.openxmlformats.org/officeDocument/2006/relationships/queryTable" Target="../queryTables/queryTable593.xml"/><Relationship Id="rId63" Type="http://schemas.openxmlformats.org/officeDocument/2006/relationships/queryTable" Target="../queryTables/queryTable601.xml"/><Relationship Id="rId68" Type="http://schemas.openxmlformats.org/officeDocument/2006/relationships/queryTable" Target="../queryTables/queryTable606.xml"/><Relationship Id="rId76" Type="http://schemas.openxmlformats.org/officeDocument/2006/relationships/queryTable" Target="../queryTables/queryTable614.xml"/><Relationship Id="rId84" Type="http://schemas.openxmlformats.org/officeDocument/2006/relationships/queryTable" Target="../queryTables/queryTable622.xml"/><Relationship Id="rId7" Type="http://schemas.openxmlformats.org/officeDocument/2006/relationships/queryTable" Target="../queryTables/queryTable545.xml"/><Relationship Id="rId71" Type="http://schemas.openxmlformats.org/officeDocument/2006/relationships/queryTable" Target="../queryTables/queryTable609.xml"/><Relationship Id="rId2" Type="http://schemas.openxmlformats.org/officeDocument/2006/relationships/drawing" Target="../drawings/drawing13.xml"/><Relationship Id="rId16" Type="http://schemas.openxmlformats.org/officeDocument/2006/relationships/queryTable" Target="../queryTables/queryTable554.xml"/><Relationship Id="rId29" Type="http://schemas.openxmlformats.org/officeDocument/2006/relationships/queryTable" Target="../queryTables/queryTable567.xml"/><Relationship Id="rId11" Type="http://schemas.openxmlformats.org/officeDocument/2006/relationships/queryTable" Target="../queryTables/queryTable549.xml"/><Relationship Id="rId24" Type="http://schemas.openxmlformats.org/officeDocument/2006/relationships/queryTable" Target="../queryTables/queryTable562.xml"/><Relationship Id="rId32" Type="http://schemas.openxmlformats.org/officeDocument/2006/relationships/queryTable" Target="../queryTables/queryTable570.xml"/><Relationship Id="rId37" Type="http://schemas.openxmlformats.org/officeDocument/2006/relationships/queryTable" Target="../queryTables/queryTable575.xml"/><Relationship Id="rId40" Type="http://schemas.openxmlformats.org/officeDocument/2006/relationships/queryTable" Target="../queryTables/queryTable578.xml"/><Relationship Id="rId45" Type="http://schemas.openxmlformats.org/officeDocument/2006/relationships/queryTable" Target="../queryTables/queryTable583.xml"/><Relationship Id="rId53" Type="http://schemas.openxmlformats.org/officeDocument/2006/relationships/queryTable" Target="../queryTables/queryTable591.xml"/><Relationship Id="rId58" Type="http://schemas.openxmlformats.org/officeDocument/2006/relationships/queryTable" Target="../queryTables/queryTable596.xml"/><Relationship Id="rId66" Type="http://schemas.openxmlformats.org/officeDocument/2006/relationships/queryTable" Target="../queryTables/queryTable604.xml"/><Relationship Id="rId74" Type="http://schemas.openxmlformats.org/officeDocument/2006/relationships/queryTable" Target="../queryTables/queryTable612.xml"/><Relationship Id="rId79" Type="http://schemas.openxmlformats.org/officeDocument/2006/relationships/queryTable" Target="../queryTables/queryTable617.xml"/><Relationship Id="rId5" Type="http://schemas.openxmlformats.org/officeDocument/2006/relationships/ctrlProp" Target="../ctrlProps/ctrlProp23.xml"/><Relationship Id="rId61" Type="http://schemas.openxmlformats.org/officeDocument/2006/relationships/queryTable" Target="../queryTables/queryTable599.xml"/><Relationship Id="rId82" Type="http://schemas.openxmlformats.org/officeDocument/2006/relationships/queryTable" Target="../queryTables/queryTable620.xml"/><Relationship Id="rId19" Type="http://schemas.openxmlformats.org/officeDocument/2006/relationships/queryTable" Target="../queryTables/queryTable557.xml"/><Relationship Id="rId4" Type="http://schemas.openxmlformats.org/officeDocument/2006/relationships/ctrlProp" Target="../ctrlProps/ctrlProp22.xml"/><Relationship Id="rId9" Type="http://schemas.openxmlformats.org/officeDocument/2006/relationships/queryTable" Target="../queryTables/queryTable547.xml"/><Relationship Id="rId14" Type="http://schemas.openxmlformats.org/officeDocument/2006/relationships/queryTable" Target="../queryTables/queryTable552.xml"/><Relationship Id="rId22" Type="http://schemas.openxmlformats.org/officeDocument/2006/relationships/queryTable" Target="../queryTables/queryTable560.xml"/><Relationship Id="rId27" Type="http://schemas.openxmlformats.org/officeDocument/2006/relationships/queryTable" Target="../queryTables/queryTable565.xml"/><Relationship Id="rId30" Type="http://schemas.openxmlformats.org/officeDocument/2006/relationships/queryTable" Target="../queryTables/queryTable568.xml"/><Relationship Id="rId35" Type="http://schemas.openxmlformats.org/officeDocument/2006/relationships/queryTable" Target="../queryTables/queryTable573.xml"/><Relationship Id="rId43" Type="http://schemas.openxmlformats.org/officeDocument/2006/relationships/queryTable" Target="../queryTables/queryTable581.xml"/><Relationship Id="rId48" Type="http://schemas.openxmlformats.org/officeDocument/2006/relationships/queryTable" Target="../queryTables/queryTable586.xml"/><Relationship Id="rId56" Type="http://schemas.openxmlformats.org/officeDocument/2006/relationships/queryTable" Target="../queryTables/queryTable594.xml"/><Relationship Id="rId64" Type="http://schemas.openxmlformats.org/officeDocument/2006/relationships/queryTable" Target="../queryTables/queryTable602.xml"/><Relationship Id="rId69" Type="http://schemas.openxmlformats.org/officeDocument/2006/relationships/queryTable" Target="../queryTables/queryTable607.xml"/><Relationship Id="rId77" Type="http://schemas.openxmlformats.org/officeDocument/2006/relationships/queryTable" Target="../queryTables/queryTable615.xml"/><Relationship Id="rId8" Type="http://schemas.openxmlformats.org/officeDocument/2006/relationships/queryTable" Target="../queryTables/queryTable546.xml"/><Relationship Id="rId51" Type="http://schemas.openxmlformats.org/officeDocument/2006/relationships/queryTable" Target="../queryTables/queryTable589.xml"/><Relationship Id="rId72" Type="http://schemas.openxmlformats.org/officeDocument/2006/relationships/queryTable" Target="../queryTables/queryTable610.xml"/><Relationship Id="rId80" Type="http://schemas.openxmlformats.org/officeDocument/2006/relationships/queryTable" Target="../queryTables/queryTable618.xml"/><Relationship Id="rId85" Type="http://schemas.openxmlformats.org/officeDocument/2006/relationships/queryTable" Target="../queryTables/queryTable623.xml"/><Relationship Id="rId3" Type="http://schemas.openxmlformats.org/officeDocument/2006/relationships/vmlDrawing" Target="../drawings/vmlDrawing14.vml"/><Relationship Id="rId12" Type="http://schemas.openxmlformats.org/officeDocument/2006/relationships/queryTable" Target="../queryTables/queryTable550.xml"/><Relationship Id="rId17" Type="http://schemas.openxmlformats.org/officeDocument/2006/relationships/queryTable" Target="../queryTables/queryTable555.xml"/><Relationship Id="rId25" Type="http://schemas.openxmlformats.org/officeDocument/2006/relationships/queryTable" Target="../queryTables/queryTable563.xml"/><Relationship Id="rId33" Type="http://schemas.openxmlformats.org/officeDocument/2006/relationships/queryTable" Target="../queryTables/queryTable571.xml"/><Relationship Id="rId38" Type="http://schemas.openxmlformats.org/officeDocument/2006/relationships/queryTable" Target="../queryTables/queryTable576.xml"/><Relationship Id="rId46" Type="http://schemas.openxmlformats.org/officeDocument/2006/relationships/queryTable" Target="../queryTables/queryTable584.xml"/><Relationship Id="rId59" Type="http://schemas.openxmlformats.org/officeDocument/2006/relationships/queryTable" Target="../queryTables/queryTable597.xml"/><Relationship Id="rId67" Type="http://schemas.openxmlformats.org/officeDocument/2006/relationships/queryTable" Target="../queryTables/queryTable605.xml"/><Relationship Id="rId20" Type="http://schemas.openxmlformats.org/officeDocument/2006/relationships/queryTable" Target="../queryTables/queryTable558.xml"/><Relationship Id="rId41" Type="http://schemas.openxmlformats.org/officeDocument/2006/relationships/queryTable" Target="../queryTables/queryTable579.xml"/><Relationship Id="rId54" Type="http://schemas.openxmlformats.org/officeDocument/2006/relationships/queryTable" Target="../queryTables/queryTable592.xml"/><Relationship Id="rId62" Type="http://schemas.openxmlformats.org/officeDocument/2006/relationships/queryTable" Target="../queryTables/queryTable600.xml"/><Relationship Id="rId70" Type="http://schemas.openxmlformats.org/officeDocument/2006/relationships/queryTable" Target="../queryTables/queryTable608.xml"/><Relationship Id="rId75" Type="http://schemas.openxmlformats.org/officeDocument/2006/relationships/queryTable" Target="../queryTables/queryTable613.xml"/><Relationship Id="rId83" Type="http://schemas.openxmlformats.org/officeDocument/2006/relationships/queryTable" Target="../queryTables/queryTable62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4.xml"/><Relationship Id="rId15" Type="http://schemas.openxmlformats.org/officeDocument/2006/relationships/queryTable" Target="../queryTables/queryTable553.xml"/><Relationship Id="rId23" Type="http://schemas.openxmlformats.org/officeDocument/2006/relationships/queryTable" Target="../queryTables/queryTable561.xml"/><Relationship Id="rId28" Type="http://schemas.openxmlformats.org/officeDocument/2006/relationships/queryTable" Target="../queryTables/queryTable566.xml"/><Relationship Id="rId36" Type="http://schemas.openxmlformats.org/officeDocument/2006/relationships/queryTable" Target="../queryTables/queryTable574.xml"/><Relationship Id="rId49" Type="http://schemas.openxmlformats.org/officeDocument/2006/relationships/queryTable" Target="../queryTables/queryTable587.xml"/><Relationship Id="rId57" Type="http://schemas.openxmlformats.org/officeDocument/2006/relationships/queryTable" Target="../queryTables/queryTable595.xml"/><Relationship Id="rId10" Type="http://schemas.openxmlformats.org/officeDocument/2006/relationships/queryTable" Target="../queryTables/queryTable548.xml"/><Relationship Id="rId31" Type="http://schemas.openxmlformats.org/officeDocument/2006/relationships/queryTable" Target="../queryTables/queryTable569.xml"/><Relationship Id="rId44" Type="http://schemas.openxmlformats.org/officeDocument/2006/relationships/queryTable" Target="../queryTables/queryTable582.xml"/><Relationship Id="rId52" Type="http://schemas.openxmlformats.org/officeDocument/2006/relationships/queryTable" Target="../queryTables/queryTable590.xml"/><Relationship Id="rId60" Type="http://schemas.openxmlformats.org/officeDocument/2006/relationships/queryTable" Target="../queryTables/queryTable598.xml"/><Relationship Id="rId65" Type="http://schemas.openxmlformats.org/officeDocument/2006/relationships/queryTable" Target="../queryTables/queryTable603.xml"/><Relationship Id="rId73" Type="http://schemas.openxmlformats.org/officeDocument/2006/relationships/queryTable" Target="../queryTables/queryTable611.xml"/><Relationship Id="rId78" Type="http://schemas.openxmlformats.org/officeDocument/2006/relationships/queryTable" Target="../queryTables/queryTable616.xml"/><Relationship Id="rId81" Type="http://schemas.openxmlformats.org/officeDocument/2006/relationships/queryTable" Target="../queryTables/queryTable61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"/>
  <sheetViews>
    <sheetView workbookViewId="0">
      <selection activeCell="D1" sqref="D1"/>
    </sheetView>
  </sheetViews>
  <sheetFormatPr defaultColWidth="8.6640625" defaultRowHeight="14.4" x14ac:dyDescent="0.3"/>
  <cols>
    <col min="1" max="1" width="10.5546875" style="49" bestFit="1" customWidth="1"/>
    <col min="2" max="2" width="1.33203125" style="49" customWidth="1"/>
    <col min="3" max="3" width="4.33203125" style="49" bestFit="1" customWidth="1"/>
    <col min="4" max="4" width="7" style="49" bestFit="1" customWidth="1"/>
    <col min="5" max="5" width="1.33203125" style="49" customWidth="1"/>
    <col min="6" max="6" width="8.6640625" style="49"/>
    <col min="7" max="7" width="2.88671875" style="49" bestFit="1" customWidth="1"/>
    <col min="8" max="8" width="1.33203125" style="49" customWidth="1"/>
    <col min="9" max="9" width="18.33203125" style="49" bestFit="1" customWidth="1"/>
    <col min="10" max="10" width="2" style="51" bestFit="1" customWidth="1"/>
    <col min="11" max="16384" width="8.6640625" style="49"/>
  </cols>
  <sheetData>
    <row r="1" spans="1:11" x14ac:dyDescent="0.3">
      <c r="A1" s="3" t="s">
        <v>11</v>
      </c>
      <c r="B1" s="3"/>
      <c r="C1" s="49" t="s">
        <v>14</v>
      </c>
      <c r="D1" s="53" t="s">
        <v>77</v>
      </c>
      <c r="E1" s="3"/>
      <c r="F1" s="49" t="s">
        <v>15</v>
      </c>
      <c r="G1" s="53" t="s">
        <v>6</v>
      </c>
      <c r="H1" s="3"/>
      <c r="I1" s="50" t="s">
        <v>85</v>
      </c>
      <c r="J1" s="52">
        <v>0</v>
      </c>
      <c r="K1" s="3" t="s">
        <v>142</v>
      </c>
    </row>
    <row r="2" spans="1:11" x14ac:dyDescent="0.3">
      <c r="A2" s="3" t="s">
        <v>13</v>
      </c>
      <c r="B2" s="3"/>
      <c r="C2" s="49" t="s">
        <v>14</v>
      </c>
      <c r="D2" s="104" t="s">
        <v>10</v>
      </c>
      <c r="E2" s="3"/>
      <c r="H2" s="3"/>
    </row>
    <row r="3" spans="1:11" x14ac:dyDescent="0.3">
      <c r="A3" s="3" t="s">
        <v>12</v>
      </c>
      <c r="B3" s="3"/>
      <c r="C3" s="49" t="s">
        <v>14</v>
      </c>
      <c r="D3" s="53" t="s">
        <v>69</v>
      </c>
      <c r="E3" s="3"/>
      <c r="H3" s="3"/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Internal!$A$2:$A$3</xm:f>
          </x14:formula1>
          <xm:sqref>G1</xm:sqref>
        </x14:dataValidation>
        <x14:dataValidation type="list" allowBlank="1" showInputMessage="1" showErrorMessage="1" xr:uid="{00000000-0002-0000-0000-000001000000}">
          <x14:formula1>
            <xm:f>Internal!$G$2:$G$5</xm:f>
          </x14:formula1>
          <xm:sqref>J1</xm:sqref>
        </x14:dataValidation>
        <x14:dataValidation type="list" allowBlank="1" showInputMessage="1" showErrorMessage="1" xr:uid="{00000000-0002-0000-0000-000002000000}">
          <x14:formula1>
            <xm:f>Internal!$H$2:$H$31</xm:f>
          </x14:formula1>
          <xm:sqref>D2:D3</xm:sqref>
        </x14:dataValidation>
        <x14:dataValidation type="list" allowBlank="1" showInputMessage="1" showErrorMessage="1" xr:uid="{00000000-0002-0000-0000-000003000000}">
          <x14:formula1>
            <xm:f>Internal!$H$2:$H$41</xm:f>
          </x14:formula1>
          <xm:sqref>D1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M63"/>
  <sheetViews>
    <sheetView topLeftCell="A19" workbookViewId="0">
      <selection activeCell="F42" sqref="F42"/>
    </sheetView>
  </sheetViews>
  <sheetFormatPr defaultColWidth="12.33203125" defaultRowHeight="14.4" x14ac:dyDescent="0.3"/>
  <cols>
    <col min="1" max="1" width="2.6640625" style="11" bestFit="1" customWidth="1"/>
    <col min="2" max="2" width="11.5546875" style="11" bestFit="1" customWidth="1"/>
    <col min="3" max="4" width="11.5546875" style="54" customWidth="1"/>
    <col min="5" max="5" width="9.5546875" style="54" bestFit="1" customWidth="1"/>
    <col min="6" max="7" width="12.33203125" style="12"/>
    <col min="8" max="9" width="12.33203125" style="12" customWidth="1"/>
    <col min="10" max="10" width="12.44140625" style="12" customWidth="1"/>
    <col min="11" max="11" width="12.33203125" style="89" customWidth="1"/>
    <col min="12" max="13" width="12.44140625" style="70" customWidth="1"/>
    <col min="14" max="14" width="12.33203125" style="12" customWidth="1"/>
    <col min="15" max="15" width="12.33203125" style="70"/>
    <col min="16" max="17" width="12.33203125" style="12"/>
    <col min="18" max="19" width="12.33203125" style="13"/>
    <col min="20" max="20" width="12.33203125" style="77" customWidth="1"/>
    <col min="21" max="21" width="14" style="77" bestFit="1" customWidth="1"/>
    <col min="22" max="23" width="12.33203125" style="77" customWidth="1"/>
    <col min="24" max="25" width="12.33203125" style="14"/>
    <col min="26" max="26" width="12.33203125" style="94"/>
    <col min="27" max="27" width="14" style="94" bestFit="1" customWidth="1"/>
    <col min="28" max="29" width="12.33203125" style="94"/>
    <col min="30" max="31" width="12.33203125" style="13"/>
    <col min="32" max="32" width="12.33203125" style="77"/>
    <col min="33" max="33" width="14" style="77" bestFit="1" customWidth="1"/>
    <col min="34" max="35" width="12.33203125" style="77"/>
    <col min="36" max="37" width="12.33203125" style="14"/>
    <col min="38" max="38" width="12.33203125" style="94"/>
    <col min="39" max="39" width="14" style="94" bestFit="1" customWidth="1"/>
    <col min="40" max="40" width="12.33203125" style="94"/>
    <col min="41" max="41" width="15.109375" style="94" customWidth="1"/>
    <col min="42" max="42" width="12.33203125" style="13"/>
    <col min="43" max="43" width="12.6640625" style="13" bestFit="1" customWidth="1"/>
    <col min="44" max="44" width="12.33203125" style="77"/>
    <col min="45" max="45" width="14" style="13" bestFit="1" customWidth="1"/>
    <col min="46" max="47" width="12.33203125" style="13"/>
    <col min="48" max="48" width="12.33203125" style="14"/>
    <col min="49" max="49" width="12.6640625" style="14" bestFit="1" customWidth="1"/>
    <col min="50" max="50" width="12.33203125" style="94"/>
    <col min="51" max="51" width="14" style="94" bestFit="1" customWidth="1"/>
    <col min="52" max="53" width="12.33203125" style="94"/>
    <col min="54" max="54" width="12.33203125" style="13"/>
    <col min="55" max="55" width="12.6640625" style="13" bestFit="1" customWidth="1"/>
    <col min="56" max="56" width="12.33203125" style="77"/>
    <col min="57" max="57" width="14" style="77" bestFit="1" customWidth="1"/>
    <col min="58" max="59" width="12.33203125" style="77"/>
    <col min="60" max="61" width="12.6640625" style="14" bestFit="1" customWidth="1"/>
    <col min="62" max="62" width="12.33203125" style="94"/>
    <col min="63" max="63" width="14" style="94" bestFit="1" customWidth="1"/>
    <col min="64" max="65" width="12.33203125" style="94"/>
    <col min="66" max="16384" width="12.33203125" style="16"/>
  </cols>
  <sheetData>
    <row r="1" spans="1:65" s="10" customFormat="1" ht="15" thickBot="1" x14ac:dyDescent="0.35">
      <c r="A1" s="6" t="s">
        <v>23</v>
      </c>
      <c r="B1" s="57" t="s">
        <v>88</v>
      </c>
      <c r="C1" s="57" t="s">
        <v>206</v>
      </c>
      <c r="D1" s="57" t="s">
        <v>205</v>
      </c>
      <c r="E1" s="57" t="s">
        <v>86</v>
      </c>
      <c r="F1" s="7" t="s">
        <v>51</v>
      </c>
      <c r="G1" s="123" t="s">
        <v>204</v>
      </c>
      <c r="H1" s="7" t="s">
        <v>31</v>
      </c>
      <c r="I1" s="7"/>
      <c r="J1" s="7" t="s">
        <v>32</v>
      </c>
      <c r="K1" s="66" t="s">
        <v>151</v>
      </c>
      <c r="L1" s="66" t="s">
        <v>164</v>
      </c>
      <c r="M1" s="123" t="s">
        <v>152</v>
      </c>
      <c r="N1" s="7" t="s">
        <v>33</v>
      </c>
      <c r="O1" s="66" t="s">
        <v>165</v>
      </c>
      <c r="P1" s="66" t="s">
        <v>164</v>
      </c>
      <c r="Q1" s="123" t="s">
        <v>152</v>
      </c>
      <c r="R1" s="8" t="s">
        <v>52</v>
      </c>
      <c r="S1" s="8" t="s">
        <v>46</v>
      </c>
      <c r="T1" s="73" t="s">
        <v>157</v>
      </c>
      <c r="U1" s="73" t="s">
        <v>159</v>
      </c>
      <c r="V1" s="130" t="s">
        <v>158</v>
      </c>
      <c r="W1" s="131" t="s">
        <v>203</v>
      </c>
      <c r="X1" s="9" t="s">
        <v>53</v>
      </c>
      <c r="Y1" s="9" t="s">
        <v>16</v>
      </c>
      <c r="Z1" s="93" t="s">
        <v>166</v>
      </c>
      <c r="AA1" s="93" t="s">
        <v>159</v>
      </c>
      <c r="AB1" s="135" t="s">
        <v>158</v>
      </c>
      <c r="AC1" s="135" t="s">
        <v>203</v>
      </c>
      <c r="AD1" s="8" t="s">
        <v>54</v>
      </c>
      <c r="AE1" s="8" t="s">
        <v>17</v>
      </c>
      <c r="AF1" s="73" t="s">
        <v>167</v>
      </c>
      <c r="AG1" s="73" t="s">
        <v>159</v>
      </c>
      <c r="AH1" s="130" t="s">
        <v>158</v>
      </c>
      <c r="AI1" s="130" t="s">
        <v>203</v>
      </c>
      <c r="AJ1" s="9" t="s">
        <v>55</v>
      </c>
      <c r="AK1" s="9" t="s">
        <v>18</v>
      </c>
      <c r="AL1" s="93" t="s">
        <v>168</v>
      </c>
      <c r="AM1" s="93" t="s">
        <v>159</v>
      </c>
      <c r="AN1" s="135" t="s">
        <v>158</v>
      </c>
      <c r="AO1" s="135" t="s">
        <v>203</v>
      </c>
      <c r="AP1" s="8" t="s">
        <v>56</v>
      </c>
      <c r="AQ1" s="8" t="s">
        <v>19</v>
      </c>
      <c r="AR1" s="73" t="s">
        <v>170</v>
      </c>
      <c r="AS1" s="73" t="s">
        <v>171</v>
      </c>
      <c r="AT1" s="73" t="s">
        <v>172</v>
      </c>
      <c r="AU1" s="73" t="s">
        <v>203</v>
      </c>
      <c r="AV1" s="9" t="s">
        <v>57</v>
      </c>
      <c r="AW1" s="9" t="s">
        <v>20</v>
      </c>
      <c r="AX1" s="93" t="s">
        <v>173</v>
      </c>
      <c r="AY1" s="93" t="s">
        <v>174</v>
      </c>
      <c r="AZ1" s="93" t="s">
        <v>175</v>
      </c>
      <c r="BA1" s="93" t="s">
        <v>203</v>
      </c>
      <c r="BB1" s="8" t="s">
        <v>58</v>
      </c>
      <c r="BC1" s="8" t="s">
        <v>21</v>
      </c>
      <c r="BD1" s="73" t="s">
        <v>176</v>
      </c>
      <c r="BE1" s="73" t="s">
        <v>177</v>
      </c>
      <c r="BF1" s="73" t="s">
        <v>178</v>
      </c>
      <c r="BG1" s="73" t="s">
        <v>203</v>
      </c>
      <c r="BH1" s="9" t="s">
        <v>59</v>
      </c>
      <c r="BI1" s="9" t="s">
        <v>22</v>
      </c>
      <c r="BJ1" s="93" t="s">
        <v>179</v>
      </c>
      <c r="BK1" s="93" t="s">
        <v>180</v>
      </c>
      <c r="BL1" s="93" t="s">
        <v>181</v>
      </c>
      <c r="BM1" s="93" t="s">
        <v>203</v>
      </c>
    </row>
    <row r="2" spans="1:65" x14ac:dyDescent="0.3">
      <c r="A2" s="11">
        <v>1</v>
      </c>
      <c r="B2" s="11">
        <v>-5000</v>
      </c>
      <c r="C2" s="11">
        <v>-27000</v>
      </c>
      <c r="D2" s="11">
        <f>IF(Connect!G$1=Internal!A$2,Data!B2,Data!C2)</f>
        <v>-27000</v>
      </c>
      <c r="E2" s="58">
        <v>-27000</v>
      </c>
      <c r="F2" s="12">
        <f>Voltage!L2</f>
        <v>9.7309792000000002</v>
      </c>
      <c r="G2" s="124">
        <f>((E2-G$32)/G$26-F2)*1000</f>
        <v>87.22760998097101</v>
      </c>
      <c r="H2" s="12">
        <f>Voltage!M2</f>
        <v>-26548</v>
      </c>
      <c r="J2" s="12">
        <f>Voltage!N2</f>
        <v>-31886</v>
      </c>
      <c r="K2" s="82">
        <f t="shared" ref="K2:K11" si="0">J2*K$26+K$32</f>
        <v>9.7308355587999991</v>
      </c>
      <c r="L2" s="79">
        <f>ABS($F2-K2)</f>
        <v>1.4364120000109892E-4</v>
      </c>
      <c r="M2" s="127">
        <f t="shared" ref="M2:M22" si="1">ABS(L2/$F2)</f>
        <v>1.4761227729383998E-5</v>
      </c>
      <c r="N2" s="12">
        <f>Voltage!O2</f>
        <v>-12706</v>
      </c>
      <c r="O2" s="82">
        <f t="shared" ref="O2:O11" si="2">N2*O$26+O$32</f>
        <v>-9.7055645007999995</v>
      </c>
      <c r="P2" s="106">
        <f>ABS($F2-O2)</f>
        <v>19.436543700800001</v>
      </c>
      <c r="Q2" s="127">
        <f>ABS(P2/$F2)</f>
        <v>1.9973882690860136</v>
      </c>
      <c r="R2" s="61">
        <f>'Range 0'!L2*1000</f>
        <v>946.99253999999996</v>
      </c>
      <c r="S2" s="13">
        <f>'Range 0'!M2</f>
        <v>-31540</v>
      </c>
      <c r="T2" s="85">
        <f>S2*U$26/Igain+U$32</f>
        <v>971.26586599394545</v>
      </c>
      <c r="U2" s="85">
        <f t="shared" ref="U2:U22" si="3">ABS(T2-R2)</f>
        <v>24.273325993945491</v>
      </c>
      <c r="V2" s="132">
        <f t="shared" ref="V2:V22" si="4">ABS(U2/CUR_RNG_R0)</f>
        <v>2.427332599394549E-2</v>
      </c>
      <c r="W2" s="132">
        <f t="shared" ref="W2:W22" si="5">ABS((D2-S$32)/S$26-R2)/CUR_RNG_R0</f>
        <v>2.5107119657108001E-2</v>
      </c>
      <c r="X2" s="15">
        <f>'Range 1'!L2*1000</f>
        <v>59.757235000000001</v>
      </c>
      <c r="Y2" s="14">
        <f>'Range 1'!M2</f>
        <v>-31532</v>
      </c>
      <c r="Z2" s="94">
        <f t="shared" ref="Z2:Z22" si="6">Y2*AA$26/Igain+AA$32</f>
        <v>97.101950813319874</v>
      </c>
      <c r="AA2" s="101">
        <f t="shared" ref="AA2:AA22" si="7">ABS(Z2-X2)</f>
        <v>37.344715813319873</v>
      </c>
      <c r="AB2" s="136">
        <f t="shared" ref="AB2:AB22" si="8">ABS(AA2/CUR_RNG_R1)</f>
        <v>0.37344715813319873</v>
      </c>
      <c r="AC2" s="136">
        <f t="shared" ref="AC2:AC22" si="9">ABS(($D2-Y$32)/Y$26-X2)/CUR_RNG_R1</f>
        <v>0.37452730965710807</v>
      </c>
      <c r="AD2" s="61">
        <f>'Range 2'!L2*1000</f>
        <v>9.6404598000000004</v>
      </c>
      <c r="AE2" s="13">
        <f>'Range 2'!M2</f>
        <v>-31532</v>
      </c>
      <c r="AF2" s="77">
        <f t="shared" ref="AF2:AF22" si="10">AE2*AG$26/Igain+AG$32</f>
        <v>9.7101950813319888</v>
      </c>
      <c r="AG2" s="85">
        <f t="shared" ref="AG2:AG22" si="11">ABS(AF2-AD2)</f>
        <v>6.9735281331988475E-2</v>
      </c>
      <c r="AH2" s="139">
        <f t="shared" ref="AH2:AH22" si="12">ABS(AG2/CUR_RNG_R2)</f>
        <v>6.9735281331988475E-3</v>
      </c>
      <c r="AI2" s="139">
        <f t="shared" ref="AI2:AI22" si="13">ABS(($D2-AE$32)/AE$26-AD2)/CUR_RNG_R2</f>
        <v>8.0536796571079698E-3</v>
      </c>
      <c r="AJ2" s="15">
        <f>'Range 3'!L2*1000</f>
        <v>0.96409999999999996</v>
      </c>
      <c r="AK2" s="14">
        <f>'Range 3'!M2</f>
        <v>-31533</v>
      </c>
      <c r="AL2" s="94">
        <f t="shared" ref="AL2:AL22" si="14">AK2*AM$26/Igain+AM$32</f>
        <v>0.97105030286579197</v>
      </c>
      <c r="AM2" s="101">
        <f t="shared" ref="AM2:AM22" si="15">ABS(AL2-AJ2)</f>
        <v>6.950302865792013E-3</v>
      </c>
      <c r="AN2" s="136">
        <f t="shared" ref="AN2:AN22" si="16">ABS(AM2/CUR_RNG_R3)</f>
        <v>6.950302865792013E-3</v>
      </c>
      <c r="AO2" s="136">
        <f t="shared" ref="AO2:AO22" si="17">ABS(($D2-AK$32)/AK$26-AJ2)/CUR_RNG_R3</f>
        <v>7.999659657108027E-3</v>
      </c>
      <c r="AP2" s="61">
        <f>'Range 4'!L2*1000</f>
        <v>9.6409999999999996E-2</v>
      </c>
      <c r="AQ2" s="13">
        <f>'Range 4'!M2</f>
        <v>-31533</v>
      </c>
      <c r="AR2" s="77">
        <f t="shared" ref="AR2:AR22" si="18">AQ2*AS$26/Igain+AS$32</f>
        <v>9.71050302865792E-2</v>
      </c>
      <c r="AS2" s="85">
        <f t="shared" ref="AS2:AS22" si="19">ABS(AR2-AP2)</f>
        <v>6.9503028657920407E-4</v>
      </c>
      <c r="AT2" s="113">
        <f>ABS(AS2/CUR_RNG_R4)</f>
        <v>6.9503028657920407E-3</v>
      </c>
      <c r="AU2" s="150">
        <f t="shared" ref="AU2:AU22" si="20">ABS(($D2-AQ$32)/AQ$26-AP2)/CUR_RNG_R4</f>
        <v>7.9996596571081657E-3</v>
      </c>
      <c r="AV2" s="15">
        <f>'Range 5'!L2*1000</f>
        <v>9.6539999999999994E-3</v>
      </c>
      <c r="AW2" s="14">
        <f>'Range 5'!M2</f>
        <v>-31532</v>
      </c>
      <c r="AX2" s="146">
        <f t="shared" ref="AX2:AX22" si="21">AW2*AX$26/Igain+AX$32</f>
        <v>9.6516421082896552E-3</v>
      </c>
      <c r="AY2" s="101">
        <f t="shared" ref="AY2:AY22" si="22">ABS(AX2-AV2)</f>
        <v>2.3578917103441593E-6</v>
      </c>
      <c r="AZ2" s="109">
        <f>ABS(AY2/CUR_RNG_R5)</f>
        <v>2.3578917103441593E-4</v>
      </c>
      <c r="BA2" s="149">
        <f t="shared" ref="BA2:BA22" si="23">ABS(($D2-AW$32)/AW$26-AV2)/CUR_RNG_R5</f>
        <v>6.6996596571080452E-3</v>
      </c>
      <c r="BB2" s="13">
        <f>'Range 6'!L2*1000</f>
        <v>9.660999999999999E-4</v>
      </c>
      <c r="BC2" s="13">
        <f>'Range 6'!M2</f>
        <v>-31531</v>
      </c>
      <c r="BD2" s="77">
        <f t="shared" ref="BD2:BD22" si="24">BC2*BD$26/Igain+BD$32</f>
        <v>9.6349024002227745E-4</v>
      </c>
      <c r="BE2" s="85">
        <f t="shared" ref="BE2:BE22" si="25">ABS(BD2-BB2)</f>
        <v>2.6097599777224513E-6</v>
      </c>
      <c r="BF2" s="113">
        <f>ABS(BE2/CUR_RNG_R6)</f>
        <v>2.6097599777224513E-3</v>
      </c>
      <c r="BG2" s="113">
        <f t="shared" ref="BG2:BG22" si="26">ABS(($D2-BC$32)/BC$26-BB2)/CUR_RNG_R6</f>
        <v>5.9996596571081475E-3</v>
      </c>
      <c r="BH2" s="14">
        <f>'Range 7'!L2*1000</f>
        <v>9.6019999999999992E-5</v>
      </c>
      <c r="BI2" s="14">
        <f>'Range 7'!M2</f>
        <v>-31532</v>
      </c>
      <c r="BJ2" s="94">
        <f t="shared" ref="BJ2:BJ22" si="27">BI2*BJ$26/Igain+BJ$32</f>
        <v>9.6156057365523958E-5</v>
      </c>
      <c r="BK2" s="101">
        <f t="shared" ref="BK2:BK22" si="28">ABS(BJ2-BH2)</f>
        <v>1.3605736552396578E-7</v>
      </c>
      <c r="BL2" s="109">
        <f>ABS(BK2/CUR_RNG_R7)</f>
        <v>1.3605736552396578E-3</v>
      </c>
      <c r="BM2" s="109">
        <f t="shared" ref="BM2:BM22" si="29">ABS(($D2-BI$32)/BI$26-BH2)/CUR_RNG_R7</f>
        <v>1.1899659657108128E-2</v>
      </c>
    </row>
    <row r="3" spans="1:65" x14ac:dyDescent="0.3">
      <c r="A3" s="11">
        <v>2</v>
      </c>
      <c r="B3" s="11">
        <v>-4500</v>
      </c>
      <c r="C3" s="11">
        <v>-24300</v>
      </c>
      <c r="D3" s="11">
        <f>IF(Connect!G$1=Internal!A$2,Data!B3,Data!C3)</f>
        <v>-24300</v>
      </c>
      <c r="E3" s="58">
        <v>-24300</v>
      </c>
      <c r="F3" s="12">
        <f>Voltage!L3</f>
        <v>8.7536837999999992</v>
      </c>
      <c r="G3" s="124">
        <f>((E3-G$32)/G$26-F3)*1000</f>
        <v>82.702328982874107</v>
      </c>
      <c r="H3" s="12">
        <f>Voltage!M3</f>
        <v>-23882</v>
      </c>
      <c r="J3" s="12">
        <f>Voltage!N3</f>
        <v>-28686</v>
      </c>
      <c r="K3" s="82">
        <f>J3*K$26+K$32</f>
        <v>8.7542729987999994</v>
      </c>
      <c r="L3" s="79">
        <f t="shared" ref="L3:L22" si="30">ABS($F3-K3)</f>
        <v>5.891988000001902E-4</v>
      </c>
      <c r="M3" s="127">
        <f t="shared" si="1"/>
        <v>6.7308668380298387E-5</v>
      </c>
      <c r="N3" s="12">
        <f>Voltage!O3</f>
        <v>-11430</v>
      </c>
      <c r="O3" s="82">
        <f t="shared" si="2"/>
        <v>-8.7308832239999994</v>
      </c>
      <c r="P3" s="106">
        <f t="shared" ref="P3:P22" si="31">ABS($F3-O3)</f>
        <v>17.484567024</v>
      </c>
      <c r="Q3" s="127">
        <f t="shared" ref="Q3:Q22" si="32">ABS(P3/$F3)</f>
        <v>1.9973953164723635</v>
      </c>
      <c r="R3" s="13">
        <f>'Range 0'!L3*1000</f>
        <v>852.02103999999997</v>
      </c>
      <c r="S3" s="13">
        <f>'Range 0'!M3</f>
        <v>-28377</v>
      </c>
      <c r="T3" s="85">
        <f t="shared" ref="T3:T22" si="33">S3*U$26/Igain+U$32</f>
        <v>873.86212680121093</v>
      </c>
      <c r="U3" s="85">
        <f t="shared" si="3"/>
        <v>21.841086801210963</v>
      </c>
      <c r="V3" s="132">
        <f t="shared" si="4"/>
        <v>2.1841086801210965E-2</v>
      </c>
      <c r="W3" s="132">
        <f t="shared" si="5"/>
        <v>2.2868653691397185E-2</v>
      </c>
      <c r="X3" s="14">
        <f>'Range 1'!L3*1000</f>
        <v>53.761265999999999</v>
      </c>
      <c r="Y3" s="14">
        <f>'Range 1'!M3</f>
        <v>-28370</v>
      </c>
      <c r="Z3" s="94">
        <f t="shared" si="6"/>
        <v>87.364656367305741</v>
      </c>
      <c r="AA3" s="101">
        <f t="shared" si="7"/>
        <v>33.603390367305742</v>
      </c>
      <c r="AB3" s="136">
        <f t="shared" si="8"/>
        <v>0.33603390367305741</v>
      </c>
      <c r="AC3" s="136">
        <f t="shared" si="9"/>
        <v>0.33727703369139728</v>
      </c>
      <c r="AD3" s="13">
        <f>'Range 2'!L3*1000</f>
        <v>8.6732966000000005</v>
      </c>
      <c r="AE3" s="13">
        <f>'Range 2'!M3</f>
        <v>-28369</v>
      </c>
      <c r="AF3" s="77">
        <f t="shared" si="10"/>
        <v>8.7361576894046404</v>
      </c>
      <c r="AG3" s="85">
        <f t="shared" si="11"/>
        <v>6.2861089404639969E-2</v>
      </c>
      <c r="AH3" s="139">
        <f t="shared" si="12"/>
        <v>6.2861089404639969E-3</v>
      </c>
      <c r="AI3" s="139">
        <f t="shared" si="13"/>
        <v>7.5600336913971946E-3</v>
      </c>
      <c r="AJ3" s="14">
        <f>'Range 3'!L3*1000</f>
        <v>0.86729999999999996</v>
      </c>
      <c r="AK3" s="14">
        <f>'Range 3'!M3</f>
        <v>-28371</v>
      </c>
      <c r="AL3" s="94">
        <f t="shared" si="14"/>
        <v>0.87367735840565086</v>
      </c>
      <c r="AM3" s="101">
        <f t="shared" si="15"/>
        <v>6.3773584056509014E-3</v>
      </c>
      <c r="AN3" s="136">
        <f t="shared" si="16"/>
        <v>6.3773584056509014E-3</v>
      </c>
      <c r="AO3" s="136">
        <f t="shared" si="17"/>
        <v>7.5896936913972812E-3</v>
      </c>
      <c r="AP3" s="13">
        <f>'Range 4'!L3*1000</f>
        <v>8.6730000000000002E-2</v>
      </c>
      <c r="AQ3" s="13">
        <f>'Range 4'!M3</f>
        <v>-28370</v>
      </c>
      <c r="AR3" s="77">
        <f t="shared" si="18"/>
        <v>8.736465636730574E-2</v>
      </c>
      <c r="AS3" s="85">
        <f t="shared" si="19"/>
        <v>6.3465636730573871E-4</v>
      </c>
      <c r="AT3" s="113">
        <f t="shared" ref="AT3:AT22" si="34">ABS(AS3/CUR_RNG_R4)</f>
        <v>6.3465636730573871E-3</v>
      </c>
      <c r="AU3" s="113">
        <f t="shared" si="20"/>
        <v>7.589693691397309E-3</v>
      </c>
      <c r="AV3" s="14">
        <f>'Range 5'!L3*1000</f>
        <v>8.6819999999999987E-3</v>
      </c>
      <c r="AW3" s="14">
        <f>'Range 5'!M3</f>
        <v>-28370</v>
      </c>
      <c r="AX3" s="94">
        <f t="shared" si="21"/>
        <v>8.6837225673423567E-3</v>
      </c>
      <c r="AY3" s="101">
        <f t="shared" si="22"/>
        <v>1.7225673423579974E-6</v>
      </c>
      <c r="AZ3" s="109">
        <f t="shared" ref="AZ3:AZ22" si="35">ABS(AY3/CUR_RNG_R3)</f>
        <v>1.7225673423579974E-6</v>
      </c>
      <c r="BA3" s="109">
        <f t="shared" si="23"/>
        <v>6.6896936913973803E-3</v>
      </c>
      <c r="BB3" s="13">
        <f>'Range 6'!L3*1000</f>
        <v>8.6840000000000007E-4</v>
      </c>
      <c r="BC3" s="13">
        <f>'Range 6'!M3</f>
        <v>-28369</v>
      </c>
      <c r="BD3" s="77">
        <f t="shared" si="24"/>
        <v>8.6686662804954595E-4</v>
      </c>
      <c r="BE3" s="85">
        <f t="shared" si="25"/>
        <v>1.5333719504541203E-6</v>
      </c>
      <c r="BF3" s="113">
        <f t="shared" ref="BF3:BF22" si="36">ABS(BE3/CUR_RNG_R3)</f>
        <v>1.5333719504541203E-6</v>
      </c>
      <c r="BG3" s="113">
        <f t="shared" si="26"/>
        <v>6.4896936913971153E-3</v>
      </c>
      <c r="BH3" s="14">
        <f>'Range 7'!L3*1000</f>
        <v>8.6429999999999997E-5</v>
      </c>
      <c r="BI3" s="14">
        <f>'Range 7'!M3</f>
        <v>-28370</v>
      </c>
      <c r="BJ3" s="94">
        <f t="shared" si="27"/>
        <v>8.6534068008853996E-5</v>
      </c>
      <c r="BK3" s="101">
        <f t="shared" si="28"/>
        <v>1.040680088539985E-7</v>
      </c>
      <c r="BL3" s="109">
        <f t="shared" ref="BL3:BL22" si="37">ABS(BK3/CUR_RNG_R3)</f>
        <v>1.040680088539985E-7</v>
      </c>
      <c r="BM3" s="109">
        <f t="shared" si="29"/>
        <v>1.0589693691397296E-2</v>
      </c>
    </row>
    <row r="4" spans="1:65" x14ac:dyDescent="0.3">
      <c r="A4" s="11">
        <v>3</v>
      </c>
      <c r="B4" s="11">
        <v>-4000</v>
      </c>
      <c r="C4" s="11">
        <v>-21600</v>
      </c>
      <c r="D4" s="11">
        <f>IF(Connect!G$1=Internal!A$2,Data!B4,Data!C4)</f>
        <v>-21600</v>
      </c>
      <c r="E4" s="58">
        <v>-21600</v>
      </c>
      <c r="F4" s="12">
        <f>Voltage!L4</f>
        <v>7.7762269000000002</v>
      </c>
      <c r="G4" s="124">
        <f>((E4-G$32)/G$26-F4)*1000</f>
        <v>78.338547984777136</v>
      </c>
      <c r="H4" s="12">
        <f>Voltage!M4</f>
        <v>-21215</v>
      </c>
      <c r="J4" s="12">
        <f>Voltage!N4</f>
        <v>-25486</v>
      </c>
      <c r="K4" s="82">
        <f t="shared" si="0"/>
        <v>7.7777104387999998</v>
      </c>
      <c r="L4" s="79">
        <f t="shared" si="30"/>
        <v>1.4835387999996286E-3</v>
      </c>
      <c r="M4" s="127">
        <f t="shared" si="1"/>
        <v>1.9077874386608094E-4</v>
      </c>
      <c r="N4" s="12">
        <f>Voltage!O4</f>
        <v>-10154</v>
      </c>
      <c r="O4" s="82">
        <f t="shared" si="2"/>
        <v>-7.7562019472000001</v>
      </c>
      <c r="P4" s="106">
        <f t="shared" si="31"/>
        <v>15.5324288472</v>
      </c>
      <c r="Q4" s="127">
        <f t="shared" si="32"/>
        <v>1.9974248497301434</v>
      </c>
      <c r="R4" s="13">
        <f>'Range 0'!L4*1000</f>
        <v>757.02080999999998</v>
      </c>
      <c r="S4" s="13">
        <f>'Range 0'!M4</f>
        <v>-25213</v>
      </c>
      <c r="T4" s="85">
        <f t="shared" si="33"/>
        <v>776.42759287588297</v>
      </c>
      <c r="U4" s="85">
        <f t="shared" si="3"/>
        <v>19.406782875882982</v>
      </c>
      <c r="V4" s="132">
        <f t="shared" si="4"/>
        <v>1.9406782875882982E-2</v>
      </c>
      <c r="W4" s="132">
        <f t="shared" si="5"/>
        <v>2.0658917725686364E-2</v>
      </c>
      <c r="X4" s="14">
        <f>'Range 1'!L4*1000</f>
        <v>47.766083000000002</v>
      </c>
      <c r="Y4" s="14">
        <f>'Range 1'!M4</f>
        <v>-25207</v>
      </c>
      <c r="Z4" s="94">
        <f t="shared" si="6"/>
        <v>77.624282448032289</v>
      </c>
      <c r="AA4" s="101">
        <f t="shared" si="7"/>
        <v>29.858199448032288</v>
      </c>
      <c r="AB4" s="136">
        <f t="shared" si="8"/>
        <v>0.29858199448032285</v>
      </c>
      <c r="AC4" s="136">
        <f t="shared" si="9"/>
        <v>0.30001889772568641</v>
      </c>
      <c r="AD4" s="13">
        <f>'Range 2'!L4*1000</f>
        <v>7.7060395000000002</v>
      </c>
      <c r="AE4" s="13">
        <f>'Range 2'!M4</f>
        <v>-25206</v>
      </c>
      <c r="AF4" s="77">
        <f t="shared" si="10"/>
        <v>7.7621202974772956</v>
      </c>
      <c r="AG4" s="85">
        <f t="shared" si="11"/>
        <v>5.6080797477295441E-2</v>
      </c>
      <c r="AH4" s="139">
        <f t="shared" si="12"/>
        <v>5.6080797477295443E-3</v>
      </c>
      <c r="AI4" s="139">
        <f t="shared" si="13"/>
        <v>7.0757777256864607E-3</v>
      </c>
      <c r="AJ4" s="14">
        <f>'Range 3'!L4*1000</f>
        <v>0.77059999999999995</v>
      </c>
      <c r="AK4" s="14">
        <f>'Range 3'!M4</f>
        <v>-25207</v>
      </c>
      <c r="AL4" s="94">
        <f t="shared" si="14"/>
        <v>0.77624282448032289</v>
      </c>
      <c r="AM4" s="101">
        <f t="shared" si="15"/>
        <v>5.6428244803229388E-3</v>
      </c>
      <c r="AN4" s="136">
        <f t="shared" si="16"/>
        <v>5.6428244803229388E-3</v>
      </c>
      <c r="AO4" s="136">
        <f t="shared" si="17"/>
        <v>7.0797277256864355E-3</v>
      </c>
      <c r="AP4" s="13">
        <f>'Range 4'!L4*1000</f>
        <v>7.7060000000000003E-2</v>
      </c>
      <c r="AQ4" s="13">
        <f>'Range 4'!M4</f>
        <v>-25207</v>
      </c>
      <c r="AR4" s="77">
        <f t="shared" si="18"/>
        <v>7.7624282448032281E-2</v>
      </c>
      <c r="AS4" s="85">
        <f t="shared" si="19"/>
        <v>5.6428244803227723E-4</v>
      </c>
      <c r="AT4" s="113">
        <f t="shared" si="34"/>
        <v>5.6428244803227723E-3</v>
      </c>
      <c r="AU4" s="113">
        <f t="shared" si="20"/>
        <v>7.079727725686491E-3</v>
      </c>
      <c r="AV4" s="14">
        <f>'Range 5'!L4*1000</f>
        <v>7.7120000000000001E-3</v>
      </c>
      <c r="AW4" s="14">
        <f>'Range 5'!M4</f>
        <v>-25207</v>
      </c>
      <c r="AX4" s="94">
        <f t="shared" si="21"/>
        <v>7.7154969164833116E-3</v>
      </c>
      <c r="AY4" s="101">
        <f t="shared" si="22"/>
        <v>3.4969164833115185E-6</v>
      </c>
      <c r="AZ4" s="109">
        <f t="shared" si="35"/>
        <v>3.4969164833115185E-6</v>
      </c>
      <c r="BA4" s="109">
        <f t="shared" si="23"/>
        <v>6.4797277256864287E-3</v>
      </c>
      <c r="BB4" s="13">
        <f>'Range 6'!L4*1000</f>
        <v>7.7139999999999999E-4</v>
      </c>
      <c r="BC4" s="13">
        <f>'Range 6'!M4</f>
        <v>-25206</v>
      </c>
      <c r="BD4" s="77">
        <f t="shared" si="24"/>
        <v>7.7021245832476729E-4</v>
      </c>
      <c r="BE4" s="85">
        <f t="shared" si="25"/>
        <v>1.1875416752327042E-6</v>
      </c>
      <c r="BF4" s="113">
        <f t="shared" si="36"/>
        <v>1.1875416752327042E-6</v>
      </c>
      <c r="BG4" s="113">
        <f t="shared" si="26"/>
        <v>6.2797277256864455E-3</v>
      </c>
      <c r="BH4" s="14">
        <f>'Range 7'!L4*1000</f>
        <v>7.6619999999999995E-5</v>
      </c>
      <c r="BI4" s="14">
        <f>'Range 7'!M4</f>
        <v>-25206</v>
      </c>
      <c r="BJ4" s="94">
        <f t="shared" si="27"/>
        <v>7.6905992637410714E-5</v>
      </c>
      <c r="BK4" s="101">
        <f t="shared" si="28"/>
        <v>2.8599263741071925E-7</v>
      </c>
      <c r="BL4" s="109">
        <f t="shared" si="37"/>
        <v>2.8599263741071925E-7</v>
      </c>
      <c r="BM4" s="109">
        <f t="shared" si="29"/>
        <v>1.1479727725686544E-2</v>
      </c>
    </row>
    <row r="5" spans="1:65" x14ac:dyDescent="0.3">
      <c r="A5" s="11">
        <v>4</v>
      </c>
      <c r="B5" s="11">
        <v>-3500</v>
      </c>
      <c r="C5" s="11">
        <v>-18900</v>
      </c>
      <c r="D5" s="11">
        <f>IF(Connect!G$1=Internal!A$2,Data!B5,Data!C5)</f>
        <v>-18900</v>
      </c>
      <c r="E5" s="58">
        <v>-18900</v>
      </c>
      <c r="F5" s="12">
        <f>Voltage!L5</f>
        <v>6.7994041000000003</v>
      </c>
      <c r="G5" s="124">
        <f t="shared" ref="G5:G11" si="38">((E5-G$32)/G$26-F5)*1000</f>
        <v>73.340666986679182</v>
      </c>
      <c r="H5" s="12">
        <f>Voltage!M5</f>
        <v>-18550</v>
      </c>
      <c r="J5" s="12">
        <f>Voltage!N5</f>
        <v>-22287</v>
      </c>
      <c r="K5" s="82">
        <f t="shared" si="0"/>
        <v>6.8014530545999996</v>
      </c>
      <c r="L5" s="79">
        <f t="shared" si="30"/>
        <v>2.0489545999993197E-3</v>
      </c>
      <c r="M5" s="127">
        <f t="shared" si="1"/>
        <v>3.0134326036002475E-4</v>
      </c>
      <c r="N5" s="12">
        <f>Voltage!O5</f>
        <v>-8879</v>
      </c>
      <c r="O5" s="82">
        <f t="shared" si="2"/>
        <v>-6.7822845271999999</v>
      </c>
      <c r="P5" s="106">
        <f t="shared" si="31"/>
        <v>13.5816886272</v>
      </c>
      <c r="Q5" s="127">
        <f t="shared" si="32"/>
        <v>1.9974821951235402</v>
      </c>
      <c r="R5" s="13">
        <f>'Range 0'!L5*1000</f>
        <v>662.07583</v>
      </c>
      <c r="S5" s="13">
        <f>'Range 0'!M5</f>
        <v>-22050</v>
      </c>
      <c r="T5" s="85">
        <f t="shared" si="33"/>
        <v>679.02385368314833</v>
      </c>
      <c r="U5" s="85">
        <f t="shared" si="3"/>
        <v>16.948023683148335</v>
      </c>
      <c r="V5" s="132">
        <f t="shared" si="4"/>
        <v>1.6948023683148336E-2</v>
      </c>
      <c r="W5" s="132">
        <f t="shared" si="5"/>
        <v>1.8393931759975658E-2</v>
      </c>
      <c r="X5" s="14">
        <f>'Range 1'!L5*1000</f>
        <v>41.775135999999996</v>
      </c>
      <c r="Y5" s="14">
        <f>'Range 1'!M5</f>
        <v>-22045</v>
      </c>
      <c r="Z5" s="94">
        <f t="shared" si="6"/>
        <v>67.886988002018157</v>
      </c>
      <c r="AA5" s="101">
        <f t="shared" si="7"/>
        <v>26.111852002018161</v>
      </c>
      <c r="AB5" s="136">
        <f t="shared" si="8"/>
        <v>0.2611185200201816</v>
      </c>
      <c r="AC5" s="136">
        <f t="shared" si="9"/>
        <v>0.26271840175997563</v>
      </c>
      <c r="AD5" s="13">
        <f>'Range 2'!L5*1000</f>
        <v>6.7392342999999997</v>
      </c>
      <c r="AE5" s="13">
        <f>'Range 2'!M5</f>
        <v>-22045</v>
      </c>
      <c r="AF5" s="77">
        <f t="shared" si="10"/>
        <v>6.788698800201816</v>
      </c>
      <c r="AG5" s="85">
        <f t="shared" si="11"/>
        <v>4.9464500201816364E-2</v>
      </c>
      <c r="AH5" s="139">
        <f t="shared" si="12"/>
        <v>4.9464500201816365E-3</v>
      </c>
      <c r="AI5" s="139">
        <f t="shared" si="13"/>
        <v>6.5463317599756543E-3</v>
      </c>
      <c r="AJ5" s="14">
        <f>'Range 3'!L5*1000</f>
        <v>0.67389999999999994</v>
      </c>
      <c r="AK5" s="14">
        <f>'Range 3'!M5</f>
        <v>-22046</v>
      </c>
      <c r="AL5" s="94">
        <f t="shared" si="14"/>
        <v>0.67890067475277494</v>
      </c>
      <c r="AM5" s="101">
        <f t="shared" si="15"/>
        <v>5.0006747527749917E-3</v>
      </c>
      <c r="AN5" s="136">
        <f t="shared" si="16"/>
        <v>5.0006747527749917E-3</v>
      </c>
      <c r="AO5" s="136">
        <f t="shared" si="17"/>
        <v>6.5697617599757008E-3</v>
      </c>
      <c r="AP5" s="13">
        <f>'Range 4'!L5*1000</f>
        <v>6.7379999999999995E-2</v>
      </c>
      <c r="AQ5" s="13">
        <f>'Range 4'!M5</f>
        <v>-22045</v>
      </c>
      <c r="AR5" s="77">
        <f t="shared" si="18"/>
        <v>6.7886988002018173E-2</v>
      </c>
      <c r="AS5" s="85">
        <f t="shared" si="19"/>
        <v>5.0698800201817718E-4</v>
      </c>
      <c r="AT5" s="113">
        <f t="shared" si="34"/>
        <v>5.0698800201817718E-3</v>
      </c>
      <c r="AU5" s="113">
        <f t="shared" si="20"/>
        <v>6.669761759975773E-3</v>
      </c>
      <c r="AV5" s="14">
        <f>'Range 5'!L5*1000</f>
        <v>6.7410000000000005E-3</v>
      </c>
      <c r="AW5" s="14">
        <f>'Range 5'!M5</f>
        <v>-22046</v>
      </c>
      <c r="AX5" s="94">
        <f t="shared" si="21"/>
        <v>6.7478834854477615E-3</v>
      </c>
      <c r="AY5" s="101">
        <f t="shared" si="22"/>
        <v>6.8834854477610452E-6</v>
      </c>
      <c r="AZ5" s="109">
        <f t="shared" si="35"/>
        <v>6.8834854477610452E-6</v>
      </c>
      <c r="BA5" s="109">
        <f t="shared" si="23"/>
        <v>6.3697617599755771E-3</v>
      </c>
      <c r="BB5" s="13">
        <f>'Range 6'!L5*1000</f>
        <v>6.7439999999999991E-4</v>
      </c>
      <c r="BC5" s="13">
        <f>'Range 6'!M5</f>
        <v>-22045</v>
      </c>
      <c r="BD5" s="77">
        <f t="shared" si="24"/>
        <v>6.7361940410408264E-4</v>
      </c>
      <c r="BE5" s="85">
        <f t="shared" si="25"/>
        <v>7.8059589591727551E-7</v>
      </c>
      <c r="BF5" s="113">
        <f t="shared" si="36"/>
        <v>7.8059589591727551E-7</v>
      </c>
      <c r="BG5" s="113">
        <f t="shared" si="26"/>
        <v>6.0697617599756674E-3</v>
      </c>
      <c r="BH5" s="14">
        <f>'Range 7'!L5*1000</f>
        <v>6.6419999999999991E-5</v>
      </c>
      <c r="BI5" s="14">
        <f>'Range 7'!M5</f>
        <v>-22045</v>
      </c>
      <c r="BJ5" s="94">
        <f t="shared" si="27"/>
        <v>6.7287046288127433E-5</v>
      </c>
      <c r="BK5" s="101">
        <f t="shared" si="28"/>
        <v>8.6704628812744172E-7</v>
      </c>
      <c r="BL5" s="109">
        <f t="shared" si="37"/>
        <v>8.6704628812744172E-7</v>
      </c>
      <c r="BM5" s="109">
        <f t="shared" si="29"/>
        <v>1.626976175997567E-2</v>
      </c>
    </row>
    <row r="6" spans="1:65" x14ac:dyDescent="0.3">
      <c r="A6" s="11">
        <v>5</v>
      </c>
      <c r="B6" s="11">
        <v>-3000</v>
      </c>
      <c r="C6" s="11">
        <v>-16200</v>
      </c>
      <c r="D6" s="11">
        <f>IF(Connect!G$1=Internal!A$2,Data!B6,Data!C6)</f>
        <v>-16200</v>
      </c>
      <c r="E6" s="58">
        <v>-16200</v>
      </c>
      <c r="F6" s="12">
        <f>Voltage!L6</f>
        <v>5.8220755000000004</v>
      </c>
      <c r="G6" s="124">
        <f t="shared" si="38"/>
        <v>68.84858598858213</v>
      </c>
      <c r="H6" s="12">
        <f>Voltage!M6</f>
        <v>-15884</v>
      </c>
      <c r="J6" s="12">
        <f>Voltage!N6</f>
        <v>-19086</v>
      </c>
      <c r="K6" s="82">
        <f t="shared" si="0"/>
        <v>5.8245853187999996</v>
      </c>
      <c r="L6" s="79">
        <f t="shared" si="30"/>
        <v>2.5098187999992305E-3</v>
      </c>
      <c r="M6" s="127">
        <f t="shared" si="1"/>
        <v>4.31086611638621E-4</v>
      </c>
      <c r="N6" s="12">
        <f>Voltage!O6</f>
        <v>-7603</v>
      </c>
      <c r="O6" s="82">
        <f t="shared" si="2"/>
        <v>-5.8076032503999997</v>
      </c>
      <c r="P6" s="106">
        <f t="shared" si="31"/>
        <v>11.6296787504</v>
      </c>
      <c r="Q6" s="127">
        <f t="shared" si="32"/>
        <v>1.9975142456328503</v>
      </c>
      <c r="R6" s="13">
        <f>'Range 0'!L6*1000</f>
        <v>567.07110999999998</v>
      </c>
      <c r="S6" s="13">
        <f>'Range 0'!M6</f>
        <v>-18886</v>
      </c>
      <c r="T6" s="85">
        <f t="shared" si="33"/>
        <v>581.58931975782036</v>
      </c>
      <c r="U6" s="85">
        <f t="shared" si="3"/>
        <v>14.518209757820387</v>
      </c>
      <c r="V6" s="132">
        <f t="shared" si="4"/>
        <v>1.4518209757820387E-2</v>
      </c>
      <c r="W6" s="132">
        <f t="shared" si="5"/>
        <v>1.618868579426487E-2</v>
      </c>
      <c r="X6" s="14">
        <f>'Range 1'!L6*1000</f>
        <v>35.780921999999997</v>
      </c>
      <c r="Y6" s="14">
        <f>'Range 1'!M6</f>
        <v>-18883</v>
      </c>
      <c r="Z6" s="94">
        <f t="shared" si="6"/>
        <v>58.149693556004038</v>
      </c>
      <c r="AA6" s="101">
        <f t="shared" si="7"/>
        <v>22.368771556004042</v>
      </c>
      <c r="AB6" s="136">
        <f t="shared" si="8"/>
        <v>0.22368771556004041</v>
      </c>
      <c r="AC6" s="136">
        <f t="shared" si="9"/>
        <v>0.22545057579426483</v>
      </c>
      <c r="AD6" s="13">
        <f>'Range 2'!L6*1000</f>
        <v>5.7720410000000006</v>
      </c>
      <c r="AE6" s="13">
        <f>'Range 2'!M6</f>
        <v>-18882</v>
      </c>
      <c r="AF6" s="77">
        <f t="shared" si="10"/>
        <v>5.8146614082744703</v>
      </c>
      <c r="AG6" s="85">
        <f t="shared" si="11"/>
        <v>4.2620408274469668E-2</v>
      </c>
      <c r="AH6" s="139">
        <f t="shared" si="12"/>
        <v>4.2620408274469668E-3</v>
      </c>
      <c r="AI6" s="139">
        <f t="shared" si="13"/>
        <v>6.0556957942647927E-3</v>
      </c>
      <c r="AJ6" s="14">
        <f>'Range 3'!L6*1000</f>
        <v>0.57720000000000005</v>
      </c>
      <c r="AK6" s="14">
        <f>'Range 3'!M6</f>
        <v>-18883</v>
      </c>
      <c r="AL6" s="94">
        <f t="shared" si="14"/>
        <v>0.58149693556004023</v>
      </c>
      <c r="AM6" s="101">
        <f t="shared" si="15"/>
        <v>4.2969355600401826E-3</v>
      </c>
      <c r="AN6" s="136">
        <f t="shared" si="16"/>
        <v>4.2969355600401826E-3</v>
      </c>
      <c r="AO6" s="136">
        <f t="shared" si="17"/>
        <v>6.059795794264744E-3</v>
      </c>
      <c r="AP6" s="13">
        <f>'Range 4'!L6*1000</f>
        <v>5.7710000000000004E-2</v>
      </c>
      <c r="AQ6" s="13">
        <f>'Range 4'!M6</f>
        <v>-18882</v>
      </c>
      <c r="AR6" s="77">
        <f t="shared" si="18"/>
        <v>5.8146614082744692E-2</v>
      </c>
      <c r="AS6" s="85">
        <f t="shared" si="19"/>
        <v>4.3661408274468794E-4</v>
      </c>
      <c r="AT6" s="113">
        <f t="shared" si="34"/>
        <v>4.3661408274468794E-3</v>
      </c>
      <c r="AU6" s="113">
        <f t="shared" si="20"/>
        <v>6.1597957942648163E-3</v>
      </c>
      <c r="AV6" s="14">
        <f>'Range 5'!L6*1000</f>
        <v>5.7790000000000003E-3</v>
      </c>
      <c r="AW6" s="14">
        <f>'Range 5'!M6</f>
        <v>-18883</v>
      </c>
      <c r="AX6" s="94">
        <f t="shared" si="21"/>
        <v>5.7796578345887147E-3</v>
      </c>
      <c r="AY6" s="101">
        <f t="shared" si="22"/>
        <v>6.5783458871437189E-7</v>
      </c>
      <c r="AZ6" s="109">
        <f t="shared" si="35"/>
        <v>6.5783458871437189E-7</v>
      </c>
      <c r="BA6" s="109">
        <f t="shared" si="23"/>
        <v>5.3597957942647795E-3</v>
      </c>
      <c r="BB6" s="13">
        <f>'Range 6'!L6*1000</f>
        <v>5.7429999999999992E-4</v>
      </c>
      <c r="BC6" s="13">
        <f>'Range 6'!M6</f>
        <v>-18882</v>
      </c>
      <c r="BD6" s="77">
        <f t="shared" si="24"/>
        <v>5.7696523437930408E-4</v>
      </c>
      <c r="BE6" s="85">
        <f t="shared" si="25"/>
        <v>2.6652343793041617E-6</v>
      </c>
      <c r="BF6" s="113">
        <f t="shared" si="36"/>
        <v>2.6652343793041617E-6</v>
      </c>
      <c r="BG6" s="113">
        <f t="shared" si="26"/>
        <v>8.9597957942649104E-3</v>
      </c>
      <c r="BH6" s="14">
        <f>'Range 7'!L6*1000</f>
        <v>5.8770000000000001E-5</v>
      </c>
      <c r="BI6" s="14">
        <f>'Range 7'!M6</f>
        <v>-18883</v>
      </c>
      <c r="BJ6" s="94">
        <f t="shared" si="27"/>
        <v>5.7665056931457484E-5</v>
      </c>
      <c r="BK6" s="101">
        <f t="shared" si="28"/>
        <v>1.1049430685425171E-6</v>
      </c>
      <c r="BL6" s="109">
        <f t="shared" si="37"/>
        <v>1.1049430685425171E-6</v>
      </c>
      <c r="BM6" s="109">
        <f t="shared" si="29"/>
        <v>4.4402042057352115E-3</v>
      </c>
    </row>
    <row r="7" spans="1:65" x14ac:dyDescent="0.3">
      <c r="A7" s="11">
        <v>6</v>
      </c>
      <c r="B7" s="11">
        <v>-2500</v>
      </c>
      <c r="C7" s="11">
        <v>-13500</v>
      </c>
      <c r="D7" s="11">
        <f>IF(Connect!G$1=Internal!A$2,Data!B7,Data!C7)</f>
        <v>-13500</v>
      </c>
      <c r="E7" s="58">
        <v>-13500</v>
      </c>
      <c r="F7" s="12">
        <f>Voltage!L7</f>
        <v>4.8448194999999998</v>
      </c>
      <c r="G7" s="124">
        <f t="shared" si="38"/>
        <v>64.283904990485752</v>
      </c>
      <c r="H7" s="12">
        <f>Voltage!M7</f>
        <v>-13218</v>
      </c>
      <c r="J7" s="12">
        <f>Voltage!N7</f>
        <v>-15887</v>
      </c>
      <c r="K7" s="82">
        <f t="shared" si="0"/>
        <v>4.8483279345999994</v>
      </c>
      <c r="L7" s="79">
        <f t="shared" si="30"/>
        <v>3.5084345999996103E-3</v>
      </c>
      <c r="M7" s="127">
        <f t="shared" si="1"/>
        <v>7.2416208694660561E-4</v>
      </c>
      <c r="N7" s="12">
        <f>Voltage!O7</f>
        <v>-6327</v>
      </c>
      <c r="O7" s="82">
        <f t="shared" si="2"/>
        <v>-4.8329219735999995</v>
      </c>
      <c r="P7" s="106">
        <f t="shared" si="31"/>
        <v>9.6777414735999994</v>
      </c>
      <c r="Q7" s="127">
        <f t="shared" si="32"/>
        <v>1.9975442787084223</v>
      </c>
      <c r="R7" s="13">
        <f>'Range 0'!L7*1000</f>
        <v>472.06937999999997</v>
      </c>
      <c r="S7" s="13">
        <f>'Range 0'!M7</f>
        <v>-15723</v>
      </c>
      <c r="T7" s="85">
        <f t="shared" si="33"/>
        <v>484.18558056508579</v>
      </c>
      <c r="U7" s="85">
        <f t="shared" si="3"/>
        <v>12.116200565085819</v>
      </c>
      <c r="V7" s="132">
        <f t="shared" si="4"/>
        <v>1.2116200565085819E-2</v>
      </c>
      <c r="W7" s="132">
        <f t="shared" si="5"/>
        <v>1.3980449828554014E-2</v>
      </c>
      <c r="X7" s="14">
        <f>'Range 1'!L7*1000</f>
        <v>29.786325999999999</v>
      </c>
      <c r="Y7" s="14">
        <f>'Range 1'!M7</f>
        <v>-15719</v>
      </c>
      <c r="Z7" s="94">
        <f t="shared" si="6"/>
        <v>48.406240163471239</v>
      </c>
      <c r="AA7" s="101">
        <f t="shared" si="7"/>
        <v>18.61991416347124</v>
      </c>
      <c r="AB7" s="136">
        <f t="shared" si="8"/>
        <v>0.18619914163471241</v>
      </c>
      <c r="AC7" s="136">
        <f t="shared" si="9"/>
        <v>0.18818656982855406</v>
      </c>
      <c r="AD7" s="13">
        <f>'Range 2'!L7*1000</f>
        <v>4.8048016999999996</v>
      </c>
      <c r="AE7" s="13">
        <f>'Range 2'!M7</f>
        <v>-15719</v>
      </c>
      <c r="AF7" s="77">
        <f t="shared" si="10"/>
        <v>4.8406240163471237</v>
      </c>
      <c r="AG7" s="85">
        <f t="shared" si="11"/>
        <v>3.5822316347124072E-2</v>
      </c>
      <c r="AH7" s="139">
        <f t="shared" si="12"/>
        <v>3.5822316347124072E-3</v>
      </c>
      <c r="AI7" s="139">
        <f t="shared" si="13"/>
        <v>5.5696598285540407E-3</v>
      </c>
      <c r="AJ7" s="14">
        <f>'Range 3'!L7*1000</f>
        <v>0.48040000000000005</v>
      </c>
      <c r="AK7" s="14">
        <f>'Range 3'!M7</f>
        <v>-15720</v>
      </c>
      <c r="AL7" s="94">
        <f t="shared" si="14"/>
        <v>0.48409319636730569</v>
      </c>
      <c r="AM7" s="101">
        <f t="shared" si="15"/>
        <v>3.69319636730564E-3</v>
      </c>
      <c r="AN7" s="136">
        <f t="shared" si="16"/>
        <v>3.69319636730564E-3</v>
      </c>
      <c r="AO7" s="136">
        <f t="shared" si="17"/>
        <v>5.6498298285539428E-3</v>
      </c>
      <c r="AP7" s="13">
        <f>'Range 4'!L7*1000</f>
        <v>4.8039999999999999E-2</v>
      </c>
      <c r="AQ7" s="13">
        <f>'Range 4'!M7</f>
        <v>-15719</v>
      </c>
      <c r="AR7" s="77">
        <f t="shared" si="18"/>
        <v>4.840624016347124E-2</v>
      </c>
      <c r="AS7" s="85">
        <f t="shared" si="19"/>
        <v>3.6624016347124033E-4</v>
      </c>
      <c r="AT7" s="113">
        <f t="shared" si="34"/>
        <v>3.6624016347124033E-3</v>
      </c>
      <c r="AU7" s="113">
        <f t="shared" si="20"/>
        <v>5.6498298285540677E-3</v>
      </c>
      <c r="AV7" s="14">
        <f>'Range 5'!L7*1000</f>
        <v>4.8080000000000006E-3</v>
      </c>
      <c r="AW7" s="14">
        <f>'Range 5'!M7</f>
        <v>-15720</v>
      </c>
      <c r="AX7" s="94">
        <f t="shared" si="21"/>
        <v>4.8114321837296687E-3</v>
      </c>
      <c r="AY7" s="101">
        <f t="shared" si="22"/>
        <v>3.4321837296680258E-6</v>
      </c>
      <c r="AZ7" s="109">
        <f t="shared" si="35"/>
        <v>3.4321837296680258E-6</v>
      </c>
      <c r="BA7" s="109">
        <f t="shared" si="23"/>
        <v>5.2498298285539279E-3</v>
      </c>
      <c r="BB7" s="13">
        <f>'Range 6'!L7*1000</f>
        <v>4.75E-4</v>
      </c>
      <c r="BC7" s="13">
        <f>'Range 6'!M7</f>
        <v>-15720</v>
      </c>
      <c r="BD7" s="77">
        <f t="shared" si="24"/>
        <v>4.8034162240657258E-4</v>
      </c>
      <c r="BE7" s="85">
        <f t="shared" si="25"/>
        <v>5.3416224065725858E-6</v>
      </c>
      <c r="BF7" s="113">
        <f t="shared" si="36"/>
        <v>5.3416224065725858E-6</v>
      </c>
      <c r="BG7" s="113">
        <f t="shared" si="26"/>
        <v>1.1049829828554025E-2</v>
      </c>
      <c r="BH7" s="14">
        <f>'Range 7'!L7*1000</f>
        <v>4.6369999999999998E-5</v>
      </c>
      <c r="BI7" s="14">
        <f>'Range 7'!M7</f>
        <v>-15720</v>
      </c>
      <c r="BJ7" s="94">
        <f t="shared" si="27"/>
        <v>4.8040024567400862E-5</v>
      </c>
      <c r="BK7" s="101">
        <f t="shared" si="28"/>
        <v>1.6700245674008642E-6</v>
      </c>
      <c r="BL7" s="109">
        <f t="shared" si="37"/>
        <v>1.6700245674008642E-6</v>
      </c>
      <c r="BM7" s="109">
        <f t="shared" si="29"/>
        <v>2.2349829828554043E-2</v>
      </c>
    </row>
    <row r="8" spans="1:65" x14ac:dyDescent="0.3">
      <c r="A8" s="11">
        <v>7</v>
      </c>
      <c r="B8" s="11">
        <v>-2000</v>
      </c>
      <c r="C8" s="11">
        <v>-10800</v>
      </c>
      <c r="D8" s="11">
        <f>IF(Connect!G$1=Internal!A$2,Data!B8,Data!C8)</f>
        <v>-10800</v>
      </c>
      <c r="E8" s="58">
        <v>-10800</v>
      </c>
      <c r="F8" s="12">
        <f>Voltage!L8</f>
        <v>3.8669661</v>
      </c>
      <c r="G8" s="124">
        <f t="shared" si="38"/>
        <v>60.316623992388685</v>
      </c>
      <c r="H8" s="12">
        <f>Voltage!M8</f>
        <v>-10550</v>
      </c>
      <c r="J8" s="12">
        <f>Voltage!N8</f>
        <v>-12684</v>
      </c>
      <c r="K8" s="82">
        <f t="shared" si="0"/>
        <v>3.8708498471999997</v>
      </c>
      <c r="L8" s="79">
        <f t="shared" si="30"/>
        <v>3.8837471999997319E-3</v>
      </c>
      <c r="M8" s="127">
        <f t="shared" si="1"/>
        <v>1.0043396035976969E-3</v>
      </c>
      <c r="N8" s="12">
        <f>Voltage!O8</f>
        <v>-5050</v>
      </c>
      <c r="O8" s="82">
        <f t="shared" si="2"/>
        <v>-3.8574768399999999</v>
      </c>
      <c r="P8" s="106">
        <f t="shared" si="31"/>
        <v>7.7244429399999994</v>
      </c>
      <c r="Q8" s="127">
        <f t="shared" si="32"/>
        <v>1.9975460710658932</v>
      </c>
      <c r="R8" s="13">
        <f>'Range 0'!L8*1000</f>
        <v>377.00076000000001</v>
      </c>
      <c r="S8" s="13">
        <f>'Range 0'!M8</f>
        <v>-12557</v>
      </c>
      <c r="T8" s="85">
        <f t="shared" si="33"/>
        <v>386.68945717457115</v>
      </c>
      <c r="U8" s="85">
        <f t="shared" si="3"/>
        <v>9.6886971745711321</v>
      </c>
      <c r="V8" s="132">
        <f t="shared" si="4"/>
        <v>9.6886971745711314E-3</v>
      </c>
      <c r="W8" s="132">
        <f t="shared" si="5"/>
        <v>1.183910386284316E-2</v>
      </c>
      <c r="X8" s="14">
        <f>'Range 1'!L8*1000</f>
        <v>23.787620999999998</v>
      </c>
      <c r="Y8" s="14">
        <f>'Range 1'!M8</f>
        <v>-12554</v>
      </c>
      <c r="Z8" s="94">
        <f t="shared" si="6"/>
        <v>38.659707297679113</v>
      </c>
      <c r="AA8" s="101">
        <f t="shared" si="7"/>
        <v>14.872086297679115</v>
      </c>
      <c r="AB8" s="136">
        <f t="shared" si="8"/>
        <v>0.14872086297679116</v>
      </c>
      <c r="AC8" s="136">
        <f t="shared" si="9"/>
        <v>0.15096365386284322</v>
      </c>
      <c r="AD8" s="13">
        <f>'Range 2'!L8*1000</f>
        <v>3.8370045999999998</v>
      </c>
      <c r="AE8" s="13">
        <f>'Range 2'!M8</f>
        <v>-12554</v>
      </c>
      <c r="AF8" s="77">
        <f t="shared" si="10"/>
        <v>3.8659707297679109</v>
      </c>
      <c r="AG8" s="85">
        <f t="shared" si="11"/>
        <v>2.8966129767911131E-2</v>
      </c>
      <c r="AH8" s="139">
        <f t="shared" si="12"/>
        <v>2.8966129767911131E-3</v>
      </c>
      <c r="AI8" s="139">
        <f t="shared" si="13"/>
        <v>5.1394038628432611E-3</v>
      </c>
      <c r="AJ8" s="14">
        <f>'Range 3'!L8*1000</f>
        <v>0.3836</v>
      </c>
      <c r="AK8" s="14">
        <f>'Range 3'!M8</f>
        <v>-12555</v>
      </c>
      <c r="AL8" s="94">
        <f t="shared" si="14"/>
        <v>0.3866278677093844</v>
      </c>
      <c r="AM8" s="101">
        <f t="shared" si="15"/>
        <v>3.027867709384402E-3</v>
      </c>
      <c r="AN8" s="136">
        <f t="shared" si="16"/>
        <v>3.027867709384402E-3</v>
      </c>
      <c r="AO8" s="136">
        <f t="shared" si="17"/>
        <v>5.2398638628431971E-3</v>
      </c>
      <c r="AP8" s="13">
        <f>'Range 4'!L8*1000</f>
        <v>3.8359999999999998E-2</v>
      </c>
      <c r="AQ8" s="13">
        <f>'Range 4'!M8</f>
        <v>-12554</v>
      </c>
      <c r="AR8" s="77">
        <f t="shared" si="18"/>
        <v>3.8659707297679112E-2</v>
      </c>
      <c r="AS8" s="85">
        <f t="shared" si="19"/>
        <v>2.9970729767911375E-4</v>
      </c>
      <c r="AT8" s="113">
        <f t="shared" si="34"/>
        <v>2.9970729767911375E-3</v>
      </c>
      <c r="AU8" s="113">
        <f t="shared" si="20"/>
        <v>5.2398638628432803E-3</v>
      </c>
      <c r="AV8" s="14">
        <f>'Range 5'!L8*1000</f>
        <v>3.836E-3</v>
      </c>
      <c r="AW8" s="14">
        <f>'Range 5'!M8</f>
        <v>-12555</v>
      </c>
      <c r="AX8" s="94">
        <f t="shared" si="21"/>
        <v>3.8425943130471259E-3</v>
      </c>
      <c r="AY8" s="101">
        <f t="shared" si="22"/>
        <v>6.5943130471259395E-6</v>
      </c>
      <c r="AZ8" s="109">
        <f t="shared" si="35"/>
        <v>6.5943130471259395E-6</v>
      </c>
      <c r="BA8" s="109">
        <f t="shared" si="23"/>
        <v>5.2398638628432196E-3</v>
      </c>
      <c r="BB8" s="13">
        <f>'Range 6'!L8*1000</f>
        <v>3.8309999999999999E-4</v>
      </c>
      <c r="BC8" s="13">
        <f>'Range 6'!M8</f>
        <v>-12555</v>
      </c>
      <c r="BD8" s="77">
        <f t="shared" si="24"/>
        <v>3.8362633717769991E-4</v>
      </c>
      <c r="BE8" s="85">
        <f t="shared" si="25"/>
        <v>5.2633717769991943E-7</v>
      </c>
      <c r="BF8" s="113">
        <f t="shared" si="36"/>
        <v>5.2633717769991943E-7</v>
      </c>
      <c r="BG8" s="113">
        <f t="shared" si="26"/>
        <v>5.7398638628432313E-3</v>
      </c>
      <c r="BH8" s="14">
        <f>'Range 7'!L8*1000</f>
        <v>3.8680000000000002E-5</v>
      </c>
      <c r="BI8" s="14">
        <f>'Range 7'!M8</f>
        <v>-12555</v>
      </c>
      <c r="BJ8" s="94">
        <f t="shared" si="27"/>
        <v>3.8408906188570887E-5</v>
      </c>
      <c r="BK8" s="101">
        <f t="shared" si="28"/>
        <v>2.7109381142911571E-7</v>
      </c>
      <c r="BL8" s="109">
        <f t="shared" si="37"/>
        <v>2.7109381142911571E-7</v>
      </c>
      <c r="BM8" s="109">
        <f t="shared" si="29"/>
        <v>2.0398638628432229E-3</v>
      </c>
    </row>
    <row r="9" spans="1:65" x14ac:dyDescent="0.3">
      <c r="A9" s="11">
        <v>8</v>
      </c>
      <c r="B9" s="11">
        <v>-1500</v>
      </c>
      <c r="C9" s="11">
        <v>-8100</v>
      </c>
      <c r="D9" s="11">
        <f>IF(Connect!G$1=Internal!A$2,Data!B9,Data!C9)</f>
        <v>-8100</v>
      </c>
      <c r="E9" s="58">
        <v>-8100</v>
      </c>
      <c r="F9" s="12">
        <f>Voltage!L9</f>
        <v>2.8894570000000002</v>
      </c>
      <c r="G9" s="124">
        <f t="shared" si="38"/>
        <v>56.005042994291102</v>
      </c>
      <c r="H9" s="12">
        <f>Voltage!M9</f>
        <v>-7883</v>
      </c>
      <c r="J9" s="12">
        <f>Voltage!N9</f>
        <v>-9483</v>
      </c>
      <c r="K9" s="82">
        <f t="shared" si="0"/>
        <v>2.8939821113999997</v>
      </c>
      <c r="L9" s="79">
        <f t="shared" si="30"/>
        <v>4.5251113999995596E-3</v>
      </c>
      <c r="M9" s="127">
        <f t="shared" si="1"/>
        <v>1.5660767403700971E-3</v>
      </c>
      <c r="N9" s="12">
        <f>Voltage!O9</f>
        <v>-3774</v>
      </c>
      <c r="O9" s="82">
        <f t="shared" si="2"/>
        <v>-2.8827955631999997</v>
      </c>
      <c r="P9" s="106">
        <f t="shared" si="31"/>
        <v>5.7722525632000004</v>
      </c>
      <c r="Q9" s="127">
        <f t="shared" si="32"/>
        <v>1.9976945714021701</v>
      </c>
      <c r="R9" s="13">
        <f>'Range 0'!L9*1000</f>
        <v>281.95143000000002</v>
      </c>
      <c r="S9" s="13">
        <f>'Range 0'!M9</f>
        <v>-9391</v>
      </c>
      <c r="T9" s="85">
        <f t="shared" si="33"/>
        <v>289.19333378405651</v>
      </c>
      <c r="U9" s="85">
        <f t="shared" si="3"/>
        <v>7.2419037840564897</v>
      </c>
      <c r="V9" s="132">
        <f t="shared" si="4"/>
        <v>7.2419037840564899E-3</v>
      </c>
      <c r="W9" s="132">
        <f t="shared" si="5"/>
        <v>9.6784678971324062E-3</v>
      </c>
      <c r="X9" s="14">
        <f>'Range 1'!L9*1000</f>
        <v>17.790084</v>
      </c>
      <c r="Y9" s="14">
        <f>'Range 1'!M9</f>
        <v>-9389</v>
      </c>
      <c r="Z9" s="94">
        <f t="shared" si="6"/>
        <v>28.913174431886983</v>
      </c>
      <c r="AA9" s="101">
        <f t="shared" si="7"/>
        <v>11.123090431886983</v>
      </c>
      <c r="AB9" s="136">
        <f t="shared" si="8"/>
        <v>0.11123090431886982</v>
      </c>
      <c r="AC9" s="136">
        <f t="shared" si="9"/>
        <v>0.1137290578971324</v>
      </c>
      <c r="AD9" s="13">
        <f>'Range 2'!L9*1000</f>
        <v>2.8695278000000002</v>
      </c>
      <c r="AE9" s="13">
        <f>'Range 2'!M9</f>
        <v>-9390</v>
      </c>
      <c r="AF9" s="77">
        <f t="shared" si="10"/>
        <v>2.8916253905146316</v>
      </c>
      <c r="AG9" s="85">
        <f t="shared" si="11"/>
        <v>2.2097590514631449E-2</v>
      </c>
      <c r="AH9" s="139">
        <f t="shared" si="12"/>
        <v>2.2097590514631449E-3</v>
      </c>
      <c r="AI9" s="139">
        <f t="shared" si="13"/>
        <v>4.6771178971324098E-3</v>
      </c>
      <c r="AJ9" s="14">
        <f>'Range 3'!L9*1000</f>
        <v>0.28689999999999999</v>
      </c>
      <c r="AK9" s="14">
        <f>'Range 3'!M9</f>
        <v>-9390</v>
      </c>
      <c r="AL9" s="94">
        <f t="shared" si="14"/>
        <v>0.28916253905146311</v>
      </c>
      <c r="AM9" s="101">
        <f t="shared" si="15"/>
        <v>2.2625390514631194E-3</v>
      </c>
      <c r="AN9" s="136">
        <f t="shared" si="16"/>
        <v>2.2625390514631194E-3</v>
      </c>
      <c r="AO9" s="136">
        <f t="shared" si="17"/>
        <v>4.7298978971324068E-3</v>
      </c>
      <c r="AP9" s="13">
        <f>'Range 4'!L9*1000</f>
        <v>2.8680000000000001E-2</v>
      </c>
      <c r="AQ9" s="13">
        <f>'Range 4'!M9</f>
        <v>-9390</v>
      </c>
      <c r="AR9" s="77">
        <f t="shared" si="18"/>
        <v>2.8916253905146318E-2</v>
      </c>
      <c r="AS9" s="85">
        <f t="shared" si="19"/>
        <v>2.3625390514631778E-4</v>
      </c>
      <c r="AT9" s="113">
        <f t="shared" si="34"/>
        <v>2.3625390514631778E-3</v>
      </c>
      <c r="AU9" s="113">
        <f t="shared" si="20"/>
        <v>4.8298978971324236E-3</v>
      </c>
      <c r="AV9" s="14">
        <f>'Range 5'!L9*1000</f>
        <v>2.8710000000000003E-3</v>
      </c>
      <c r="AW9" s="14">
        <f>'Range 5'!M9</f>
        <v>-9391</v>
      </c>
      <c r="AX9" s="94">
        <f t="shared" si="21"/>
        <v>2.8740625522763316E-3</v>
      </c>
      <c r="AY9" s="101">
        <f t="shared" si="22"/>
        <v>3.0625522763312943E-6</v>
      </c>
      <c r="AZ9" s="109">
        <f t="shared" si="35"/>
        <v>3.0625522763312943E-6</v>
      </c>
      <c r="BA9" s="109">
        <f t="shared" si="23"/>
        <v>4.5298978971323751E-3</v>
      </c>
      <c r="BB9" s="13">
        <f>'Range 6'!L9*1000</f>
        <v>2.8729999999999999E-4</v>
      </c>
      <c r="BC9" s="13">
        <f>'Range 6'!M9</f>
        <v>-9390</v>
      </c>
      <c r="BD9" s="77">
        <f t="shared" si="24"/>
        <v>2.8691105194882728E-4</v>
      </c>
      <c r="BE9" s="85">
        <f t="shared" si="25"/>
        <v>3.8894805117270633E-7</v>
      </c>
      <c r="BF9" s="113">
        <f t="shared" si="36"/>
        <v>3.8894805117270633E-7</v>
      </c>
      <c r="BG9" s="113">
        <f t="shared" si="26"/>
        <v>4.329897897132424E-3</v>
      </c>
      <c r="BH9" s="14">
        <f>'Range 7'!L9*1000</f>
        <v>2.9329999999999999E-5</v>
      </c>
      <c r="BI9" s="14">
        <f>'Range 7'!M9</f>
        <v>-9391</v>
      </c>
      <c r="BJ9" s="94">
        <f t="shared" si="27"/>
        <v>2.8780830817127591E-5</v>
      </c>
      <c r="BK9" s="101">
        <f t="shared" si="28"/>
        <v>5.491691828724075E-7</v>
      </c>
      <c r="BL9" s="109">
        <f t="shared" si="37"/>
        <v>5.491691828724075E-7</v>
      </c>
      <c r="BM9" s="109">
        <f t="shared" si="29"/>
        <v>1.6701021028675859E-3</v>
      </c>
    </row>
    <row r="10" spans="1:65" x14ac:dyDescent="0.3">
      <c r="A10" s="11">
        <v>9</v>
      </c>
      <c r="B10" s="11">
        <v>-1000</v>
      </c>
      <c r="C10" s="11">
        <v>-5400</v>
      </c>
      <c r="D10" s="11">
        <f>IF(Connect!G$1=Internal!A$2,Data!B10,Data!C10)</f>
        <v>-5400</v>
      </c>
      <c r="E10" s="58">
        <v>-5400</v>
      </c>
      <c r="F10" s="12">
        <f>Voltage!L10</f>
        <v>1.9126320999999999</v>
      </c>
      <c r="G10" s="124">
        <f t="shared" si="38"/>
        <v>51.009261996194375</v>
      </c>
      <c r="H10" s="12">
        <f>Voltage!M10</f>
        <v>-5218</v>
      </c>
      <c r="J10" s="12">
        <f>Voltage!N10</f>
        <v>-6284</v>
      </c>
      <c r="K10" s="82">
        <f t="shared" si="0"/>
        <v>1.9177247272</v>
      </c>
      <c r="L10" s="79">
        <f t="shared" si="30"/>
        <v>5.0926272000000328E-3</v>
      </c>
      <c r="M10" s="127">
        <f t="shared" si="1"/>
        <v>2.6626276951014433E-3</v>
      </c>
      <c r="N10" s="12">
        <f>Voltage!O10</f>
        <v>-2498</v>
      </c>
      <c r="O10" s="82">
        <f t="shared" si="2"/>
        <v>-1.9081142864</v>
      </c>
      <c r="P10" s="106">
        <f t="shared" si="31"/>
        <v>3.8207463863999997</v>
      </c>
      <c r="Q10" s="127">
        <f t="shared" si="32"/>
        <v>1.9976379076770696</v>
      </c>
      <c r="R10" s="13">
        <f>'Range 0'!L10*1000</f>
        <v>186.96462</v>
      </c>
      <c r="S10" s="13">
        <f>'Range 0'!M10</f>
        <v>-6229</v>
      </c>
      <c r="T10" s="85">
        <f t="shared" si="33"/>
        <v>191.82038932391524</v>
      </c>
      <c r="U10" s="85">
        <f t="shared" si="3"/>
        <v>4.85576932391524</v>
      </c>
      <c r="V10" s="132">
        <f t="shared" si="4"/>
        <v>4.8557693239152403E-3</v>
      </c>
      <c r="W10" s="132">
        <f t="shared" si="5"/>
        <v>7.455311931421591E-3</v>
      </c>
      <c r="X10" s="14">
        <f>'Range 1'!L10*1000</f>
        <v>11.796001</v>
      </c>
      <c r="Y10" s="14">
        <f>'Range 1'!M10</f>
        <v>-6227</v>
      </c>
      <c r="Z10" s="94">
        <f t="shared" si="6"/>
        <v>19.175879985872854</v>
      </c>
      <c r="AA10" s="101">
        <f t="shared" si="7"/>
        <v>7.3798789858728533</v>
      </c>
      <c r="AB10" s="136">
        <f t="shared" si="8"/>
        <v>7.3798789858728536E-2</v>
      </c>
      <c r="AC10" s="136">
        <f t="shared" si="9"/>
        <v>7.6459921931421593E-2</v>
      </c>
      <c r="AD10" s="13">
        <f>'Range 2'!L10*1000</f>
        <v>1.9027417</v>
      </c>
      <c r="AE10" s="13">
        <f>'Range 2'!M10</f>
        <v>-6228</v>
      </c>
      <c r="AF10" s="77">
        <f t="shared" si="10"/>
        <v>1.917895945913219</v>
      </c>
      <c r="AG10" s="85">
        <f t="shared" si="11"/>
        <v>1.5154245913219011E-2</v>
      </c>
      <c r="AH10" s="139">
        <f t="shared" si="12"/>
        <v>1.5154245913219012E-3</v>
      </c>
      <c r="AI10" s="139">
        <f t="shared" si="13"/>
        <v>4.1457619314216208E-3</v>
      </c>
      <c r="AJ10" s="14">
        <f>'Range 3'!L10*1000</f>
        <v>0.19019999999999998</v>
      </c>
      <c r="AK10" s="14">
        <f>'Range 3'!M10</f>
        <v>-6228</v>
      </c>
      <c r="AL10" s="94">
        <f t="shared" si="14"/>
        <v>0.19178959459132189</v>
      </c>
      <c r="AM10" s="101">
        <f t="shared" si="15"/>
        <v>1.5895945913219078E-3</v>
      </c>
      <c r="AN10" s="136">
        <f t="shared" si="16"/>
        <v>1.5895945913219078E-3</v>
      </c>
      <c r="AO10" s="136">
        <f t="shared" si="17"/>
        <v>4.2199319314216166E-3</v>
      </c>
      <c r="AP10" s="13">
        <f>'Range 4'!L10*1000</f>
        <v>1.9009999999999999E-2</v>
      </c>
      <c r="AQ10" s="13">
        <f>'Range 4'!M10</f>
        <v>-6228</v>
      </c>
      <c r="AR10" s="77">
        <f t="shared" si="18"/>
        <v>1.9178959459132189E-2</v>
      </c>
      <c r="AS10" s="85">
        <f t="shared" si="19"/>
        <v>1.6895945913219038E-4</v>
      </c>
      <c r="AT10" s="113">
        <f t="shared" si="34"/>
        <v>1.6895945913219038E-3</v>
      </c>
      <c r="AU10" s="113">
        <f t="shared" si="20"/>
        <v>4.3199319314216403E-3</v>
      </c>
      <c r="AV10" s="14">
        <f>'Range 5'!L10*1000</f>
        <v>1.9039999999999999E-3</v>
      </c>
      <c r="AW10" s="14">
        <f>'Range 5'!M10</f>
        <v>-6229</v>
      </c>
      <c r="AX10" s="94">
        <f t="shared" si="21"/>
        <v>1.9061430113290333E-3</v>
      </c>
      <c r="AY10" s="101">
        <f t="shared" si="22"/>
        <v>2.1430113290334379E-6</v>
      </c>
      <c r="AZ10" s="109">
        <f t="shared" si="35"/>
        <v>2.1430113290334379E-6</v>
      </c>
      <c r="BA10" s="109">
        <f t="shared" si="23"/>
        <v>4.0199319314216221E-3</v>
      </c>
      <c r="BB10" s="13">
        <f>'Range 6'!L10*1000</f>
        <v>1.9079999999999998E-4</v>
      </c>
      <c r="BC10" s="13">
        <f>'Range 6'!M10</f>
        <v>-6228</v>
      </c>
      <c r="BD10" s="77">
        <f t="shared" si="24"/>
        <v>1.9028743997609568E-4</v>
      </c>
      <c r="BE10" s="85">
        <f t="shared" si="25"/>
        <v>5.1256002390429609E-7</v>
      </c>
      <c r="BF10" s="113">
        <f t="shared" si="36"/>
        <v>5.1256002390429609E-7</v>
      </c>
      <c r="BG10" s="113">
        <f t="shared" si="26"/>
        <v>3.6199319314216341E-3</v>
      </c>
      <c r="BH10" s="14">
        <f>'Range 7'!L10*1000</f>
        <v>1.8069999999999998E-5</v>
      </c>
      <c r="BI10" s="14">
        <f>'Range 7'!M10</f>
        <v>-6228</v>
      </c>
      <c r="BJ10" s="94">
        <f t="shared" si="27"/>
        <v>1.9155798453070969E-5</v>
      </c>
      <c r="BK10" s="101">
        <f t="shared" si="28"/>
        <v>1.0857984530709712E-6</v>
      </c>
      <c r="BL10" s="109">
        <f t="shared" si="37"/>
        <v>1.0857984530709712E-6</v>
      </c>
      <c r="BM10" s="109">
        <f t="shared" si="29"/>
        <v>1.3719931931421642E-2</v>
      </c>
    </row>
    <row r="11" spans="1:65" x14ac:dyDescent="0.3">
      <c r="A11" s="11">
        <v>10</v>
      </c>
      <c r="B11" s="11">
        <v>-500</v>
      </c>
      <c r="C11" s="11">
        <v>-2700</v>
      </c>
      <c r="D11" s="11">
        <f>IF(Connect!G$1=Internal!A$2,Data!B11,Data!C11)</f>
        <v>-2700</v>
      </c>
      <c r="E11" s="58">
        <v>-2700</v>
      </c>
      <c r="F11" s="12">
        <f>Voltage!L11</f>
        <v>0.93523199000000001</v>
      </c>
      <c r="G11" s="124">
        <f t="shared" si="38"/>
        <v>46.58869099809715</v>
      </c>
      <c r="H11" s="12">
        <f>Voltage!M11</f>
        <v>-2552</v>
      </c>
      <c r="J11" s="12">
        <f>Voltage!N11</f>
        <v>-3082</v>
      </c>
      <c r="K11" s="82">
        <f t="shared" si="0"/>
        <v>0.9405518155999999</v>
      </c>
      <c r="L11" s="79">
        <f t="shared" si="30"/>
        <v>5.3198255999998834E-3</v>
      </c>
      <c r="M11" s="127">
        <f t="shared" si="1"/>
        <v>5.6882416949829567E-3</v>
      </c>
      <c r="N11" s="12">
        <f>Voltage!O11</f>
        <v>-1222</v>
      </c>
      <c r="O11" s="82">
        <f t="shared" si="2"/>
        <v>-0.93343300959999997</v>
      </c>
      <c r="P11" s="106">
        <f t="shared" si="31"/>
        <v>1.8686649996</v>
      </c>
      <c r="Q11" s="127">
        <f t="shared" si="32"/>
        <v>1.9980764340620982</v>
      </c>
      <c r="R11" s="13">
        <f>'Range 0'!L11*1000</f>
        <v>91.715512000000004</v>
      </c>
      <c r="S11" s="13">
        <f>'Range 0'!M11</f>
        <v>-3063</v>
      </c>
      <c r="T11" s="85">
        <f t="shared" si="33"/>
        <v>94.324265933400596</v>
      </c>
      <c r="U11" s="85">
        <f t="shared" si="3"/>
        <v>2.6087539334005925</v>
      </c>
      <c r="V11" s="132">
        <f t="shared" si="4"/>
        <v>2.6087539334005926E-3</v>
      </c>
      <c r="W11" s="133">
        <f t="shared" si="5"/>
        <v>5.4944539657107898E-3</v>
      </c>
      <c r="X11" s="14">
        <f>'Range 1'!L11*1000</f>
        <v>5.7979229999999999</v>
      </c>
      <c r="Y11" s="14">
        <f>'Range 1'!M11</f>
        <v>-3063</v>
      </c>
      <c r="Z11" s="94">
        <f t="shared" si="6"/>
        <v>9.4324265933400611</v>
      </c>
      <c r="AA11" s="101">
        <f t="shared" si="7"/>
        <v>3.6345035933400611</v>
      </c>
      <c r="AB11" s="136">
        <f t="shared" si="8"/>
        <v>3.6345035933400612E-2</v>
      </c>
      <c r="AC11" s="136">
        <f t="shared" si="9"/>
        <v>3.9230735965710799E-2</v>
      </c>
      <c r="AD11" s="13">
        <f>'Range 2'!L11*1000</f>
        <v>0.93533660000000007</v>
      </c>
      <c r="AE11" s="13">
        <f>'Range 2'!M11</f>
        <v>-3063</v>
      </c>
      <c r="AF11" s="77">
        <f t="shared" si="10"/>
        <v>0.94324265933400597</v>
      </c>
      <c r="AG11" s="85">
        <f t="shared" si="11"/>
        <v>7.9060593340058993E-3</v>
      </c>
      <c r="AH11" s="139">
        <f t="shared" si="12"/>
        <v>7.9060593340058989E-4</v>
      </c>
      <c r="AI11" s="139">
        <f t="shared" si="13"/>
        <v>3.6763059657108021E-3</v>
      </c>
      <c r="AJ11" s="14">
        <f>'Range 3'!L11*1000</f>
        <v>9.3439999999999995E-2</v>
      </c>
      <c r="AK11" s="14">
        <f>'Range 3'!M11</f>
        <v>-3063</v>
      </c>
      <c r="AL11" s="94">
        <f t="shared" si="14"/>
        <v>9.4324265933400597E-2</v>
      </c>
      <c r="AM11" s="101">
        <f t="shared" si="15"/>
        <v>8.84265933400602E-4</v>
      </c>
      <c r="AN11" s="136">
        <f t="shared" si="16"/>
        <v>8.84265933400602E-4</v>
      </c>
      <c r="AO11" s="136">
        <f t="shared" si="17"/>
        <v>3.7699659657108031E-3</v>
      </c>
      <c r="AP11" s="13">
        <f>'Range 4'!L11*1000</f>
        <v>9.3449999999999991E-3</v>
      </c>
      <c r="AQ11" s="13">
        <f>'Range 4'!M11</f>
        <v>-3064</v>
      </c>
      <c r="AR11" s="77">
        <f t="shared" si="18"/>
        <v>9.4355060665993942E-3</v>
      </c>
      <c r="AS11" s="85">
        <f t="shared" si="19"/>
        <v>9.0506066599395016E-5</v>
      </c>
      <c r="AT11" s="113">
        <f t="shared" si="34"/>
        <v>9.0506066599395016E-4</v>
      </c>
      <c r="AU11" s="113">
        <f t="shared" si="20"/>
        <v>3.7599659657108243E-3</v>
      </c>
      <c r="AV11" s="14">
        <f>'Range 5'!L11*1000</f>
        <v>9.3639999999999999E-4</v>
      </c>
      <c r="AW11" s="14">
        <f>'Range 5'!M11</f>
        <v>-3065</v>
      </c>
      <c r="AX11" s="94">
        <f t="shared" si="21"/>
        <v>9.3761125055823874E-4</v>
      </c>
      <c r="AY11" s="101">
        <f t="shared" si="22"/>
        <v>1.2112505582387474E-6</v>
      </c>
      <c r="AZ11" s="109">
        <f t="shared" si="35"/>
        <v>1.2112505582387474E-6</v>
      </c>
      <c r="BA11" s="109">
        <f t="shared" si="23"/>
        <v>3.5699659657108056E-3</v>
      </c>
      <c r="BB11" s="13">
        <f>'Range 6'!L11*1000</f>
        <v>9.4679999999999995E-5</v>
      </c>
      <c r="BC11" s="13">
        <f>'Range 6'!M11</f>
        <v>-3063</v>
      </c>
      <c r="BD11" s="77">
        <f t="shared" si="24"/>
        <v>9.3572154747223002E-5</v>
      </c>
      <c r="BE11" s="85">
        <f t="shared" si="25"/>
        <v>1.1078452527769927E-6</v>
      </c>
      <c r="BF11" s="113">
        <f t="shared" si="36"/>
        <v>1.1078452527769927E-6</v>
      </c>
      <c r="BG11" s="113">
        <f t="shared" si="26"/>
        <v>2.5299659657108103E-3</v>
      </c>
      <c r="BH11" s="14">
        <f>'Range 7'!L11*1000</f>
        <v>9.3039999999999994E-6</v>
      </c>
      <c r="BI11" s="14">
        <f>'Range 7'!M11</f>
        <v>-3064</v>
      </c>
      <c r="BJ11" s="94">
        <f t="shared" si="27"/>
        <v>9.5277230816276671E-6</v>
      </c>
      <c r="BK11" s="101">
        <f t="shared" si="28"/>
        <v>2.2372308162766777E-7</v>
      </c>
      <c r="BL11" s="109">
        <f t="shared" si="37"/>
        <v>2.2372308162766777E-7</v>
      </c>
      <c r="BM11" s="109">
        <f t="shared" si="29"/>
        <v>4.169965965710818E-3</v>
      </c>
    </row>
    <row r="12" spans="1:65" s="21" customFormat="1" x14ac:dyDescent="0.3">
      <c r="A12" s="17">
        <v>11</v>
      </c>
      <c r="B12" s="17">
        <v>0</v>
      </c>
      <c r="C12" s="17">
        <v>0</v>
      </c>
      <c r="D12" s="17">
        <f>IF(Connect!G$1=Internal!A$2,Data!B12,Data!C12)</f>
        <v>0</v>
      </c>
      <c r="E12" s="59">
        <v>0</v>
      </c>
      <c r="F12" s="18">
        <f>Voltage!L12</f>
        <v>-4.1831782999999997E-2</v>
      </c>
      <c r="G12" s="125">
        <f>((E12-G$32)/G$26-F12)*1000</f>
        <v>41.831782999999994</v>
      </c>
      <c r="H12" s="18">
        <f>Voltage!M12</f>
        <v>113</v>
      </c>
      <c r="I12" s="18"/>
      <c r="J12" s="18">
        <f>Voltage!N12</f>
        <v>117</v>
      </c>
      <c r="K12" s="83">
        <f>K32+IF(J12&gt;0,J12*K29,J12*K26)</f>
        <v>-3.5705568599999994E-2</v>
      </c>
      <c r="L12" s="80">
        <f t="shared" si="30"/>
        <v>6.1262144000000032E-3</v>
      </c>
      <c r="M12" s="128">
        <f t="shared" si="1"/>
        <v>0.14644879946905451</v>
      </c>
      <c r="N12" s="18">
        <f>Voltage!O12</f>
        <v>53</v>
      </c>
      <c r="O12" s="83">
        <f>O32+IF(N12&gt;0,N12*O29,N12*O26)</f>
        <v>4.0484410399999997E-2</v>
      </c>
      <c r="P12" s="107">
        <f t="shared" si="31"/>
        <v>8.2316193399999987E-2</v>
      </c>
      <c r="Q12" s="128">
        <f t="shared" si="32"/>
        <v>1.9677906963707474</v>
      </c>
      <c r="R12" s="19">
        <f>'Range 0'!L12*1000</f>
        <v>-3.1028544</v>
      </c>
      <c r="S12" s="19">
        <f>'Range 0'!M12</f>
        <v>100</v>
      </c>
      <c r="T12" s="86">
        <f t="shared" si="33"/>
        <v>-3.079473259334006</v>
      </c>
      <c r="U12" s="86">
        <f t="shared" si="3"/>
        <v>2.338114066599406E-2</v>
      </c>
      <c r="V12" s="134">
        <f t="shared" si="4"/>
        <v>2.3381140665994059E-5</v>
      </c>
      <c r="W12" s="133">
        <f t="shared" si="5"/>
        <v>3.1028544000000001E-3</v>
      </c>
      <c r="X12" s="20">
        <f>'Range 1'!L12*1000</f>
        <v>-0.19868770000000002</v>
      </c>
      <c r="Y12" s="20">
        <f>'Range 1'!M12</f>
        <v>100</v>
      </c>
      <c r="Z12" s="95">
        <f t="shared" si="6"/>
        <v>-0.30794732593340057</v>
      </c>
      <c r="AA12" s="102">
        <f t="shared" si="7"/>
        <v>0.10925962593340055</v>
      </c>
      <c r="AB12" s="137">
        <f t="shared" si="8"/>
        <v>1.0925962593340056E-3</v>
      </c>
      <c r="AC12" s="137">
        <f t="shared" si="9"/>
        <v>1.9868770000000002E-3</v>
      </c>
      <c r="AD12" s="19">
        <f>'Range 2'!L12*1000</f>
        <v>-3.1773100000000006E-2</v>
      </c>
      <c r="AE12" s="19">
        <f>'Range 2'!M12</f>
        <v>99</v>
      </c>
      <c r="AF12" s="90">
        <f t="shared" si="10"/>
        <v>-3.0486785267406658E-2</v>
      </c>
      <c r="AG12" s="86">
        <f t="shared" si="11"/>
        <v>1.2863147325933473E-3</v>
      </c>
      <c r="AH12" s="140">
        <f t="shared" si="12"/>
        <v>1.2863147325933472E-4</v>
      </c>
      <c r="AI12" s="140">
        <f t="shared" si="13"/>
        <v>3.1773100000000005E-3</v>
      </c>
      <c r="AJ12" s="20">
        <f>'Range 3'!L12*1000</f>
        <v>-3.2360000000000002E-3</v>
      </c>
      <c r="AK12" s="20">
        <f>'Range 3'!M12</f>
        <v>99</v>
      </c>
      <c r="AL12" s="95">
        <f t="shared" si="14"/>
        <v>-3.0486785267406658E-3</v>
      </c>
      <c r="AM12" s="102">
        <f t="shared" si="15"/>
        <v>1.8732147325933434E-4</v>
      </c>
      <c r="AN12" s="137">
        <f t="shared" si="16"/>
        <v>1.8732147325933434E-4</v>
      </c>
      <c r="AO12" s="137">
        <f t="shared" si="17"/>
        <v>3.2360000000000002E-3</v>
      </c>
      <c r="AP12" s="19">
        <f>'Range 4'!L12*1000</f>
        <v>-3.2220000000000003E-4</v>
      </c>
      <c r="AQ12" s="19">
        <f>'Range 4'!M12</f>
        <v>99</v>
      </c>
      <c r="AR12" s="90">
        <f t="shared" si="18"/>
        <v>-3.0486785267406656E-4</v>
      </c>
      <c r="AS12" s="86">
        <f t="shared" si="19"/>
        <v>1.7332147325933465E-5</v>
      </c>
      <c r="AT12" s="114">
        <f t="shared" si="34"/>
        <v>1.7332147325933465E-4</v>
      </c>
      <c r="AU12" s="114">
        <f t="shared" si="20"/>
        <v>3.222E-3</v>
      </c>
      <c r="AV12" s="20">
        <f>'Range 5'!L12*1000</f>
        <v>-2.9819999999999999E-5</v>
      </c>
      <c r="AW12" s="20">
        <f>'Range 5'!M12</f>
        <v>98</v>
      </c>
      <c r="AX12" s="95">
        <f t="shared" si="21"/>
        <v>-3.0614400300807762E-5</v>
      </c>
      <c r="AY12" s="102">
        <f t="shared" si="22"/>
        <v>7.9440030080776301E-7</v>
      </c>
      <c r="AZ12" s="110">
        <f t="shared" si="35"/>
        <v>7.9440030080776301E-7</v>
      </c>
      <c r="BA12" s="110">
        <f t="shared" si="23"/>
        <v>2.9819999999999998E-3</v>
      </c>
      <c r="BB12" s="19">
        <f>'Range 6'!L12*1000</f>
        <v>0</v>
      </c>
      <c r="BC12" s="19">
        <f>'Range 6'!M12</f>
        <v>100</v>
      </c>
      <c r="BD12" s="90">
        <f t="shared" si="24"/>
        <v>-3.0820149775556061E-6</v>
      </c>
      <c r="BE12" s="86">
        <f t="shared" si="25"/>
        <v>3.0820149775556061E-6</v>
      </c>
      <c r="BF12" s="114">
        <f t="shared" si="36"/>
        <v>3.0820149775556061E-6</v>
      </c>
      <c r="BG12" s="114">
        <f t="shared" si="26"/>
        <v>0</v>
      </c>
      <c r="BH12" s="20">
        <f>'Range 7'!L12*1000</f>
        <v>-5.4499999999999998E-8</v>
      </c>
      <c r="BI12" s="20">
        <f>'Range 7'!M12</f>
        <v>98</v>
      </c>
      <c r="BJ12" s="95">
        <f t="shared" si="27"/>
        <v>-9.4266275042279514E-8</v>
      </c>
      <c r="BK12" s="102">
        <f t="shared" si="28"/>
        <v>3.9766275042279516E-8</v>
      </c>
      <c r="BL12" s="110">
        <f t="shared" si="37"/>
        <v>3.9766275042279516E-8</v>
      </c>
      <c r="BM12" s="110">
        <f t="shared" si="29"/>
        <v>5.4499999999999991E-4</v>
      </c>
    </row>
    <row r="13" spans="1:65" x14ac:dyDescent="0.3">
      <c r="A13" s="11">
        <v>12</v>
      </c>
      <c r="B13" s="11">
        <v>500</v>
      </c>
      <c r="C13" s="11">
        <v>2700</v>
      </c>
      <c r="D13" s="11">
        <f>IF(Connect!G$1=Internal!A$2,Data!B13,Data!C13)</f>
        <v>2700</v>
      </c>
      <c r="E13" s="58">
        <v>2700</v>
      </c>
      <c r="F13" s="12">
        <f>Voltage!L13</f>
        <v>-1.0189288999999999</v>
      </c>
      <c r="G13" s="124">
        <f>((E13-G$32)/G$29-F13)*1000</f>
        <v>37.108219001902754</v>
      </c>
      <c r="H13" s="12">
        <f>Voltage!M13</f>
        <v>2779</v>
      </c>
      <c r="J13" s="12">
        <f>Voltage!N13</f>
        <v>3317</v>
      </c>
      <c r="K13" s="82">
        <f t="shared" ref="K13:K22" si="39">J13*K$29+K$32</f>
        <v>-1.0122681285999999</v>
      </c>
      <c r="L13" s="79">
        <f t="shared" si="30"/>
        <v>6.6607713999999874E-3</v>
      </c>
      <c r="M13" s="127">
        <f t="shared" si="1"/>
        <v>6.537032564293728E-3</v>
      </c>
      <c r="N13" s="12">
        <f>Voltage!O13</f>
        <v>1329</v>
      </c>
      <c r="O13" s="82">
        <f t="shared" ref="O13:O22" si="40">N13*O$29+O$32</f>
        <v>1.0151656871999999</v>
      </c>
      <c r="P13" s="106">
        <f t="shared" si="31"/>
        <v>2.0340945871999998</v>
      </c>
      <c r="Q13" s="127">
        <f t="shared" si="32"/>
        <v>1.9963066973564103</v>
      </c>
      <c r="R13" s="13">
        <f>'Range 0'!L13*1000</f>
        <v>-97.992238</v>
      </c>
      <c r="S13" s="13">
        <f>'Range 0'!M13</f>
        <v>3263</v>
      </c>
      <c r="T13" s="85">
        <f t="shared" si="33"/>
        <v>-100.48321245206861</v>
      </c>
      <c r="U13" s="85">
        <f t="shared" si="3"/>
        <v>2.4909744520686132</v>
      </c>
      <c r="V13" s="132">
        <f t="shared" si="4"/>
        <v>2.4909744520686134E-3</v>
      </c>
      <c r="W13" s="132">
        <f t="shared" si="5"/>
        <v>7.8227203428920687E-4</v>
      </c>
      <c r="X13" s="14">
        <f>'Range 1'!L13*1000</f>
        <v>-6.1959869999999997</v>
      </c>
      <c r="Y13" s="14">
        <f>'Range 1'!M13</f>
        <v>3263</v>
      </c>
      <c r="Z13" s="94">
        <f t="shared" si="6"/>
        <v>-10.048321245206862</v>
      </c>
      <c r="AA13" s="101">
        <f t="shared" si="7"/>
        <v>3.8523342452068627</v>
      </c>
      <c r="AB13" s="136">
        <f t="shared" si="8"/>
        <v>3.8523342452068628E-2</v>
      </c>
      <c r="AC13" s="136">
        <f t="shared" si="9"/>
        <v>3.5250095965710805E-2</v>
      </c>
      <c r="AD13" s="13">
        <f>'Range 2'!L13*1000</f>
        <v>-0.99886490000000006</v>
      </c>
      <c r="AE13" s="13">
        <f>'Range 2'!M13</f>
        <v>3263</v>
      </c>
      <c r="AF13" s="77">
        <f t="shared" si="10"/>
        <v>-1.0048321245206862</v>
      </c>
      <c r="AG13" s="85">
        <f t="shared" si="11"/>
        <v>5.9672245206860985E-3</v>
      </c>
      <c r="AH13" s="139">
        <f t="shared" si="12"/>
        <v>5.9672245206860981E-4</v>
      </c>
      <c r="AI13" s="139">
        <f t="shared" si="13"/>
        <v>2.6765240342891961E-3</v>
      </c>
      <c r="AJ13" s="14">
        <f>'Range 3'!L13*1000</f>
        <v>-0.1</v>
      </c>
      <c r="AK13" s="14">
        <f>'Range 3'!M13</f>
        <v>3264</v>
      </c>
      <c r="AL13" s="94">
        <f t="shared" si="14"/>
        <v>-0.10051400718466195</v>
      </c>
      <c r="AM13" s="101">
        <f t="shared" si="15"/>
        <v>5.1400718466194928E-4</v>
      </c>
      <c r="AN13" s="136">
        <f t="shared" si="16"/>
        <v>5.1400718466194928E-4</v>
      </c>
      <c r="AO13" s="136">
        <f t="shared" si="17"/>
        <v>2.7900340342892072E-3</v>
      </c>
      <c r="AP13" s="13">
        <f>'Range 4'!L13*1000</f>
        <v>-1.0006999999999999E-2</v>
      </c>
      <c r="AQ13" s="13">
        <f>'Range 4'!M13</f>
        <v>3264</v>
      </c>
      <c r="AR13" s="77">
        <f t="shared" si="18"/>
        <v>-1.0051400718466195E-2</v>
      </c>
      <c r="AS13" s="85">
        <f t="shared" si="19"/>
        <v>4.4400718466196254E-5</v>
      </c>
      <c r="AT13" s="113">
        <f t="shared" si="34"/>
        <v>4.4400718466196254E-4</v>
      </c>
      <c r="AU13" s="113">
        <f t="shared" si="20"/>
        <v>2.8600340342891696E-3</v>
      </c>
      <c r="AV13" s="14">
        <f>'Range 5'!L13*1000</f>
        <v>-1.0096E-3</v>
      </c>
      <c r="AW13" s="14">
        <f>'Range 5'!M13</f>
        <v>3262</v>
      </c>
      <c r="AX13" s="94">
        <f t="shared" si="21"/>
        <v>-9.9914616107160226E-4</v>
      </c>
      <c r="AY13" s="101">
        <f t="shared" si="22"/>
        <v>1.0453838928397782E-5</v>
      </c>
      <c r="AZ13" s="109">
        <f t="shared" si="35"/>
        <v>1.0453838928397782E-5</v>
      </c>
      <c r="BA13" s="109">
        <f t="shared" si="23"/>
        <v>3.7500340342891988E-3</v>
      </c>
      <c r="BB13" s="13">
        <f>'Range 6'!L13*1000</f>
        <v>-9.9530000000000004E-5</v>
      </c>
      <c r="BC13" s="13">
        <f>'Range 6'!M13</f>
        <v>3262</v>
      </c>
      <c r="BD13" s="77">
        <f t="shared" si="24"/>
        <v>-9.9705626950287172E-5</v>
      </c>
      <c r="BE13" s="85">
        <f t="shared" si="25"/>
        <v>1.7562695028716809E-7</v>
      </c>
      <c r="BF13" s="113">
        <f t="shared" si="36"/>
        <v>1.7562695028716809E-7</v>
      </c>
      <c r="BG13" s="113">
        <f t="shared" si="26"/>
        <v>2.3200340342891994E-3</v>
      </c>
      <c r="BH13" s="14">
        <f>'Range 7'!L13*1000</f>
        <v>-8.4139999999999994E-6</v>
      </c>
      <c r="BI13" s="14">
        <f>'Range 7'!M13</f>
        <v>3261</v>
      </c>
      <c r="BJ13" s="94">
        <f t="shared" si="27"/>
        <v>-9.7192986390989014E-6</v>
      </c>
      <c r="BK13" s="101">
        <f t="shared" si="28"/>
        <v>1.305298639098902E-6</v>
      </c>
      <c r="BL13" s="109">
        <f t="shared" si="37"/>
        <v>1.305298639098902E-6</v>
      </c>
      <c r="BM13" s="109">
        <f t="shared" si="29"/>
        <v>1.3069965965710816E-2</v>
      </c>
    </row>
    <row r="14" spans="1:65" x14ac:dyDescent="0.3">
      <c r="A14" s="11">
        <v>13</v>
      </c>
      <c r="B14" s="11">
        <v>1000</v>
      </c>
      <c r="C14" s="11">
        <v>5400</v>
      </c>
      <c r="D14" s="11">
        <f>IF(Connect!G$1=Internal!A$2,Data!B14,Data!C14)</f>
        <v>5400</v>
      </c>
      <c r="E14" s="58">
        <v>5400</v>
      </c>
      <c r="F14" s="12">
        <f>Voltage!L14</f>
        <v>-1.9959994000000001</v>
      </c>
      <c r="G14" s="124">
        <f>((E14-G$32)/G$29-F14)*1000</f>
        <v>32.358038003805767</v>
      </c>
      <c r="H14" s="12">
        <f>Voltage!M14</f>
        <v>5444</v>
      </c>
      <c r="J14" s="12">
        <f>Voltage!N14</f>
        <v>6518</v>
      </c>
      <c r="K14" s="82">
        <f>J14*K$29+K$32</f>
        <v>-1.9891358643999999</v>
      </c>
      <c r="L14" s="79">
        <f t="shared" si="30"/>
        <v>6.8635356000001924E-3</v>
      </c>
      <c r="M14" s="127">
        <f t="shared" si="1"/>
        <v>3.4386461238416163E-3</v>
      </c>
      <c r="N14" s="12">
        <f>Voltage!O14</f>
        <v>2604</v>
      </c>
      <c r="O14" s="82">
        <f t="shared" si="40"/>
        <v>1.9890831071999999</v>
      </c>
      <c r="P14" s="106">
        <f t="shared" si="31"/>
        <v>3.9850825072</v>
      </c>
      <c r="Q14" s="127">
        <f t="shared" si="32"/>
        <v>1.9965349224052873</v>
      </c>
      <c r="R14" s="13">
        <f>'Range 0'!L14*1000</f>
        <v>-193.24620999999999</v>
      </c>
      <c r="S14" s="13">
        <f>'Range 0'!M14</f>
        <v>6429</v>
      </c>
      <c r="T14" s="85">
        <f t="shared" si="33"/>
        <v>-197.97933584258325</v>
      </c>
      <c r="U14" s="85">
        <f t="shared" si="3"/>
        <v>4.733125842583263</v>
      </c>
      <c r="V14" s="132">
        <f t="shared" si="4"/>
        <v>4.7331258425832631E-3</v>
      </c>
      <c r="W14" s="132">
        <f t="shared" si="5"/>
        <v>1.1737219314215963E-3</v>
      </c>
      <c r="X14" s="14">
        <f>'Range 1'!L14*1000</f>
        <v>-12.193223</v>
      </c>
      <c r="Y14" s="14">
        <f>'Range 1'!M14</f>
        <v>6427</v>
      </c>
      <c r="Z14" s="94">
        <f t="shared" si="6"/>
        <v>-19.791774637739657</v>
      </c>
      <c r="AA14" s="101">
        <f t="shared" si="7"/>
        <v>7.5985516377396571</v>
      </c>
      <c r="AB14" s="136">
        <f t="shared" si="8"/>
        <v>7.5985516377396575E-2</v>
      </c>
      <c r="AC14" s="136">
        <f t="shared" si="9"/>
        <v>7.2487701931421608E-2</v>
      </c>
      <c r="AD14" s="13">
        <f>'Range 2'!L14*1000</f>
        <v>-1.9659688</v>
      </c>
      <c r="AE14" s="13">
        <f>'Range 2'!M14</f>
        <v>6426</v>
      </c>
      <c r="AF14" s="77">
        <f t="shared" si="10"/>
        <v>-1.9788695164480321</v>
      </c>
      <c r="AG14" s="85">
        <f t="shared" si="11"/>
        <v>1.2900716448032146E-2</v>
      </c>
      <c r="AH14" s="139">
        <f t="shared" si="12"/>
        <v>1.2900716448032146E-3</v>
      </c>
      <c r="AI14" s="139">
        <f t="shared" si="13"/>
        <v>2.1769480685783771E-3</v>
      </c>
      <c r="AJ14" s="14">
        <f>'Range 3'!L14*1000</f>
        <v>-0.19668999999999998</v>
      </c>
      <c r="AK14" s="14">
        <f>'Range 3'!M14</f>
        <v>6427</v>
      </c>
      <c r="AL14" s="94">
        <f t="shared" si="14"/>
        <v>-0.19791774637739656</v>
      </c>
      <c r="AM14" s="101">
        <f t="shared" si="15"/>
        <v>1.227746377396588E-3</v>
      </c>
      <c r="AN14" s="136">
        <f t="shared" si="16"/>
        <v>1.227746377396588E-3</v>
      </c>
      <c r="AO14" s="136">
        <f t="shared" si="17"/>
        <v>2.2700680685783792E-3</v>
      </c>
      <c r="AP14" s="13">
        <f>'Range 4'!L14*1000</f>
        <v>-1.9675000000000002E-2</v>
      </c>
      <c r="AQ14" s="13">
        <f>'Range 4'!M14</f>
        <v>6426</v>
      </c>
      <c r="AR14" s="77">
        <f t="shared" si="18"/>
        <v>-1.9788695164480324E-2</v>
      </c>
      <c r="AS14" s="85">
        <f t="shared" si="19"/>
        <v>1.1369516448032219E-4</v>
      </c>
      <c r="AT14" s="113">
        <f t="shared" si="34"/>
        <v>1.1369516448032219E-3</v>
      </c>
      <c r="AU14" s="113">
        <f t="shared" si="20"/>
        <v>2.3300680685783837E-3</v>
      </c>
      <c r="AV14" s="14">
        <f>'Range 5'!L14*1000</f>
        <v>-1.9686E-3</v>
      </c>
      <c r="AW14" s="14">
        <f>'Range 5'!M14</f>
        <v>6426</v>
      </c>
      <c r="AX14" s="94">
        <f t="shared" si="21"/>
        <v>-1.9676779218423968E-3</v>
      </c>
      <c r="AY14" s="101">
        <f t="shared" si="22"/>
        <v>9.2207815760320805E-7</v>
      </c>
      <c r="AZ14" s="109">
        <f t="shared" si="35"/>
        <v>9.2207815760320805E-7</v>
      </c>
      <c r="BA14" s="109">
        <f t="shared" si="23"/>
        <v>2.4400680685783939E-3</v>
      </c>
      <c r="BB14" s="13">
        <f>'Range 6'!L14*1000</f>
        <v>-1.9623000000000001E-4</v>
      </c>
      <c r="BC14" s="13">
        <f>'Range 6'!M14</f>
        <v>6426</v>
      </c>
      <c r="BD14" s="77">
        <f t="shared" si="24"/>
        <v>-1.963903544271128E-4</v>
      </c>
      <c r="BE14" s="85">
        <f t="shared" si="25"/>
        <v>1.6035442711279276E-7</v>
      </c>
      <c r="BF14" s="113">
        <f t="shared" si="36"/>
        <v>1.6035442711279276E-7</v>
      </c>
      <c r="BG14" s="113">
        <f t="shared" si="26"/>
        <v>1.8100680685784003E-3</v>
      </c>
      <c r="BH14" s="14">
        <f>'Range 7'!L14*1000</f>
        <v>-1.8716000000000002E-5</v>
      </c>
      <c r="BI14" s="14">
        <f>'Range 7'!M14</f>
        <v>6425</v>
      </c>
      <c r="BJ14" s="94">
        <f t="shared" si="27"/>
        <v>-1.9347374010542202E-5</v>
      </c>
      <c r="BK14" s="101">
        <f t="shared" si="28"/>
        <v>6.3137401054220015E-7</v>
      </c>
      <c r="BL14" s="109">
        <f t="shared" si="37"/>
        <v>6.3137401054220015E-7</v>
      </c>
      <c r="BM14" s="109">
        <f t="shared" si="29"/>
        <v>7.2599319314216055E-3</v>
      </c>
    </row>
    <row r="15" spans="1:65" x14ac:dyDescent="0.3">
      <c r="A15" s="11">
        <v>14</v>
      </c>
      <c r="B15" s="11">
        <v>1500</v>
      </c>
      <c r="C15" s="11">
        <v>8100</v>
      </c>
      <c r="D15" s="11">
        <f>IF(Connect!G$1=Internal!A$2,Data!B15,Data!C15)</f>
        <v>8100</v>
      </c>
      <c r="E15" s="58">
        <v>8100</v>
      </c>
      <c r="F15" s="12">
        <f>Voltage!L15</f>
        <v>-2.9731893</v>
      </c>
      <c r="G15" s="124">
        <f t="shared" ref="G15:G22" si="41">((E15-G$32)/G$29-F15)*1000</f>
        <v>27.727257005708772</v>
      </c>
      <c r="H15" s="12">
        <f>Voltage!M15</f>
        <v>8110</v>
      </c>
      <c r="J15" s="12">
        <f>Voltage!N15</f>
        <v>9719</v>
      </c>
      <c r="K15" s="82">
        <f t="shared" si="39"/>
        <v>-2.9660036001999996</v>
      </c>
      <c r="L15" s="79">
        <f t="shared" si="30"/>
        <v>7.1856998000003891E-3</v>
      </c>
      <c r="M15" s="127">
        <f t="shared" si="1"/>
        <v>2.4168322548451218E-3</v>
      </c>
      <c r="N15" s="12">
        <f>Voltage!O15</f>
        <v>3880</v>
      </c>
      <c r="O15" s="82">
        <f t="shared" si="40"/>
        <v>2.9637643840000001</v>
      </c>
      <c r="P15" s="106">
        <f t="shared" si="31"/>
        <v>5.9369536840000006</v>
      </c>
      <c r="Q15" s="127">
        <f t="shared" si="32"/>
        <v>1.9968300316431249</v>
      </c>
      <c r="R15" s="13">
        <f>'Range 0'!L15*1000</f>
        <v>-288.15653000000003</v>
      </c>
      <c r="S15" s="13">
        <f>'Range 0'!M15</f>
        <v>9593</v>
      </c>
      <c r="T15" s="85">
        <f t="shared" si="33"/>
        <v>-295.41386976791119</v>
      </c>
      <c r="U15" s="85">
        <f t="shared" si="3"/>
        <v>7.2573397679111622</v>
      </c>
      <c r="V15" s="132">
        <f t="shared" si="4"/>
        <v>7.2573397679111624E-3</v>
      </c>
      <c r="W15" s="132">
        <f t="shared" si="5"/>
        <v>3.4733678971323912E-3</v>
      </c>
      <c r="X15" s="14">
        <f>'Range 1'!L15*1000</f>
        <v>-18.191002000000001</v>
      </c>
      <c r="Y15" s="14">
        <f>'Range 1'!M15</f>
        <v>9591</v>
      </c>
      <c r="Z15" s="94">
        <f t="shared" si="6"/>
        <v>-29.535228030272449</v>
      </c>
      <c r="AA15" s="101">
        <f t="shared" si="7"/>
        <v>11.344226030272448</v>
      </c>
      <c r="AB15" s="136">
        <f t="shared" si="8"/>
        <v>0.11344226030272449</v>
      </c>
      <c r="AC15" s="136">
        <f t="shared" si="9"/>
        <v>0.10971987789713239</v>
      </c>
      <c r="AD15" s="13">
        <f>'Range 2'!L15*1000</f>
        <v>-2.9331482000000002</v>
      </c>
      <c r="AE15" s="13">
        <f>'Range 2'!M15</f>
        <v>9590</v>
      </c>
      <c r="AF15" s="77">
        <f t="shared" si="10"/>
        <v>-2.9532148557013116</v>
      </c>
      <c r="AG15" s="85">
        <f t="shared" si="11"/>
        <v>2.0066655701311387E-2</v>
      </c>
      <c r="AH15" s="139">
        <f t="shared" si="12"/>
        <v>2.0066655701311388E-3</v>
      </c>
      <c r="AI15" s="139">
        <f t="shared" si="13"/>
        <v>1.684922102867592E-3</v>
      </c>
      <c r="AJ15" s="14">
        <f>'Range 3'!L15*1000</f>
        <v>-0.29339999999999999</v>
      </c>
      <c r="AK15" s="14">
        <f>'Range 3'!M15</f>
        <v>9590</v>
      </c>
      <c r="AL15" s="94">
        <f t="shared" si="14"/>
        <v>-0.29532148557013116</v>
      </c>
      <c r="AM15" s="101">
        <f t="shared" si="15"/>
        <v>1.9214855701311651E-3</v>
      </c>
      <c r="AN15" s="136">
        <f t="shared" si="16"/>
        <v>1.9214855701311651E-3</v>
      </c>
      <c r="AO15" s="136">
        <f t="shared" si="17"/>
        <v>1.7701021028675989E-3</v>
      </c>
      <c r="AP15" s="13">
        <f>'Range 4'!L15*1000</f>
        <v>-2.9329999999999998E-2</v>
      </c>
      <c r="AQ15" s="13">
        <f>'Range 4'!M15</f>
        <v>9589</v>
      </c>
      <c r="AR15" s="77">
        <f t="shared" si="18"/>
        <v>-2.9529069083753783E-2</v>
      </c>
      <c r="AS15" s="85">
        <f t="shared" si="19"/>
        <v>1.9906908375378479E-4</v>
      </c>
      <c r="AT15" s="113">
        <f t="shared" si="34"/>
        <v>1.9906908375378479E-3</v>
      </c>
      <c r="AU15" s="113">
        <f t="shared" si="20"/>
        <v>1.6701021028675544E-3</v>
      </c>
      <c r="AV15" s="14">
        <f>'Range 5'!L15*1000</f>
        <v>-2.9340000000000004E-3</v>
      </c>
      <c r="AW15" s="14">
        <f>'Range 5'!M15</f>
        <v>9590</v>
      </c>
      <c r="AX15" s="94">
        <f t="shared" si="21"/>
        <v>-2.9362096826131912E-3</v>
      </c>
      <c r="AY15" s="101">
        <f t="shared" si="22"/>
        <v>2.2096826131907769E-6</v>
      </c>
      <c r="AZ15" s="109">
        <f t="shared" si="35"/>
        <v>2.2096826131907769E-6</v>
      </c>
      <c r="BA15" s="109">
        <f t="shared" si="23"/>
        <v>1.7701021028676371E-3</v>
      </c>
      <c r="BB15" s="13">
        <f>'Range 6'!L15*1000</f>
        <v>-2.9159999999999999E-4</v>
      </c>
      <c r="BC15" s="13">
        <f>'Range 6'!M15</f>
        <v>9589</v>
      </c>
      <c r="BD15" s="77">
        <f t="shared" si="24"/>
        <v>-2.9304452415189144E-4</v>
      </c>
      <c r="BE15" s="85">
        <f t="shared" si="25"/>
        <v>1.4445241518914543E-6</v>
      </c>
      <c r="BF15" s="113">
        <f t="shared" si="36"/>
        <v>1.4445241518914543E-6</v>
      </c>
      <c r="BG15" s="113">
        <f t="shared" si="26"/>
        <v>2.9897897132428325E-5</v>
      </c>
      <c r="BH15" s="14">
        <f>'Range 7'!L15*1000</f>
        <v>-2.745E-5</v>
      </c>
      <c r="BI15" s="14">
        <f>'Range 7'!M15</f>
        <v>9589</v>
      </c>
      <c r="BJ15" s="94">
        <f t="shared" si="27"/>
        <v>-2.8975449381985504E-5</v>
      </c>
      <c r="BK15" s="101">
        <f t="shared" si="28"/>
        <v>1.5254493819855043E-6</v>
      </c>
      <c r="BL15" s="109">
        <f t="shared" si="37"/>
        <v>1.5254493819855043E-6</v>
      </c>
      <c r="BM15" s="109">
        <f t="shared" si="29"/>
        <v>1.7129897897132401E-2</v>
      </c>
    </row>
    <row r="16" spans="1:65" x14ac:dyDescent="0.3">
      <c r="A16" s="11">
        <v>15</v>
      </c>
      <c r="B16" s="11">
        <v>2000</v>
      </c>
      <c r="C16" s="11">
        <v>10800</v>
      </c>
      <c r="D16" s="11">
        <f>IF(Connect!G$1=Internal!A$2,Data!B16,Data!C16)</f>
        <v>10800</v>
      </c>
      <c r="E16" s="58">
        <v>10800</v>
      </c>
      <c r="F16" s="12">
        <f>Voltage!L16</f>
        <v>-3.9505184</v>
      </c>
      <c r="G16" s="124">
        <f t="shared" si="41"/>
        <v>23.235676007611339</v>
      </c>
      <c r="H16" s="12">
        <f>Voltage!M16</f>
        <v>10776</v>
      </c>
      <c r="J16" s="12">
        <f>Voltage!N16</f>
        <v>12920</v>
      </c>
      <c r="K16" s="82">
        <f t="shared" si="39"/>
        <v>-3.9428713359999996</v>
      </c>
      <c r="L16" s="79">
        <f t="shared" si="30"/>
        <v>7.6470640000003698E-3</v>
      </c>
      <c r="M16" s="127">
        <f t="shared" si="1"/>
        <v>1.9357115258595858E-3</v>
      </c>
      <c r="N16" s="12">
        <f>Voltage!O16</f>
        <v>5156</v>
      </c>
      <c r="O16" s="82">
        <f t="shared" si="40"/>
        <v>3.9384456607999998</v>
      </c>
      <c r="P16" s="106">
        <f t="shared" si="31"/>
        <v>7.8889640607999993</v>
      </c>
      <c r="Q16" s="127">
        <f t="shared" si="32"/>
        <v>1.9969440113986052</v>
      </c>
      <c r="R16" s="13">
        <f>'Range 0'!L16*1000</f>
        <v>-383.19104999999996</v>
      </c>
      <c r="S16" s="13">
        <f>'Range 0'!M16</f>
        <v>12758</v>
      </c>
      <c r="T16" s="85">
        <f t="shared" si="33"/>
        <v>-392.87919842583244</v>
      </c>
      <c r="U16" s="85">
        <f t="shared" si="3"/>
        <v>9.6881484258324804</v>
      </c>
      <c r="V16" s="132">
        <f t="shared" si="4"/>
        <v>9.688148425832481E-3</v>
      </c>
      <c r="W16" s="132">
        <f t="shared" si="5"/>
        <v>5.6488138628432126E-3</v>
      </c>
      <c r="X16" s="14">
        <f>'Range 1'!L16*1000</f>
        <v>-24.18946</v>
      </c>
      <c r="Y16" s="14">
        <f>'Range 1'!M16</f>
        <v>12755</v>
      </c>
      <c r="Z16" s="94">
        <f t="shared" si="6"/>
        <v>-39.278681422805242</v>
      </c>
      <c r="AA16" s="101">
        <f t="shared" si="7"/>
        <v>15.089221422805242</v>
      </c>
      <c r="AB16" s="136">
        <f t="shared" si="8"/>
        <v>0.15089221422805241</v>
      </c>
      <c r="AC16" s="136">
        <f t="shared" si="9"/>
        <v>0.14694526386284321</v>
      </c>
      <c r="AD16" s="13">
        <f>'Range 2'!L16*1000</f>
        <v>-3.9004612000000001</v>
      </c>
      <c r="AE16" s="13">
        <f>'Range 2'!M16</f>
        <v>12754</v>
      </c>
      <c r="AF16" s="77">
        <f t="shared" si="10"/>
        <v>-3.9275601949545913</v>
      </c>
      <c r="AG16" s="85">
        <f t="shared" si="11"/>
        <v>2.7098994954591227E-2</v>
      </c>
      <c r="AH16" s="139">
        <f t="shared" si="12"/>
        <v>2.7098994954591225E-3</v>
      </c>
      <c r="AI16" s="139">
        <f t="shared" si="13"/>
        <v>1.2062561371567692E-3</v>
      </c>
      <c r="AJ16" s="14">
        <f>'Range 3'!L16*1000</f>
        <v>-0.3901</v>
      </c>
      <c r="AK16" s="14">
        <f>'Range 3'!M16</f>
        <v>12754</v>
      </c>
      <c r="AL16" s="94">
        <f t="shared" si="14"/>
        <v>-0.39275601949545907</v>
      </c>
      <c r="AM16" s="101">
        <f t="shared" si="15"/>
        <v>2.6560194954590721E-3</v>
      </c>
      <c r="AN16" s="136">
        <f t="shared" si="16"/>
        <v>2.6560194954590721E-3</v>
      </c>
      <c r="AO16" s="136">
        <f t="shared" si="17"/>
        <v>1.2601361371568087E-3</v>
      </c>
      <c r="AP16" s="13">
        <f>'Range 4'!L16*1000</f>
        <v>-3.9E-2</v>
      </c>
      <c r="AQ16" s="13">
        <f>'Range 4'!M16</f>
        <v>12753</v>
      </c>
      <c r="AR16" s="77">
        <f t="shared" si="18"/>
        <v>-3.9272522476286577E-2</v>
      </c>
      <c r="AS16" s="85">
        <f t="shared" si="19"/>
        <v>2.7252247628657689E-4</v>
      </c>
      <c r="AT16" s="113">
        <f t="shared" si="34"/>
        <v>2.7252247628657689E-3</v>
      </c>
      <c r="AU16" s="113">
        <f t="shared" si="20"/>
        <v>1.1601361371567365E-3</v>
      </c>
      <c r="AV16" s="14">
        <f>'Range 5'!L16*1000</f>
        <v>-3.9020000000000001E-3</v>
      </c>
      <c r="AW16" s="14">
        <f>'Range 5'!M16</f>
        <v>12755</v>
      </c>
      <c r="AX16" s="94">
        <f t="shared" si="21"/>
        <v>-3.9050475532957339E-3</v>
      </c>
      <c r="AY16" s="101">
        <f t="shared" si="22"/>
        <v>3.0475532957338278E-6</v>
      </c>
      <c r="AZ16" s="109">
        <f t="shared" si="35"/>
        <v>3.0475532957338278E-6</v>
      </c>
      <c r="BA16" s="109">
        <f t="shared" si="23"/>
        <v>1.360136137156789E-3</v>
      </c>
      <c r="BB16" s="13">
        <f>'Range 6'!L16*1000</f>
        <v>-3.8969999999999999E-4</v>
      </c>
      <c r="BC16" s="13">
        <f>'Range 6'!M16</f>
        <v>12753</v>
      </c>
      <c r="BD16" s="77">
        <f t="shared" si="24"/>
        <v>-3.8972925162871706E-4</v>
      </c>
      <c r="BE16" s="85">
        <f t="shared" si="25"/>
        <v>2.9251628717071997E-8</v>
      </c>
      <c r="BF16" s="113">
        <f t="shared" si="36"/>
        <v>2.9251628717071997E-8</v>
      </c>
      <c r="BG16" s="113">
        <f t="shared" si="26"/>
        <v>8.6013613715676604E-4</v>
      </c>
      <c r="BH16" s="14">
        <f>'Range 7'!L16*1000</f>
        <v>-3.854E-5</v>
      </c>
      <c r="BI16" s="14">
        <f>'Range 7'!M16</f>
        <v>12752</v>
      </c>
      <c r="BJ16" s="94">
        <f t="shared" si="27"/>
        <v>-3.8600481746042129E-5</v>
      </c>
      <c r="BK16" s="101">
        <f t="shared" si="28"/>
        <v>6.048174604212904E-8</v>
      </c>
      <c r="BL16" s="109">
        <f t="shared" si="37"/>
        <v>6.048174604212904E-8</v>
      </c>
      <c r="BM16" s="109">
        <f t="shared" si="29"/>
        <v>3.4398638628432435E-3</v>
      </c>
    </row>
    <row r="17" spans="1:65" x14ac:dyDescent="0.3">
      <c r="A17" s="11">
        <v>16</v>
      </c>
      <c r="B17" s="11">
        <v>2500</v>
      </c>
      <c r="C17" s="11">
        <v>13500</v>
      </c>
      <c r="D17" s="11">
        <f>IF(Connect!G$1=Internal!A$2,Data!B17,Data!C17)</f>
        <v>13500</v>
      </c>
      <c r="E17" s="58">
        <v>13500</v>
      </c>
      <c r="F17" s="12">
        <f>Voltage!L17</f>
        <v>-4.9280539000000001</v>
      </c>
      <c r="G17" s="124">
        <f t="shared" si="41"/>
        <v>18.950495009514512</v>
      </c>
      <c r="H17" s="12">
        <f>Voltage!M17</f>
        <v>13443</v>
      </c>
      <c r="J17" s="12">
        <f>Voltage!N17</f>
        <v>16122</v>
      </c>
      <c r="K17" s="82">
        <f t="shared" si="39"/>
        <v>-4.9200442475999999</v>
      </c>
      <c r="L17" s="79">
        <f t="shared" si="30"/>
        <v>8.0096524000001779E-3</v>
      </c>
      <c r="M17" s="127">
        <f t="shared" si="1"/>
        <v>1.6253175315310935E-3</v>
      </c>
      <c r="N17" s="12">
        <f>Voltage!O17</f>
        <v>6433</v>
      </c>
      <c r="O17" s="82">
        <f t="shared" si="40"/>
        <v>4.9138907944000003</v>
      </c>
      <c r="P17" s="106">
        <f t="shared" si="31"/>
        <v>9.8419446944000004</v>
      </c>
      <c r="Q17" s="127">
        <f t="shared" si="32"/>
        <v>1.9971260246159239</v>
      </c>
      <c r="R17" s="13">
        <f>'Range 0'!L17*1000</f>
        <v>-478.23567000000003</v>
      </c>
      <c r="S17" s="13">
        <f>'Range 0'!M17</f>
        <v>15924</v>
      </c>
      <c r="T17" s="85">
        <f t="shared" si="33"/>
        <v>-490.37532181634708</v>
      </c>
      <c r="U17" s="85">
        <f t="shared" si="3"/>
        <v>12.139651816347055</v>
      </c>
      <c r="V17" s="132">
        <f t="shared" si="4"/>
        <v>1.2139651816347054E-2</v>
      </c>
      <c r="W17" s="132">
        <f t="shared" si="5"/>
        <v>7.814159828553954E-3</v>
      </c>
      <c r="X17" s="14">
        <f>'Range 1'!L17*1000</f>
        <v>-30.188223000000001</v>
      </c>
      <c r="Y17" s="14">
        <f>'Range 1'!M17</f>
        <v>15920</v>
      </c>
      <c r="Z17" s="94">
        <f t="shared" si="6"/>
        <v>-49.025214288597375</v>
      </c>
      <c r="AA17" s="101">
        <f t="shared" si="7"/>
        <v>18.836991288597375</v>
      </c>
      <c r="AB17" s="136">
        <f t="shared" si="8"/>
        <v>0.18836991288597374</v>
      </c>
      <c r="AC17" s="136">
        <f t="shared" si="9"/>
        <v>0.18416759982855402</v>
      </c>
      <c r="AD17" s="13">
        <f>'Range 2'!L17*1000</f>
        <v>-4.8679487000000004</v>
      </c>
      <c r="AE17" s="13">
        <f>'Range 2'!M17</f>
        <v>15919</v>
      </c>
      <c r="AF17" s="77">
        <f t="shared" si="10"/>
        <v>-4.9022134815338037</v>
      </c>
      <c r="AG17" s="85">
        <f t="shared" si="11"/>
        <v>3.4264781533803301E-2</v>
      </c>
      <c r="AH17" s="139">
        <f t="shared" si="12"/>
        <v>3.4264781533803303E-3</v>
      </c>
      <c r="AI17" s="139">
        <f t="shared" si="13"/>
        <v>7.4504017144603194E-4</v>
      </c>
      <c r="AJ17" s="14">
        <f>'Range 3'!L17*1000</f>
        <v>-0.48680000000000001</v>
      </c>
      <c r="AK17" s="14">
        <f>'Range 3'!M17</f>
        <v>15918</v>
      </c>
      <c r="AL17" s="94">
        <f t="shared" si="14"/>
        <v>-0.4901905534207871</v>
      </c>
      <c r="AM17" s="101">
        <f t="shared" si="15"/>
        <v>3.3905534207870902E-3</v>
      </c>
      <c r="AN17" s="136">
        <f t="shared" si="16"/>
        <v>3.3905534207870902E-3</v>
      </c>
      <c r="AO17" s="136">
        <f t="shared" si="17"/>
        <v>7.501701714460185E-4</v>
      </c>
      <c r="AP17" s="13">
        <f>'Range 4'!L17*1000</f>
        <v>-4.8680000000000001E-2</v>
      </c>
      <c r="AQ17" s="13">
        <f>'Range 4'!M17</f>
        <v>15918</v>
      </c>
      <c r="AR17" s="77">
        <f t="shared" si="18"/>
        <v>-4.9019055342078705E-2</v>
      </c>
      <c r="AS17" s="85">
        <f t="shared" si="19"/>
        <v>3.3905534207870347E-4</v>
      </c>
      <c r="AT17" s="113">
        <f t="shared" si="34"/>
        <v>3.3905534207870347E-3</v>
      </c>
      <c r="AU17" s="113">
        <f t="shared" si="20"/>
        <v>7.5017017144594911E-4</v>
      </c>
      <c r="AV17" s="14">
        <f>'Range 5'!L17*1000</f>
        <v>-4.8700000000000002E-3</v>
      </c>
      <c r="AW17" s="14">
        <f>'Range 5'!M17</f>
        <v>15919</v>
      </c>
      <c r="AX17" s="94">
        <f t="shared" si="21"/>
        <v>-4.8735793140665283E-3</v>
      </c>
      <c r="AY17" s="101">
        <f t="shared" si="22"/>
        <v>3.5793140665280748E-6</v>
      </c>
      <c r="AZ17" s="109">
        <f t="shared" si="35"/>
        <v>3.5793140665280748E-6</v>
      </c>
      <c r="BA17" s="109">
        <f t="shared" si="23"/>
        <v>9.5017017144602769E-4</v>
      </c>
      <c r="BB17" s="13">
        <f>'Range 6'!L17*1000</f>
        <v>-4.8709999999999997E-4</v>
      </c>
      <c r="BC17" s="13">
        <f>'Range 6'!M17</f>
        <v>15918</v>
      </c>
      <c r="BD17" s="77">
        <f t="shared" si="24"/>
        <v>-4.8644453685758968E-4</v>
      </c>
      <c r="BE17" s="85">
        <f t="shared" si="25"/>
        <v>6.5546314241028691E-7</v>
      </c>
      <c r="BF17" s="113">
        <f t="shared" si="36"/>
        <v>6.5546314241028691E-7</v>
      </c>
      <c r="BG17" s="113">
        <f t="shared" si="26"/>
        <v>1.0501701714459434E-3</v>
      </c>
      <c r="BH17" s="14">
        <f>'Range 7'!L17*1000</f>
        <v>-4.9210000000000005E-5</v>
      </c>
      <c r="BI17" s="14">
        <f>'Range 7'!M17</f>
        <v>15917</v>
      </c>
      <c r="BJ17" s="94">
        <f t="shared" si="27"/>
        <v>-4.8231600124872105E-5</v>
      </c>
      <c r="BK17" s="101">
        <f t="shared" si="28"/>
        <v>9.7839987512789975E-7</v>
      </c>
      <c r="BL17" s="109">
        <f t="shared" si="37"/>
        <v>9.7839987512789975E-7</v>
      </c>
      <c r="BM17" s="109">
        <f t="shared" si="29"/>
        <v>6.0501701714460237E-3</v>
      </c>
    </row>
    <row r="18" spans="1:65" x14ac:dyDescent="0.3">
      <c r="A18" s="11">
        <v>17</v>
      </c>
      <c r="B18" s="11">
        <v>3000</v>
      </c>
      <c r="C18" s="11">
        <v>16200</v>
      </c>
      <c r="D18" s="11">
        <f>IF(Connect!G$1=Internal!A$2,Data!B18,Data!C18)</f>
        <v>16200</v>
      </c>
      <c r="E18" s="58">
        <v>16200</v>
      </c>
      <c r="F18" s="12">
        <f>Voltage!L18</f>
        <v>-5.9055758000000003</v>
      </c>
      <c r="G18" s="124">
        <f t="shared" si="41"/>
        <v>14.651714011417738</v>
      </c>
      <c r="H18" s="12">
        <f>Voltage!M18</f>
        <v>16110</v>
      </c>
      <c r="J18" s="12">
        <f>Voltage!N18</f>
        <v>19324</v>
      </c>
      <c r="K18" s="82">
        <f t="shared" si="39"/>
        <v>-5.8972171591999993</v>
      </c>
      <c r="L18" s="79">
        <f t="shared" si="30"/>
        <v>8.3586408000009271E-3</v>
      </c>
      <c r="M18" s="127">
        <f t="shared" si="1"/>
        <v>1.4153811724846419E-3</v>
      </c>
      <c r="N18" s="12">
        <f>Voltage!O18</f>
        <v>7709</v>
      </c>
      <c r="O18" s="82">
        <f t="shared" si="40"/>
        <v>5.8885720711999996</v>
      </c>
      <c r="P18" s="106">
        <f t="shared" si="31"/>
        <v>11.7941478712</v>
      </c>
      <c r="Q18" s="127">
        <f t="shared" si="32"/>
        <v>1.9971207331214003</v>
      </c>
      <c r="R18" s="13">
        <f>'Range 0'!L18*1000</f>
        <v>-573.27784000000008</v>
      </c>
      <c r="S18" s="13">
        <f>'Range 0'!M18</f>
        <v>19090</v>
      </c>
      <c r="T18" s="85">
        <f t="shared" si="33"/>
        <v>-587.87144520686172</v>
      </c>
      <c r="U18" s="85">
        <f t="shared" si="3"/>
        <v>14.593605206861639</v>
      </c>
      <c r="V18" s="132">
        <f t="shared" si="4"/>
        <v>1.459360520686164E-2</v>
      </c>
      <c r="W18" s="132">
        <f t="shared" si="5"/>
        <v>9.981955794264764E-3</v>
      </c>
      <c r="X18" s="14">
        <f>'Range 1'!L18*1000</f>
        <v>-36.186371999999999</v>
      </c>
      <c r="Y18" s="14">
        <f>'Range 1'!M18</f>
        <v>19085</v>
      </c>
      <c r="Z18" s="94">
        <f t="shared" si="6"/>
        <v>-58.771747154389502</v>
      </c>
      <c r="AA18" s="101">
        <f t="shared" si="7"/>
        <v>22.585375154389503</v>
      </c>
      <c r="AB18" s="136">
        <f t="shared" si="8"/>
        <v>0.22585375154389503</v>
      </c>
      <c r="AC18" s="136">
        <f t="shared" si="9"/>
        <v>0.22139607579426482</v>
      </c>
      <c r="AD18" s="13">
        <f>'Range 2'!L18*1000</f>
        <v>-5.8354835000000005</v>
      </c>
      <c r="AE18" s="13">
        <f>'Range 2'!M18</f>
        <v>19084</v>
      </c>
      <c r="AF18" s="77">
        <f t="shared" si="10"/>
        <v>-5.8768667681130164</v>
      </c>
      <c r="AG18" s="85">
        <f t="shared" si="11"/>
        <v>4.1383268113015959E-2</v>
      </c>
      <c r="AH18" s="139">
        <f t="shared" si="12"/>
        <v>4.1383268113015957E-3</v>
      </c>
      <c r="AI18" s="139">
        <f t="shared" si="13"/>
        <v>2.8855420573519196E-4</v>
      </c>
      <c r="AJ18" s="14">
        <f>'Range 3'!L18*1000</f>
        <v>-0.58360000000000001</v>
      </c>
      <c r="AK18" s="14">
        <f>'Range 3'!M18</f>
        <v>19083</v>
      </c>
      <c r="AL18" s="94">
        <f t="shared" si="14"/>
        <v>-0.58765588207870834</v>
      </c>
      <c r="AM18" s="101">
        <f t="shared" si="15"/>
        <v>4.0558820787083283E-3</v>
      </c>
      <c r="AN18" s="136">
        <f t="shared" si="16"/>
        <v>4.0558820787083283E-3</v>
      </c>
      <c r="AO18" s="136">
        <f t="shared" si="17"/>
        <v>3.4020420573521726E-4</v>
      </c>
      <c r="AP18" s="13">
        <f>'Range 4'!L18*1000</f>
        <v>-5.8349999999999999E-2</v>
      </c>
      <c r="AQ18" s="13">
        <f>'Range 4'!M18</f>
        <v>19083</v>
      </c>
      <c r="AR18" s="77">
        <f t="shared" si="18"/>
        <v>-5.8765588207870839E-2</v>
      </c>
      <c r="AS18" s="85">
        <f t="shared" si="19"/>
        <v>4.1558820787084005E-4</v>
      </c>
      <c r="AT18" s="113">
        <f t="shared" si="34"/>
        <v>4.1558820787084005E-3</v>
      </c>
      <c r="AU18" s="113">
        <f t="shared" si="20"/>
        <v>2.4020420573513113E-4</v>
      </c>
      <c r="AV18" s="14">
        <f>'Range 5'!L18*1000</f>
        <v>-5.8390000000000004E-3</v>
      </c>
      <c r="AW18" s="14">
        <f>'Range 5'!M18</f>
        <v>19085</v>
      </c>
      <c r="AX18" s="94">
        <f t="shared" si="21"/>
        <v>-5.8427232946608194E-3</v>
      </c>
      <c r="AY18" s="101">
        <f t="shared" si="22"/>
        <v>3.7232946608189293E-6</v>
      </c>
      <c r="AZ18" s="109">
        <f t="shared" si="35"/>
        <v>3.7232946608189293E-6</v>
      </c>
      <c r="BA18" s="109">
        <f t="shared" si="23"/>
        <v>6.4020420573523626E-4</v>
      </c>
      <c r="BB18" s="13">
        <f>'Range 6'!L18*1000</f>
        <v>-5.8370000000000004E-4</v>
      </c>
      <c r="BC18" s="13">
        <f>'Range 6'!M18</f>
        <v>19083</v>
      </c>
      <c r="BD18" s="77">
        <f t="shared" si="24"/>
        <v>-5.8315982208646247E-4</v>
      </c>
      <c r="BE18" s="85">
        <f t="shared" si="25"/>
        <v>5.4017791353757217E-7</v>
      </c>
      <c r="BF18" s="113">
        <f t="shared" si="36"/>
        <v>5.4017791353757217E-7</v>
      </c>
      <c r="BG18" s="113">
        <f t="shared" si="26"/>
        <v>4.4020420573520971E-4</v>
      </c>
      <c r="BH18" s="14">
        <f>'Range 7'!L18*1000</f>
        <v>-5.6990000000000002E-5</v>
      </c>
      <c r="BI18" s="14">
        <f>'Range 7'!M18</f>
        <v>19082</v>
      </c>
      <c r="BJ18" s="94">
        <f t="shared" si="27"/>
        <v>-5.7862718503702081E-5</v>
      </c>
      <c r="BK18" s="101">
        <f t="shared" si="28"/>
        <v>8.7271850370207937E-7</v>
      </c>
      <c r="BL18" s="109">
        <f t="shared" si="37"/>
        <v>8.7271850370207937E-7</v>
      </c>
      <c r="BM18" s="109">
        <f t="shared" si="29"/>
        <v>1.3359795794264787E-2</v>
      </c>
    </row>
    <row r="19" spans="1:65" x14ac:dyDescent="0.3">
      <c r="A19" s="11">
        <v>18</v>
      </c>
      <c r="B19" s="11">
        <v>3500</v>
      </c>
      <c r="C19" s="11">
        <v>18900</v>
      </c>
      <c r="D19" s="11">
        <f>IF(Connect!G$1=Internal!A$2,Data!B19,Data!C19)</f>
        <v>18900</v>
      </c>
      <c r="E19" s="58">
        <v>18900</v>
      </c>
      <c r="F19" s="12">
        <f>Voltage!L19</f>
        <v>-6.8833469000000003</v>
      </c>
      <c r="G19" s="124">
        <f t="shared" si="41"/>
        <v>10.602133013320802</v>
      </c>
      <c r="H19" s="12">
        <f>Voltage!M19</f>
        <v>18777</v>
      </c>
      <c r="J19" s="12">
        <f>Voltage!N19</f>
        <v>22527</v>
      </c>
      <c r="K19" s="82">
        <f t="shared" si="39"/>
        <v>-6.8746952466</v>
      </c>
      <c r="L19" s="79">
        <f t="shared" si="30"/>
        <v>8.651653400000292E-3</v>
      </c>
      <c r="M19" s="127">
        <f t="shared" si="1"/>
        <v>1.2568963217588658E-3</v>
      </c>
      <c r="N19" s="12">
        <f>Voltage!O19</f>
        <v>8986</v>
      </c>
      <c r="O19" s="82">
        <f t="shared" si="40"/>
        <v>6.8640172047999997</v>
      </c>
      <c r="P19" s="106">
        <f t="shared" si="31"/>
        <v>13.747364104799999</v>
      </c>
      <c r="Q19" s="127">
        <f t="shared" si="32"/>
        <v>1.9971918173701224</v>
      </c>
      <c r="R19" s="13">
        <f>'Range 0'!L19*1000</f>
        <v>-668.3330400000001</v>
      </c>
      <c r="S19" s="13">
        <f>'Range 0'!M19</f>
        <v>22257</v>
      </c>
      <c r="T19" s="85">
        <f t="shared" si="33"/>
        <v>-685.3983633299697</v>
      </c>
      <c r="U19" s="85">
        <f t="shared" si="3"/>
        <v>17.065323329969601</v>
      </c>
      <c r="V19" s="132">
        <f t="shared" si="4"/>
        <v>1.7065323329969601E-2</v>
      </c>
      <c r="W19" s="132">
        <f t="shared" si="5"/>
        <v>1.2136721759975558E-2</v>
      </c>
      <c r="X19" s="14">
        <f>'Range 1'!L19*1000</f>
        <v>-42.184694999999998</v>
      </c>
      <c r="Y19" s="14">
        <f>'Range 1'!M19</f>
        <v>22250</v>
      </c>
      <c r="Z19" s="94">
        <f t="shared" si="6"/>
        <v>-68.518280020181635</v>
      </c>
      <c r="AA19" s="101">
        <f t="shared" si="7"/>
        <v>26.333585020181637</v>
      </c>
      <c r="AB19" s="136">
        <f t="shared" si="8"/>
        <v>0.26333585020181638</v>
      </c>
      <c r="AC19" s="136">
        <f t="shared" si="9"/>
        <v>0.25862281175997559</v>
      </c>
      <c r="AD19" s="13">
        <f>'Range 2'!L19*1000</f>
        <v>-6.8031901999999995</v>
      </c>
      <c r="AE19" s="13">
        <f>'Range 2'!M19</f>
        <v>22250</v>
      </c>
      <c r="AF19" s="77">
        <f t="shared" si="10"/>
        <v>-6.8518280020181628</v>
      </c>
      <c r="AG19" s="85">
        <f t="shared" si="11"/>
        <v>4.8637802018163256E-2</v>
      </c>
      <c r="AH19" s="139">
        <f t="shared" si="12"/>
        <v>4.8637802018163256E-3</v>
      </c>
      <c r="AI19" s="139">
        <f t="shared" si="13"/>
        <v>1.5074175997566996E-4</v>
      </c>
      <c r="AJ19" s="14">
        <f>'Range 3'!L19*1000</f>
        <v>-0.6804</v>
      </c>
      <c r="AK19" s="14">
        <f>'Range 3'!M19</f>
        <v>22249</v>
      </c>
      <c r="AL19" s="94">
        <f t="shared" si="14"/>
        <v>-0.68515200546922295</v>
      </c>
      <c r="AM19" s="101">
        <f t="shared" si="15"/>
        <v>4.7520054692229419E-3</v>
      </c>
      <c r="AN19" s="136">
        <f t="shared" si="16"/>
        <v>4.7520054692229419E-3</v>
      </c>
      <c r="AO19" s="136">
        <f t="shared" si="17"/>
        <v>6.9761759975639492E-5</v>
      </c>
      <c r="AP19" s="13">
        <f>'Range 4'!L19*1000</f>
        <v>-6.8029999999999993E-2</v>
      </c>
      <c r="AQ19" s="13">
        <f>'Range 4'!M19</f>
        <v>22249</v>
      </c>
      <c r="AR19" s="77">
        <f t="shared" si="18"/>
        <v>-6.8515200546922297E-2</v>
      </c>
      <c r="AS19" s="85">
        <f t="shared" si="19"/>
        <v>4.8520054692230419E-4</v>
      </c>
      <c r="AT19" s="113">
        <f t="shared" si="34"/>
        <v>4.8520054692230419E-3</v>
      </c>
      <c r="AU19" s="113">
        <f t="shared" si="20"/>
        <v>1.6976175997579501E-4</v>
      </c>
      <c r="AV19" s="14">
        <f>'Range 5'!L19*1000</f>
        <v>-6.8059999999999996E-3</v>
      </c>
      <c r="AW19" s="14">
        <f>'Range 5'!M19</f>
        <v>22250</v>
      </c>
      <c r="AX19" s="94">
        <f t="shared" si="21"/>
        <v>-6.8115611653433621E-3</v>
      </c>
      <c r="AY19" s="101">
        <f t="shared" si="22"/>
        <v>5.5611653433625466E-6</v>
      </c>
      <c r="AZ19" s="109">
        <f t="shared" si="35"/>
        <v>5.5611653433625466E-6</v>
      </c>
      <c r="BA19" s="109">
        <f t="shared" si="23"/>
        <v>1.3023824002433154E-4</v>
      </c>
      <c r="BB19" s="13">
        <f>'Range 6'!L19*1000</f>
        <v>-6.8050000000000001E-4</v>
      </c>
      <c r="BC19" s="13">
        <f>'Range 6'!M19</f>
        <v>22249</v>
      </c>
      <c r="BD19" s="77">
        <f t="shared" si="24"/>
        <v>-6.7990566506738221E-4</v>
      </c>
      <c r="BE19" s="85">
        <f t="shared" si="25"/>
        <v>5.9433493261780174E-7</v>
      </c>
      <c r="BF19" s="113">
        <f t="shared" si="36"/>
        <v>5.9433493261780174E-7</v>
      </c>
      <c r="BG19" s="113">
        <f t="shared" si="26"/>
        <v>3.0238240024426689E-5</v>
      </c>
      <c r="BH19" s="14">
        <f>'Range 7'!L19*1000</f>
        <v>-6.7889999999999989E-5</v>
      </c>
      <c r="BI19" s="14">
        <f>'Range 7'!M19</f>
        <v>22248</v>
      </c>
      <c r="BJ19" s="94">
        <f t="shared" si="27"/>
        <v>-6.749687988991873E-5</v>
      </c>
      <c r="BK19" s="101">
        <f t="shared" si="28"/>
        <v>3.931201100812584E-7</v>
      </c>
      <c r="BL19" s="109">
        <f t="shared" si="37"/>
        <v>3.931201100812584E-7</v>
      </c>
      <c r="BM19" s="109">
        <f t="shared" si="29"/>
        <v>1.5697617599756935E-3</v>
      </c>
    </row>
    <row r="20" spans="1:65" x14ac:dyDescent="0.3">
      <c r="A20" s="11">
        <v>19</v>
      </c>
      <c r="B20" s="11">
        <v>4000</v>
      </c>
      <c r="C20" s="11">
        <v>21600</v>
      </c>
      <c r="D20" s="11">
        <f>IF(Connect!G$1=Internal!A$2,Data!B20,Data!C20)</f>
        <v>21600</v>
      </c>
      <c r="E20" s="58">
        <v>21600</v>
      </c>
      <c r="F20" s="12">
        <f>Voltage!L20</f>
        <v>-7.8602223000000002</v>
      </c>
      <c r="G20" s="124">
        <f t="shared" si="41"/>
        <v>5.656852015222924</v>
      </c>
      <c r="H20" s="12">
        <f>Voltage!M20</f>
        <v>21442</v>
      </c>
      <c r="J20" s="12">
        <f>Voltage!N20</f>
        <v>25727</v>
      </c>
      <c r="K20" s="82">
        <f t="shared" si="39"/>
        <v>-7.8512578065999996</v>
      </c>
      <c r="L20" s="79">
        <f t="shared" si="30"/>
        <v>8.964493400000606E-3</v>
      </c>
      <c r="M20" s="127">
        <f t="shared" si="1"/>
        <v>1.1404885330025087E-3</v>
      </c>
      <c r="N20" s="12">
        <f>Voltage!O20</f>
        <v>10261</v>
      </c>
      <c r="O20" s="82">
        <f t="shared" si="40"/>
        <v>7.8379346247999999</v>
      </c>
      <c r="P20" s="106">
        <f t="shared" si="31"/>
        <v>15.698156924799999</v>
      </c>
      <c r="Q20" s="127">
        <f t="shared" si="32"/>
        <v>1.9971644981084058</v>
      </c>
      <c r="R20" s="13">
        <f>'Range 0'!L20*1000</f>
        <v>-763.28138000000001</v>
      </c>
      <c r="S20" s="13">
        <f>'Range 0'!M20</f>
        <v>25421</v>
      </c>
      <c r="T20" s="85">
        <f t="shared" si="33"/>
        <v>-782.83289725529767</v>
      </c>
      <c r="U20" s="85">
        <f t="shared" si="3"/>
        <v>19.551517255297654</v>
      </c>
      <c r="V20" s="132">
        <f t="shared" si="4"/>
        <v>1.9551517255297655E-2</v>
      </c>
      <c r="W20" s="132">
        <f t="shared" si="5"/>
        <v>1.4398347725686335E-2</v>
      </c>
      <c r="X20" s="14">
        <f>'Range 1'!L20*1000</f>
        <v>-48.176139999999997</v>
      </c>
      <c r="Y20" s="14">
        <f>'Range 1'!M20</f>
        <v>25413</v>
      </c>
      <c r="Z20" s="94">
        <f t="shared" si="6"/>
        <v>-78.258653939455101</v>
      </c>
      <c r="AA20" s="101">
        <f t="shared" si="7"/>
        <v>30.082513939455104</v>
      </c>
      <c r="AB20" s="136">
        <f t="shared" si="8"/>
        <v>0.30082513939455102</v>
      </c>
      <c r="AC20" s="136">
        <f t="shared" si="9"/>
        <v>0.29591832772568644</v>
      </c>
      <c r="AD20" s="13">
        <f>'Range 2'!L20*1000</f>
        <v>-7.7700449999999996</v>
      </c>
      <c r="AE20" s="13">
        <f>'Range 2'!M20</f>
        <v>25412</v>
      </c>
      <c r="AF20" s="77">
        <f t="shared" si="10"/>
        <v>-7.8255574466195768</v>
      </c>
      <c r="AG20" s="85">
        <f t="shared" si="11"/>
        <v>5.5512446619577105E-2</v>
      </c>
      <c r="AH20" s="139">
        <f t="shared" si="12"/>
        <v>5.5512446619577103E-3</v>
      </c>
      <c r="AI20" s="139">
        <f t="shared" si="13"/>
        <v>6.7522772568651135E-4</v>
      </c>
      <c r="AJ20" s="14">
        <f>'Range 3'!L20*1000</f>
        <v>-0.77710000000000001</v>
      </c>
      <c r="AK20" s="14">
        <f>'Range 3'!M20</f>
        <v>25411</v>
      </c>
      <c r="AL20" s="94">
        <f t="shared" si="14"/>
        <v>-0.78252494992936428</v>
      </c>
      <c r="AM20" s="101">
        <f t="shared" si="15"/>
        <v>5.4249499293642645E-3</v>
      </c>
      <c r="AN20" s="136">
        <f t="shared" si="16"/>
        <v>5.4249499293642645E-3</v>
      </c>
      <c r="AO20" s="136">
        <f t="shared" si="17"/>
        <v>5.7972772568637421E-4</v>
      </c>
      <c r="AP20" s="13">
        <f>'Range 4'!L20*1000</f>
        <v>-7.7700000000000005E-2</v>
      </c>
      <c r="AQ20" s="13">
        <f>'Range 4'!M20</f>
        <v>25411</v>
      </c>
      <c r="AR20" s="77">
        <f t="shared" si="18"/>
        <v>-7.8252494992936433E-2</v>
      </c>
      <c r="AS20" s="85">
        <f t="shared" si="19"/>
        <v>5.5249499293642812E-4</v>
      </c>
      <c r="AT20" s="113">
        <f t="shared" si="34"/>
        <v>5.5249499293642812E-3</v>
      </c>
      <c r="AU20" s="113">
        <f t="shared" si="20"/>
        <v>6.7972772568647422E-4</v>
      </c>
      <c r="AV20" s="14">
        <f>'Range 5'!L20*1000</f>
        <v>-7.7740000000000005E-3</v>
      </c>
      <c r="AW20" s="14">
        <f>'Range 5'!M20</f>
        <v>25413</v>
      </c>
      <c r="AX20" s="94">
        <f t="shared" si="21"/>
        <v>-7.7797868162024081E-3</v>
      </c>
      <c r="AY20" s="101">
        <f t="shared" si="22"/>
        <v>5.7868162024075562E-6</v>
      </c>
      <c r="AZ20" s="109">
        <f t="shared" si="35"/>
        <v>5.7868162024075562E-6</v>
      </c>
      <c r="BA20" s="109">
        <f t="shared" si="23"/>
        <v>2.7972772568638643E-4</v>
      </c>
      <c r="BB20" s="13">
        <f>'Range 6'!L20*1000</f>
        <v>-7.7729999999999997E-4</v>
      </c>
      <c r="BC20" s="13">
        <f>'Range 6'!M20</f>
        <v>25411</v>
      </c>
      <c r="BD20" s="77">
        <f t="shared" si="24"/>
        <v>-7.765292770401137E-4</v>
      </c>
      <c r="BE20" s="85">
        <f t="shared" si="25"/>
        <v>7.7072295988627349E-7</v>
      </c>
      <c r="BF20" s="113">
        <f t="shared" si="36"/>
        <v>7.7072295988627349E-7</v>
      </c>
      <c r="BG20" s="113">
        <f t="shared" si="26"/>
        <v>3.7972772568646476E-4</v>
      </c>
      <c r="BH20" s="14">
        <f>'Range 7'!L20*1000</f>
        <v>-7.771E-5</v>
      </c>
      <c r="BI20" s="14">
        <f>'Range 7'!M20</f>
        <v>25410</v>
      </c>
      <c r="BJ20" s="94">
        <f t="shared" si="27"/>
        <v>-7.7118869246588679E-5</v>
      </c>
      <c r="BK20" s="101">
        <f t="shared" si="28"/>
        <v>5.9113075341132111E-7</v>
      </c>
      <c r="BL20" s="109">
        <f t="shared" si="37"/>
        <v>5.9113075341132111E-7</v>
      </c>
      <c r="BM20" s="109">
        <f t="shared" si="29"/>
        <v>5.7972772568649672E-4</v>
      </c>
    </row>
    <row r="21" spans="1:65" x14ac:dyDescent="0.3">
      <c r="A21" s="11">
        <v>20</v>
      </c>
      <c r="B21" s="11">
        <v>4500</v>
      </c>
      <c r="C21" s="11">
        <v>24300</v>
      </c>
      <c r="D21" s="11">
        <f>IF(Connect!G$1=Internal!A$2,Data!B21,Data!C21)</f>
        <v>24300</v>
      </c>
      <c r="E21" s="58">
        <v>24300</v>
      </c>
      <c r="F21" s="12">
        <f>Voltage!L21</f>
        <v>-8.8377996999999997</v>
      </c>
      <c r="G21" s="124">
        <f t="shared" si="41"/>
        <v>1.4135710171263582</v>
      </c>
      <c r="H21" s="12">
        <f>Voltage!M21</f>
        <v>24109</v>
      </c>
      <c r="J21" s="12">
        <f>Voltage!N21</f>
        <v>28928</v>
      </c>
      <c r="K21" s="82">
        <f t="shared" si="39"/>
        <v>-8.8281255423999987</v>
      </c>
      <c r="L21" s="79">
        <f t="shared" si="30"/>
        <v>9.6741576000010099E-3</v>
      </c>
      <c r="M21" s="127">
        <f t="shared" si="1"/>
        <v>1.0946341768756098E-3</v>
      </c>
      <c r="N21" s="12">
        <f>Voltage!O21</f>
        <v>11538</v>
      </c>
      <c r="O21" s="82">
        <f t="shared" si="40"/>
        <v>8.8133797584</v>
      </c>
      <c r="P21" s="106">
        <f t="shared" si="31"/>
        <v>17.651179458400001</v>
      </c>
      <c r="Q21" s="127">
        <f t="shared" si="32"/>
        <v>1.997236875418211</v>
      </c>
      <c r="R21" s="13">
        <f>'Range 0'!L21*1000</f>
        <v>-858.29082000000005</v>
      </c>
      <c r="S21" s="13">
        <f>'Range 0'!M21</f>
        <v>28585</v>
      </c>
      <c r="T21" s="85">
        <f t="shared" si="33"/>
        <v>-880.26743118062552</v>
      </c>
      <c r="U21" s="85">
        <f t="shared" si="3"/>
        <v>21.976611180625468</v>
      </c>
      <c r="V21" s="132">
        <f t="shared" si="4"/>
        <v>2.197661118062547E-2</v>
      </c>
      <c r="W21" s="132">
        <f t="shared" si="5"/>
        <v>1.6598873691397103E-2</v>
      </c>
      <c r="X21" s="14">
        <f>'Range 1'!L21*1000</f>
        <v>-54.170146000000003</v>
      </c>
      <c r="Y21" s="14">
        <f>'Range 1'!M21</f>
        <v>28577</v>
      </c>
      <c r="Z21" s="94">
        <f t="shared" si="6"/>
        <v>-88.002107331987887</v>
      </c>
      <c r="AA21" s="101">
        <f t="shared" si="7"/>
        <v>33.831961331987884</v>
      </c>
      <c r="AB21" s="136">
        <f t="shared" si="8"/>
        <v>0.33831961331987886</v>
      </c>
      <c r="AC21" s="136">
        <f t="shared" si="9"/>
        <v>0.33318823369139722</v>
      </c>
      <c r="AD21" s="13">
        <f>'Range 2'!L21*1000</f>
        <v>-8.7375413000000002</v>
      </c>
      <c r="AE21" s="13">
        <f>'Range 2'!M21</f>
        <v>28577</v>
      </c>
      <c r="AF21" s="77">
        <f t="shared" si="10"/>
        <v>-8.8002107331987887</v>
      </c>
      <c r="AG21" s="85">
        <f t="shared" si="11"/>
        <v>6.2669433198788482E-2</v>
      </c>
      <c r="AH21" s="139">
        <f t="shared" si="12"/>
        <v>6.2669433198788479E-3</v>
      </c>
      <c r="AI21" s="139">
        <f t="shared" si="13"/>
        <v>1.1355636913972234E-3</v>
      </c>
      <c r="AJ21" s="14">
        <f>'Range 3'!L21*1000</f>
        <v>-0.87380000000000002</v>
      </c>
      <c r="AK21" s="14">
        <f>'Range 3'!M21</f>
        <v>28575</v>
      </c>
      <c r="AL21" s="94">
        <f t="shared" si="14"/>
        <v>-0.87995948385469214</v>
      </c>
      <c r="AM21" s="101">
        <f t="shared" si="15"/>
        <v>6.159483854692116E-3</v>
      </c>
      <c r="AN21" s="136">
        <f t="shared" si="16"/>
        <v>6.159483854692116E-3</v>
      </c>
      <c r="AO21" s="136">
        <f t="shared" si="17"/>
        <v>1.0896936913972199E-3</v>
      </c>
      <c r="AP21" s="13">
        <f>'Range 4'!L21*1000</f>
        <v>-8.7370000000000003E-2</v>
      </c>
      <c r="AQ21" s="13">
        <f>'Range 4'!M21</f>
        <v>28575</v>
      </c>
      <c r="AR21" s="77">
        <f t="shared" si="18"/>
        <v>-8.7995948385469216E-2</v>
      </c>
      <c r="AS21" s="85">
        <f t="shared" si="19"/>
        <v>6.2594838546921328E-4</v>
      </c>
      <c r="AT21" s="113">
        <f t="shared" si="34"/>
        <v>6.2594838546921328E-3</v>
      </c>
      <c r="AU21" s="113">
        <f t="shared" si="20"/>
        <v>1.1896936913972922E-3</v>
      </c>
      <c r="AV21" s="14">
        <f>'Range 5'!L21*1000</f>
        <v>-8.7419999999999998E-3</v>
      </c>
      <c r="AW21" s="14">
        <f>'Range 5'!M21</f>
        <v>28577</v>
      </c>
      <c r="AX21" s="94">
        <f t="shared" si="21"/>
        <v>-8.7483185769732033E-3</v>
      </c>
      <c r="AY21" s="101">
        <f t="shared" si="22"/>
        <v>6.3185769732035379E-6</v>
      </c>
      <c r="AZ21" s="109">
        <f t="shared" si="35"/>
        <v>6.3185769732035379E-6</v>
      </c>
      <c r="BA21" s="109">
        <f t="shared" si="23"/>
        <v>6.8969369139727787E-4</v>
      </c>
      <c r="BB21" s="13">
        <f>'Range 6'!L21*1000</f>
        <v>-8.7410000000000005E-4</v>
      </c>
      <c r="BC21" s="13">
        <f>'Range 6'!M21</f>
        <v>28576</v>
      </c>
      <c r="BD21" s="77">
        <f t="shared" si="24"/>
        <v>-8.7324456226898649E-4</v>
      </c>
      <c r="BE21" s="85">
        <f t="shared" si="25"/>
        <v>8.5543773101356361E-7</v>
      </c>
      <c r="BF21" s="113">
        <f t="shared" si="36"/>
        <v>8.5543773101356361E-7</v>
      </c>
      <c r="BG21" s="113">
        <f t="shared" si="26"/>
        <v>7.8969369139713936E-4</v>
      </c>
      <c r="BH21" s="14">
        <f>'Range 7'!L21*1000</f>
        <v>-8.6139999999999999E-5</v>
      </c>
      <c r="BI21" s="14">
        <f>'Range 7'!M21</f>
        <v>28575</v>
      </c>
      <c r="BJ21" s="94">
        <f t="shared" si="27"/>
        <v>-8.6749987625418654E-5</v>
      </c>
      <c r="BK21" s="101">
        <f t="shared" si="28"/>
        <v>6.0998762541865576E-7</v>
      </c>
      <c r="BL21" s="109">
        <f t="shared" si="37"/>
        <v>6.0998762541865576E-7</v>
      </c>
      <c r="BM21" s="109">
        <f t="shared" si="29"/>
        <v>1.3489693691397285E-2</v>
      </c>
    </row>
    <row r="22" spans="1:65" s="26" customFormat="1" x14ac:dyDescent="0.3">
      <c r="A22" s="22">
        <v>21</v>
      </c>
      <c r="B22" s="22">
        <v>5000</v>
      </c>
      <c r="C22" s="22">
        <v>27000</v>
      </c>
      <c r="D22" s="22">
        <f>IF(Connect!G$1=Internal!A$2,Data!B22,Data!C22)</f>
        <v>27000</v>
      </c>
      <c r="E22" s="60">
        <v>27000</v>
      </c>
      <c r="F22" s="23">
        <f>Voltage!L22</f>
        <v>-9.8152307000000008</v>
      </c>
      <c r="G22" s="126">
        <f t="shared" si="41"/>
        <v>-2.9761099809704206</v>
      </c>
      <c r="H22" s="23">
        <f>Voltage!M22</f>
        <v>26776</v>
      </c>
      <c r="I22" s="23"/>
      <c r="J22" s="23">
        <f>Voltage!N22</f>
        <v>32129</v>
      </c>
      <c r="K22" s="84">
        <f t="shared" si="39"/>
        <v>-9.8049932781999996</v>
      </c>
      <c r="L22" s="81">
        <f t="shared" si="30"/>
        <v>1.0237421800001201E-2</v>
      </c>
      <c r="M22" s="129">
        <f t="shared" si="1"/>
        <v>1.0430138743454294E-3</v>
      </c>
      <c r="N22" s="23">
        <f>Voltage!O22</f>
        <v>12814</v>
      </c>
      <c r="O22" s="84">
        <f t="shared" si="40"/>
        <v>9.7880610352000001</v>
      </c>
      <c r="P22" s="108">
        <f t="shared" si="31"/>
        <v>19.603291735200003</v>
      </c>
      <c r="Q22" s="129">
        <f t="shared" si="32"/>
        <v>1.9972318872953236</v>
      </c>
      <c r="R22" s="24">
        <f>'Range 0'!L22*1000</f>
        <v>-953.26</v>
      </c>
      <c r="S22" s="24">
        <f>'Range 0'!M22</f>
        <v>31751</v>
      </c>
      <c r="T22" s="87">
        <f t="shared" si="33"/>
        <v>-977.76355457114028</v>
      </c>
      <c r="U22" s="87">
        <f t="shared" si="3"/>
        <v>24.503554571140285</v>
      </c>
      <c r="V22" s="133">
        <f t="shared" si="4"/>
        <v>2.4503554571140285E-2</v>
      </c>
      <c r="W22" s="133">
        <f t="shared" si="5"/>
        <v>1.8839659657107974E-2</v>
      </c>
      <c r="X22" s="25">
        <f>'Range 1'!L22*1000</f>
        <v>-60.160975999999998</v>
      </c>
      <c r="Y22" s="25">
        <f>'Range 1'!M22</f>
        <v>31741</v>
      </c>
      <c r="Z22" s="96">
        <f t="shared" si="6"/>
        <v>-97.745560724520672</v>
      </c>
      <c r="AA22" s="103">
        <f t="shared" si="7"/>
        <v>37.584584724520674</v>
      </c>
      <c r="AB22" s="138">
        <f t="shared" si="8"/>
        <v>0.37584584724520675</v>
      </c>
      <c r="AC22" s="138">
        <f t="shared" si="9"/>
        <v>0.3704898996571081</v>
      </c>
      <c r="AD22" s="24">
        <f>'Range 2'!L22*1000</f>
        <v>-9.7048290000000001</v>
      </c>
      <c r="AE22" s="24">
        <f>'Range 2'!M22</f>
        <v>31740</v>
      </c>
      <c r="AF22" s="91">
        <f t="shared" si="10"/>
        <v>-9.7742481251261353</v>
      </c>
      <c r="AG22" s="87">
        <f t="shared" si="11"/>
        <v>6.9419125126135128E-2</v>
      </c>
      <c r="AH22" s="141">
        <f t="shared" si="12"/>
        <v>6.941912512613513E-3</v>
      </c>
      <c r="AI22" s="141">
        <f t="shared" si="13"/>
        <v>1.6167596571079912E-3</v>
      </c>
      <c r="AJ22" s="25">
        <f>'Range 3'!L22*1000</f>
        <v>-0.97059999999999991</v>
      </c>
      <c r="AK22" s="25">
        <f>'Range 3'!M22</f>
        <v>31739</v>
      </c>
      <c r="AL22" s="96">
        <f t="shared" si="14"/>
        <v>-0.97739401778002</v>
      </c>
      <c r="AM22" s="103">
        <f t="shared" si="15"/>
        <v>6.7940177800200896E-3</v>
      </c>
      <c r="AN22" s="138">
        <f t="shared" si="16"/>
        <v>6.7940177800200896E-3</v>
      </c>
      <c r="AO22" s="138">
        <f t="shared" si="17"/>
        <v>1.4996596571080767E-3</v>
      </c>
      <c r="AP22" s="24">
        <f>'Range 4'!L22*1000</f>
        <v>-9.7040000000000001E-2</v>
      </c>
      <c r="AQ22" s="24">
        <f>'Range 4'!M22</f>
        <v>31738</v>
      </c>
      <c r="AR22" s="91">
        <f t="shared" si="18"/>
        <v>-9.7736322304742676E-2</v>
      </c>
      <c r="AS22" s="87">
        <f t="shared" si="19"/>
        <v>6.9632230474267476E-4</v>
      </c>
      <c r="AT22" s="115">
        <f t="shared" si="34"/>
        <v>6.9632230474267476E-3</v>
      </c>
      <c r="AU22" s="115">
        <f t="shared" si="20"/>
        <v>1.6996596571081102E-3</v>
      </c>
      <c r="AV22" s="25">
        <f>'Range 5'!L22*1000</f>
        <v>-9.7089999999999989E-3</v>
      </c>
      <c r="AW22" s="25">
        <f>'Range 5'!M22</f>
        <v>31740</v>
      </c>
      <c r="AX22" s="96">
        <f t="shared" si="21"/>
        <v>-9.7165442278322502E-3</v>
      </c>
      <c r="AY22" s="103">
        <f t="shared" si="22"/>
        <v>7.5442278322512824E-6</v>
      </c>
      <c r="AZ22" s="111">
        <f t="shared" si="35"/>
        <v>7.5442278322512824E-6</v>
      </c>
      <c r="BA22" s="111">
        <f t="shared" si="23"/>
        <v>1.1996596571080959E-3</v>
      </c>
      <c r="BB22" s="24">
        <f>'Range 6'!L22*1000</f>
        <v>-9.7100000000000007E-4</v>
      </c>
      <c r="BC22" s="24">
        <f>'Range 6'!M22</f>
        <v>31739</v>
      </c>
      <c r="BD22" s="91">
        <f t="shared" si="24"/>
        <v>-9.6989873199376493E-4</v>
      </c>
      <c r="BE22" s="87">
        <f t="shared" si="25"/>
        <v>1.1012680062351399E-6</v>
      </c>
      <c r="BF22" s="115">
        <f t="shared" si="36"/>
        <v>1.1012680062351399E-6</v>
      </c>
      <c r="BG22" s="115">
        <f t="shared" si="26"/>
        <v>1.0996596571079742E-3</v>
      </c>
      <c r="BH22" s="25">
        <f>'Range 7'!L22*1000</f>
        <v>-9.7E-5</v>
      </c>
      <c r="BI22" s="25">
        <f>'Range 7'!M22</f>
        <v>31738</v>
      </c>
      <c r="BJ22" s="96">
        <f t="shared" si="27"/>
        <v>-9.6375019989475283E-5</v>
      </c>
      <c r="BK22" s="103">
        <f t="shared" si="28"/>
        <v>6.2498001052471665E-7</v>
      </c>
      <c r="BL22" s="111">
        <f t="shared" si="37"/>
        <v>6.2498001052471665E-7</v>
      </c>
      <c r="BM22" s="111">
        <f t="shared" si="29"/>
        <v>2.0996596571080527E-3</v>
      </c>
    </row>
    <row r="23" spans="1:65" s="30" customFormat="1" x14ac:dyDescent="0.3">
      <c r="A23" s="11"/>
      <c r="B23" s="11"/>
      <c r="C23" s="54"/>
      <c r="D23" s="54"/>
      <c r="E23" s="54"/>
      <c r="F23" s="27" t="str">
        <f>Voltage!B1</f>
        <v>hp34401a</v>
      </c>
      <c r="G23" s="27"/>
      <c r="H23" s="27"/>
      <c r="I23" s="27"/>
      <c r="J23" s="27"/>
      <c r="K23" s="27"/>
      <c r="L23" s="67"/>
      <c r="M23" s="67"/>
      <c r="N23" s="27"/>
      <c r="O23" s="67"/>
      <c r="P23" s="27"/>
      <c r="Q23" s="27"/>
      <c r="R23" s="28" t="str">
        <f>'Range 0'!B1</f>
        <v>hp34401a</v>
      </c>
      <c r="S23" s="28"/>
      <c r="T23" s="74"/>
      <c r="U23" s="74"/>
      <c r="V23" s="74"/>
      <c r="W23" s="74"/>
      <c r="X23" s="29" t="str">
        <f>'Range 1'!B1</f>
        <v>hp34401a</v>
      </c>
      <c r="Y23" s="29"/>
      <c r="Z23" s="97"/>
      <c r="AA23" s="97"/>
      <c r="AB23" s="97"/>
      <c r="AC23" s="97"/>
      <c r="AD23" s="28" t="str">
        <f>'Range 2'!$B$1</f>
        <v>hp34401a</v>
      </c>
      <c r="AE23" s="28"/>
      <c r="AF23" s="74"/>
      <c r="AG23" s="74"/>
      <c r="AH23" s="74"/>
      <c r="AI23" s="74"/>
      <c r="AJ23" s="29" t="str">
        <f>'Range 3'!$B$1</f>
        <v>keithley485</v>
      </c>
      <c r="AK23" s="29"/>
      <c r="AL23" s="97"/>
      <c r="AM23" s="97"/>
      <c r="AN23" s="97"/>
      <c r="AO23" s="97"/>
      <c r="AP23" s="28" t="str">
        <f>'Range 4'!$B$1</f>
        <v>keithley485</v>
      </c>
      <c r="AQ23" s="28"/>
      <c r="AR23" s="74"/>
      <c r="AS23" s="28"/>
      <c r="AT23" s="28"/>
      <c r="AU23" s="28"/>
      <c r="AV23" s="29" t="str">
        <f>'Range 5'!$B$1</f>
        <v>keithley485</v>
      </c>
      <c r="AW23" s="29"/>
      <c r="AX23" s="97"/>
      <c r="AY23" s="97"/>
      <c r="AZ23" s="97"/>
      <c r="BA23" s="97"/>
      <c r="BB23" s="28" t="str">
        <f>'Range 6'!$B$1</f>
        <v>keithley485</v>
      </c>
      <c r="BC23" s="28"/>
      <c r="BD23" s="74"/>
      <c r="BE23" s="74"/>
      <c r="BF23" s="74"/>
      <c r="BG23" s="74"/>
      <c r="BH23" s="29" t="str">
        <f>'Range 7'!$B$1</f>
        <v>keithley485</v>
      </c>
      <c r="BI23" s="29"/>
      <c r="BJ23" s="97"/>
      <c r="BK23" s="97"/>
      <c r="BL23" s="97"/>
      <c r="BM23" s="97"/>
    </row>
    <row r="24" spans="1:65" s="30" customFormat="1" x14ac:dyDescent="0.3">
      <c r="A24" s="11"/>
      <c r="B24" s="11"/>
      <c r="C24" s="54"/>
      <c r="D24" s="54"/>
      <c r="E24" s="54"/>
      <c r="F24" s="27"/>
      <c r="G24" s="27"/>
      <c r="H24" s="27"/>
      <c r="I24" s="27"/>
      <c r="J24" s="27"/>
      <c r="K24" s="27"/>
      <c r="L24" s="67"/>
      <c r="M24" s="67"/>
      <c r="N24" s="27"/>
      <c r="O24" s="67"/>
      <c r="P24" s="27"/>
      <c r="Q24" s="27"/>
      <c r="R24" s="28"/>
      <c r="S24" s="28"/>
      <c r="T24" s="74"/>
      <c r="U24" s="74"/>
      <c r="V24" s="74"/>
      <c r="W24" s="74"/>
      <c r="X24" s="29"/>
      <c r="Y24" s="29"/>
      <c r="Z24" s="97"/>
      <c r="AA24" s="97"/>
      <c r="AB24" s="97"/>
      <c r="AC24" s="97"/>
      <c r="AD24" s="28"/>
      <c r="AE24" s="28"/>
      <c r="AF24" s="74"/>
      <c r="AG24" s="74"/>
      <c r="AH24" s="74"/>
      <c r="AI24" s="74"/>
      <c r="AJ24" s="29"/>
      <c r="AK24" s="29"/>
      <c r="AL24" s="97"/>
      <c r="AM24" s="97"/>
      <c r="AN24" s="97"/>
      <c r="AO24" s="97"/>
      <c r="AP24" s="28"/>
      <c r="AQ24" s="28"/>
      <c r="AR24" s="74"/>
      <c r="AS24" s="28"/>
      <c r="AT24" s="28"/>
      <c r="AU24" s="28"/>
      <c r="AV24" s="29"/>
      <c r="AW24" s="29"/>
      <c r="AX24" s="97"/>
      <c r="AY24" s="97"/>
      <c r="AZ24" s="97"/>
      <c r="BA24" s="97"/>
      <c r="BB24" s="28"/>
      <c r="BC24" s="28"/>
      <c r="BD24" s="74"/>
      <c r="BE24" s="74"/>
      <c r="BF24" s="74"/>
      <c r="BG24" s="74"/>
      <c r="BH24" s="29"/>
      <c r="BI24" s="29"/>
      <c r="BJ24" s="97"/>
      <c r="BK24" s="97"/>
      <c r="BL24" s="97"/>
      <c r="BM24" s="97"/>
    </row>
    <row r="25" spans="1:65" s="35" customFormat="1" x14ac:dyDescent="0.3">
      <c r="A25" s="31"/>
      <c r="B25" s="31"/>
      <c r="C25" s="55"/>
      <c r="D25" s="55"/>
      <c r="E25" s="55"/>
      <c r="F25" s="32" t="s">
        <v>26</v>
      </c>
      <c r="G25" s="118" t="s">
        <v>26</v>
      </c>
      <c r="H25" s="32" t="s">
        <v>35</v>
      </c>
      <c r="I25" s="68" t="s">
        <v>35</v>
      </c>
      <c r="J25" s="32" t="s">
        <v>38</v>
      </c>
      <c r="K25" s="68" t="s">
        <v>38</v>
      </c>
      <c r="L25" s="32"/>
      <c r="M25" s="32"/>
      <c r="N25" s="32" t="s">
        <v>41</v>
      </c>
      <c r="O25" s="68" t="s">
        <v>41</v>
      </c>
      <c r="P25" s="32"/>
      <c r="Q25" s="32"/>
      <c r="R25" s="33" t="s">
        <v>29</v>
      </c>
      <c r="S25" s="121" t="s">
        <v>29</v>
      </c>
      <c r="T25" s="33" t="s">
        <v>44</v>
      </c>
      <c r="U25" s="75" t="s">
        <v>44</v>
      </c>
      <c r="V25" s="75"/>
      <c r="W25" s="75"/>
      <c r="X25" s="34" t="s">
        <v>29</v>
      </c>
      <c r="Y25" s="98" t="s">
        <v>29</v>
      </c>
      <c r="Z25" s="34" t="s">
        <v>44</v>
      </c>
      <c r="AA25" s="98" t="s">
        <v>44</v>
      </c>
      <c r="AB25" s="98"/>
      <c r="AC25" s="98"/>
      <c r="AD25" s="33" t="s">
        <v>29</v>
      </c>
      <c r="AE25" s="75" t="s">
        <v>29</v>
      </c>
      <c r="AF25" s="33" t="s">
        <v>44</v>
      </c>
      <c r="AG25" s="75" t="s">
        <v>44</v>
      </c>
      <c r="AH25" s="75"/>
      <c r="AI25" s="75"/>
      <c r="AJ25" s="34" t="s">
        <v>29</v>
      </c>
      <c r="AK25" s="98" t="s">
        <v>29</v>
      </c>
      <c r="AL25" s="34" t="s">
        <v>44</v>
      </c>
      <c r="AM25" s="98" t="s">
        <v>44</v>
      </c>
      <c r="AN25" s="98"/>
      <c r="AO25" s="98"/>
      <c r="AP25" s="33" t="s">
        <v>29</v>
      </c>
      <c r="AQ25" s="147" t="s">
        <v>29</v>
      </c>
      <c r="AR25" s="33" t="s">
        <v>44</v>
      </c>
      <c r="AS25" s="75" t="s">
        <v>44</v>
      </c>
      <c r="AT25" s="33"/>
      <c r="AU25" s="33"/>
      <c r="AV25" s="34" t="s">
        <v>29</v>
      </c>
      <c r="AW25" s="147" t="s">
        <v>29</v>
      </c>
      <c r="AX25" s="34" t="s">
        <v>44</v>
      </c>
      <c r="AY25" s="98" t="s">
        <v>44</v>
      </c>
      <c r="AZ25" s="98"/>
      <c r="BA25" s="98"/>
      <c r="BB25" s="33" t="s">
        <v>29</v>
      </c>
      <c r="BC25" s="147" t="s">
        <v>29</v>
      </c>
      <c r="BD25" s="33" t="s">
        <v>44</v>
      </c>
      <c r="BE25" s="75" t="s">
        <v>44</v>
      </c>
      <c r="BF25" s="75"/>
      <c r="BG25" s="75"/>
      <c r="BH25" s="34" t="s">
        <v>29</v>
      </c>
      <c r="BI25" s="147" t="s">
        <v>29</v>
      </c>
      <c r="BJ25" s="34" t="s">
        <v>44</v>
      </c>
      <c r="BK25" s="98" t="s">
        <v>44</v>
      </c>
      <c r="BL25" s="98"/>
      <c r="BM25" s="98"/>
    </row>
    <row r="26" spans="1:65" s="30" customFormat="1" x14ac:dyDescent="0.3">
      <c r="A26" s="11"/>
      <c r="B26" s="11"/>
      <c r="C26" s="54"/>
      <c r="D26" s="54"/>
      <c r="E26" s="54"/>
      <c r="F26" s="27">
        <f>SLOPE($E2:$E12,F2:F12)</f>
        <v>-2762.6968752353414</v>
      </c>
      <c r="G26" s="119">
        <f>Calibrate!C13</f>
        <v>-2749.9929999999999</v>
      </c>
      <c r="H26" s="27">
        <f>SLOPE($F2:$F12,H2:H12)/Vgain</f>
        <v>-3.6655136294095876E-4</v>
      </c>
      <c r="I26" s="67">
        <f>Calibrate!C16</f>
        <v>3.6633329999999998E-4</v>
      </c>
      <c r="J26" s="27">
        <f>SLOPE($F2:$F12,J2:J12)/Vgain</f>
        <v>-3.0536732239694656E-4</v>
      </c>
      <c r="K26" s="67">
        <f>Calibrate!C19</f>
        <v>-3.0517579999999998E-4</v>
      </c>
      <c r="L26" s="27"/>
      <c r="M26" s="27"/>
      <c r="N26" s="27">
        <f>SLOPE($F2:$F12,N2:N12)/Vgain</f>
        <v>-7.6592463168086774E-4</v>
      </c>
      <c r="O26" s="67">
        <f>Calibrate!C22</f>
        <v>7.6385679999999999E-4</v>
      </c>
      <c r="P26" s="27"/>
      <c r="Q26" s="27"/>
      <c r="R26" s="28">
        <f>SLOPE($D2:$D12,R2:R12)</f>
        <v>-28.415104560192507</v>
      </c>
      <c r="S26" s="122">
        <f>Calibrate!C56</f>
        <v>-27.774930000000001</v>
      </c>
      <c r="T26" s="144">
        <f>SLOPE(R2:R12,S2:S12)*Igain</f>
        <v>-0.29760001211530213</v>
      </c>
      <c r="U26" s="74">
        <f>Calibrate!C32</f>
        <v>-0.3051758</v>
      </c>
      <c r="V26" s="74"/>
      <c r="W26" s="74"/>
      <c r="X26" s="29">
        <f>SLOPE($D2:$D12,X2:X12)</f>
        <v>-450.33662789321386</v>
      </c>
      <c r="Y26" s="97">
        <f>Calibrate!C57</f>
        <v>-277.74930000000001</v>
      </c>
      <c r="Z26" s="145">
        <f>SLOPE(X2:X12,Y2:Y12)*Igain</f>
        <v>-1.8782451181035862E-2</v>
      </c>
      <c r="AA26" s="97">
        <f>Calibrate!C33</f>
        <v>-3.0517579999999999E-2</v>
      </c>
      <c r="AB26" s="97"/>
      <c r="AC26" s="97"/>
      <c r="AD26" s="28">
        <f>SLOPE($D2:$D12,AD2:AD12)</f>
        <v>-2791.4229597738708</v>
      </c>
      <c r="AE26" s="74">
        <f>Calibrate!C58</f>
        <v>-2777.4929999999999</v>
      </c>
      <c r="AF26" s="144">
        <f>SLOPE(AD2:AD12,AE2:AE12)*Igain</f>
        <v>-3.0303051492499206E-3</v>
      </c>
      <c r="AG26" s="74">
        <f>Calibrate!C34</f>
        <v>-3.0517579999999999E-3</v>
      </c>
      <c r="AH26" s="74"/>
      <c r="AI26" s="74"/>
      <c r="AJ26" s="29">
        <f>SLOPE($D2:$D12,AJ2:AJ12)</f>
        <v>-27911.120076569499</v>
      </c>
      <c r="AK26" s="97">
        <f>Calibrate!C59</f>
        <v>-27774.93</v>
      </c>
      <c r="AL26" s="145">
        <f>SLOPE(AJ2:AJ12,AK2:AK12)*Igain</f>
        <v>-3.030485936183404E-4</v>
      </c>
      <c r="AM26" s="97">
        <f>Calibrate!C35</f>
        <v>-3.0517579999999998E-4</v>
      </c>
      <c r="AN26" s="97"/>
      <c r="AO26" s="97"/>
      <c r="AP26" s="28">
        <f>SLOPE($D2:$D12,AP2:AP12)</f>
        <v>-279108.83623091481</v>
      </c>
      <c r="AQ26" s="148">
        <f>Calibrate!C60</f>
        <v>-277749.3</v>
      </c>
      <c r="AR26" s="144">
        <f>SLOPE(AP2:AP12,AQ2:AQ12)*Igain</f>
        <v>-3.030598676196205E-5</v>
      </c>
      <c r="AS26" s="74">
        <f>Calibrate!C36</f>
        <v>-3.0517579999999999E-5</v>
      </c>
      <c r="AT26" s="28"/>
      <c r="AU26" s="28"/>
      <c r="AV26" s="29">
        <f>SLOPE($D2:$D12,AV2:AV12)</f>
        <v>-2788507.9526627134</v>
      </c>
      <c r="AW26" s="148">
        <f>Calibrate!C61</f>
        <v>-2777493</v>
      </c>
      <c r="AX26" s="145">
        <f>SLOPE(AV2:AV12,AW2:AW12)*Igain</f>
        <v>-3.0335492254230637E-6</v>
      </c>
      <c r="AY26" s="97">
        <f>Calibrate!C37</f>
        <v>-3.0517579999999998E-6</v>
      </c>
      <c r="AZ26" s="97"/>
      <c r="BA26" s="97"/>
      <c r="BB26" s="28">
        <f>SLOPE($D2:$D12,BB2:BB12)</f>
        <v>-27931501.204462372</v>
      </c>
      <c r="BC26" s="148">
        <f>Calibrate!C62</f>
        <v>-27774930</v>
      </c>
      <c r="BD26" s="28">
        <f>SLOPE(BB2:BB12,BC2:BC12)*Igain</f>
        <v>-3.0282732278613847E-7</v>
      </c>
      <c r="BE26" s="74">
        <f>Calibrate!C38</f>
        <v>-3.0517579999999999E-7</v>
      </c>
      <c r="BF26" s="74"/>
      <c r="BG26" s="74"/>
      <c r="BH26" s="29">
        <f>SLOPE($D2:$D12,BH2:BH12)</f>
        <v>-280343623.73731208</v>
      </c>
      <c r="BI26" s="148">
        <f>Calibrate!C63</f>
        <v>-277749300</v>
      </c>
      <c r="BJ26" s="29">
        <f>SLOPE(BH2:BH12,BI2:BI12)*Igain</f>
        <v>-3.0156203201960525E-8</v>
      </c>
      <c r="BK26" s="97">
        <f>Calibrate!C39</f>
        <v>-3.0517580000000001E-8</v>
      </c>
      <c r="BL26" s="97"/>
      <c r="BM26" s="97"/>
    </row>
    <row r="27" spans="1:65" s="30" customFormat="1" x14ac:dyDescent="0.3">
      <c r="A27" s="11"/>
      <c r="B27" s="11"/>
      <c r="C27" s="54"/>
      <c r="D27" s="54"/>
      <c r="E27" s="54"/>
      <c r="F27" s="27"/>
      <c r="G27" s="119"/>
      <c r="H27" s="27"/>
      <c r="I27" s="67"/>
      <c r="J27" s="27"/>
      <c r="K27" s="67"/>
      <c r="L27" s="27"/>
      <c r="M27" s="27"/>
      <c r="N27" s="27"/>
      <c r="O27" s="67"/>
      <c r="P27" s="27"/>
      <c r="Q27" s="27"/>
      <c r="R27" s="28"/>
      <c r="S27" s="122"/>
      <c r="T27" s="28"/>
      <c r="U27" s="74"/>
      <c r="V27" s="74"/>
      <c r="W27" s="74"/>
      <c r="X27" s="29"/>
      <c r="Y27" s="97"/>
      <c r="Z27" s="29"/>
      <c r="AA27" s="97"/>
      <c r="AB27" s="97"/>
      <c r="AC27" s="97"/>
      <c r="AD27" s="28"/>
      <c r="AE27" s="74"/>
      <c r="AF27" s="28"/>
      <c r="AG27" s="74"/>
      <c r="AH27" s="74"/>
      <c r="AI27" s="74"/>
      <c r="AJ27" s="29"/>
      <c r="AK27" s="97"/>
      <c r="AL27" s="29"/>
      <c r="AM27" s="97"/>
      <c r="AN27" s="97"/>
      <c r="AO27" s="97"/>
      <c r="AP27" s="28"/>
      <c r="AQ27" s="148"/>
      <c r="AR27" s="28"/>
      <c r="AS27" s="74"/>
      <c r="AT27" s="28"/>
      <c r="AU27" s="28"/>
      <c r="AV27" s="29"/>
      <c r="AW27" s="148"/>
      <c r="AX27" s="29"/>
      <c r="AY27" s="97"/>
      <c r="AZ27" s="97"/>
      <c r="BA27" s="97"/>
      <c r="BB27" s="28"/>
      <c r="BC27" s="148"/>
      <c r="BD27" s="28"/>
      <c r="BE27" s="74"/>
      <c r="BF27" s="74"/>
      <c r="BG27" s="74"/>
      <c r="BH27" s="29"/>
      <c r="BI27" s="148"/>
      <c r="BJ27" s="29"/>
      <c r="BK27" s="97"/>
      <c r="BL27" s="97"/>
      <c r="BM27" s="97"/>
    </row>
    <row r="28" spans="1:65" s="35" customFormat="1" x14ac:dyDescent="0.3">
      <c r="A28" s="31"/>
      <c r="B28" s="31"/>
      <c r="C28" s="55"/>
      <c r="D28" s="55"/>
      <c r="E28" s="55"/>
      <c r="F28" s="32" t="s">
        <v>25</v>
      </c>
      <c r="G28" s="118" t="s">
        <v>25</v>
      </c>
      <c r="H28" s="32" t="s">
        <v>34</v>
      </c>
      <c r="I28" s="68" t="s">
        <v>34</v>
      </c>
      <c r="J28" s="32" t="s">
        <v>37</v>
      </c>
      <c r="K28" s="68" t="s">
        <v>37</v>
      </c>
      <c r="L28" s="32"/>
      <c r="M28" s="32"/>
      <c r="N28" s="32" t="s">
        <v>40</v>
      </c>
      <c r="O28" s="68" t="s">
        <v>40</v>
      </c>
      <c r="P28" s="32"/>
      <c r="Q28" s="32"/>
      <c r="R28" s="33" t="s">
        <v>28</v>
      </c>
      <c r="S28" s="121" t="s">
        <v>28</v>
      </c>
      <c r="T28" s="33" t="s">
        <v>43</v>
      </c>
      <c r="U28" s="75" t="s">
        <v>43</v>
      </c>
      <c r="V28" s="75"/>
      <c r="W28" s="75"/>
      <c r="X28" s="34" t="s">
        <v>28</v>
      </c>
      <c r="Y28" s="98" t="s">
        <v>28</v>
      </c>
      <c r="Z28" s="34" t="s">
        <v>43</v>
      </c>
      <c r="AA28" s="98" t="s">
        <v>43</v>
      </c>
      <c r="AB28" s="98"/>
      <c r="AC28" s="98"/>
      <c r="AD28" s="33" t="s">
        <v>28</v>
      </c>
      <c r="AE28" s="75" t="s">
        <v>28</v>
      </c>
      <c r="AF28" s="33" t="s">
        <v>43</v>
      </c>
      <c r="AG28" s="75" t="s">
        <v>43</v>
      </c>
      <c r="AH28" s="75"/>
      <c r="AI28" s="75"/>
      <c r="AJ28" s="34" t="s">
        <v>28</v>
      </c>
      <c r="AK28" s="98" t="s">
        <v>28</v>
      </c>
      <c r="AL28" s="34" t="s">
        <v>43</v>
      </c>
      <c r="AM28" s="98" t="s">
        <v>43</v>
      </c>
      <c r="AN28" s="98"/>
      <c r="AO28" s="98"/>
      <c r="AP28" s="33" t="s">
        <v>28</v>
      </c>
      <c r="AQ28" s="147" t="s">
        <v>28</v>
      </c>
      <c r="AR28" s="33" t="s">
        <v>43</v>
      </c>
      <c r="AS28" s="75" t="s">
        <v>43</v>
      </c>
      <c r="AT28" s="33"/>
      <c r="AU28" s="33"/>
      <c r="AV28" s="34" t="s">
        <v>28</v>
      </c>
      <c r="AW28" s="147" t="s">
        <v>28</v>
      </c>
      <c r="AX28" s="34" t="s">
        <v>43</v>
      </c>
      <c r="AY28" s="98" t="s">
        <v>43</v>
      </c>
      <c r="AZ28" s="98"/>
      <c r="BA28" s="98"/>
      <c r="BB28" s="33" t="s">
        <v>28</v>
      </c>
      <c r="BC28" s="147" t="s">
        <v>28</v>
      </c>
      <c r="BD28" s="33" t="s">
        <v>43</v>
      </c>
      <c r="BE28" s="75" t="s">
        <v>43</v>
      </c>
      <c r="BF28" s="75"/>
      <c r="BG28" s="75"/>
      <c r="BH28" s="34" t="s">
        <v>28</v>
      </c>
      <c r="BI28" s="147" t="s">
        <v>28</v>
      </c>
      <c r="BJ28" s="34" t="s">
        <v>43</v>
      </c>
      <c r="BK28" s="98" t="s">
        <v>43</v>
      </c>
      <c r="BL28" s="98"/>
      <c r="BM28" s="98"/>
    </row>
    <row r="29" spans="1:65" s="30" customFormat="1" x14ac:dyDescent="0.3">
      <c r="A29" s="11"/>
      <c r="B29" s="11"/>
      <c r="C29" s="54"/>
      <c r="D29" s="54"/>
      <c r="E29" s="54"/>
      <c r="F29" s="27">
        <f>SLOPE($E12:$E22,F12:F22)</f>
        <v>-2762.5203619602312</v>
      </c>
      <c r="G29" s="119">
        <f>Calibrate!C12</f>
        <v>-2749.9929999999999</v>
      </c>
      <c r="H29" s="27">
        <f>SLOPE($F12:$F22,H12:H22)/Vgain</f>
        <v>-3.6655853609991214E-4</v>
      </c>
      <c r="I29" s="67">
        <f>Calibrate!C15</f>
        <v>3.6633329999999998E-4</v>
      </c>
      <c r="J29" s="27">
        <f>SLOPE($F12:$F22,J12:J22)/Vgain</f>
        <v>-3.0529664539437459E-4</v>
      </c>
      <c r="K29" s="67">
        <f>Calibrate!C18</f>
        <v>-3.0517579999999998E-4</v>
      </c>
      <c r="L29" s="27"/>
      <c r="M29" s="27"/>
      <c r="N29" s="27">
        <f>SLOPE($F12:$F22,N12:N22)/Vgain</f>
        <v>-7.6586989438679485E-4</v>
      </c>
      <c r="O29" s="67">
        <f>Calibrate!C21</f>
        <v>7.6385679999999999E-4</v>
      </c>
      <c r="P29" s="27"/>
      <c r="Q29" s="27"/>
      <c r="R29" s="28">
        <f>SLOPE($D12:$D22,R12:R22)</f>
        <v>-28.414184845457498</v>
      </c>
      <c r="S29" s="122">
        <f>Calibrate!C48</f>
        <v>-27.774930000000001</v>
      </c>
      <c r="T29" s="28">
        <f>SLOPE(R12:R22,S12:S22)*Igain</f>
        <v>-0.2975036581947253</v>
      </c>
      <c r="U29" s="74">
        <f>Calibrate!C24</f>
        <v>-0.3051758</v>
      </c>
      <c r="V29" s="74"/>
      <c r="W29" s="74"/>
      <c r="X29" s="29">
        <f>SLOPE($D12:$D22,X12:X22)</f>
        <v>-450.24480258820404</v>
      </c>
      <c r="Y29" s="97">
        <f>Calibrate!C49</f>
        <v>-277.74930000000001</v>
      </c>
      <c r="Z29" s="29">
        <f>SLOPE(X12:X22,Y12:Y22)*Igain</f>
        <v>-1.8780992078422508E-2</v>
      </c>
      <c r="AA29" s="97">
        <f>Calibrate!C25</f>
        <v>-3.0517579999999999E-2</v>
      </c>
      <c r="AB29" s="97"/>
      <c r="AC29" s="97"/>
      <c r="AD29" s="28">
        <f>SLOPE($D12:$D22,AD12:AD22)</f>
        <v>-2791.1613454648541</v>
      </c>
      <c r="AE29" s="74">
        <f>Calibrate!C50</f>
        <v>-2777.4929999999999</v>
      </c>
      <c r="AF29" s="28">
        <f>SLOPE(AD12:AD22,AE12:AE22)*Igain</f>
        <v>-3.0295617789648562E-3</v>
      </c>
      <c r="AG29" s="74">
        <f>Calibrate!C26</f>
        <v>-3.0517579999999999E-3</v>
      </c>
      <c r="AH29" s="74"/>
      <c r="AI29" s="74"/>
      <c r="AJ29" s="29">
        <f>SLOPE($D12:$D22,AJ12:AJ22)</f>
        <v>-27911.565884932344</v>
      </c>
      <c r="AK29" s="97">
        <f>Calibrate!C51</f>
        <v>-27774.93</v>
      </c>
      <c r="AL29" s="29">
        <f>SLOPE(AJ12:AJ22,AK12:AK22)*Igain</f>
        <v>-3.029793234579683E-4</v>
      </c>
      <c r="AM29" s="97">
        <f>Calibrate!C27</f>
        <v>-3.0517579999999998E-4</v>
      </c>
      <c r="AN29" s="97"/>
      <c r="AO29" s="97"/>
      <c r="AP29" s="28">
        <f>SLOPE($D12:$D22,AP12:AP22)</f>
        <v>-279170.48533974675</v>
      </c>
      <c r="AQ29" s="148">
        <f>Calibrate!C52</f>
        <v>-277749.3</v>
      </c>
      <c r="AR29" s="28">
        <f>SLOPE(AP12:AP22,AQ12:AQ22)*Igain</f>
        <v>-3.029189439743513E-5</v>
      </c>
      <c r="AS29" s="74">
        <f>Calibrate!C28</f>
        <v>-3.0517579999999999E-5</v>
      </c>
      <c r="AT29" s="28"/>
      <c r="AU29" s="28"/>
      <c r="AV29" s="29">
        <f>SLOPE($D12:$D22,AV12:AV22)</f>
        <v>-2790755.3946121796</v>
      </c>
      <c r="AW29" s="148">
        <f>Calibrate!C53</f>
        <v>-2777493</v>
      </c>
      <c r="AX29" s="29">
        <f>SLOPE(AV12:AV22,AW12:AW22)*Igain</f>
        <v>-3.029895202644959E-6</v>
      </c>
      <c r="AY29" s="97">
        <f>Calibrate!C29</f>
        <v>-3.0517579999999998E-6</v>
      </c>
      <c r="AZ29" s="97"/>
      <c r="BA29" s="97"/>
      <c r="BB29" s="28">
        <f>SLOPE($D12:$D22,BB12:BB22)</f>
        <v>-27839366.06277775</v>
      </c>
      <c r="BC29" s="148">
        <f>Calibrate!C54</f>
        <v>-27774930</v>
      </c>
      <c r="BD29" s="28">
        <f>SLOPE(BB12:BB22,BC12:BC22)*Igain</f>
        <v>-3.0375210816500967E-7</v>
      </c>
      <c r="BE29" s="74">
        <f>Calibrate!C30</f>
        <v>-3.0517579999999999E-7</v>
      </c>
      <c r="BF29" s="74"/>
      <c r="BG29" s="74"/>
      <c r="BH29" s="29">
        <f>SLOPE($D12:$D22,BH12:BH22)</f>
        <v>-276924168.42509687</v>
      </c>
      <c r="BI29" s="148">
        <f>Calibrate!C55</f>
        <v>-277749300</v>
      </c>
      <c r="BJ29" s="29">
        <f>SLOPE(BH12:BH22,BI12:BI22)*Igain</f>
        <v>-3.0520572005372811E-8</v>
      </c>
      <c r="BK29" s="97">
        <f>Calibrate!C31</f>
        <v>-3.0517580000000001E-8</v>
      </c>
      <c r="BL29" s="97"/>
      <c r="BM29" s="97"/>
    </row>
    <row r="30" spans="1:65" s="30" customFormat="1" x14ac:dyDescent="0.3">
      <c r="A30" s="11"/>
      <c r="B30" s="11"/>
      <c r="C30" s="54"/>
      <c r="D30" s="54"/>
      <c r="E30" s="54"/>
      <c r="F30" s="27"/>
      <c r="G30" s="119"/>
      <c r="H30" s="27"/>
      <c r="I30" s="67"/>
      <c r="J30" s="27"/>
      <c r="K30" s="67"/>
      <c r="L30" s="27"/>
      <c r="M30" s="27"/>
      <c r="N30" s="27"/>
      <c r="O30" s="67"/>
      <c r="P30" s="27"/>
      <c r="Q30" s="27"/>
      <c r="R30" s="28"/>
      <c r="S30" s="122"/>
      <c r="T30" s="28"/>
      <c r="U30" s="74"/>
      <c r="V30" s="74"/>
      <c r="W30" s="74"/>
      <c r="X30" s="29"/>
      <c r="Y30" s="97"/>
      <c r="Z30" s="29"/>
      <c r="AA30" s="97"/>
      <c r="AB30" s="97"/>
      <c r="AC30" s="97"/>
      <c r="AD30" s="28"/>
      <c r="AE30" s="74"/>
      <c r="AF30" s="28"/>
      <c r="AG30" s="74"/>
      <c r="AH30" s="74"/>
      <c r="AI30" s="74"/>
      <c r="AJ30" s="29"/>
      <c r="AK30" s="97"/>
      <c r="AL30" s="29"/>
      <c r="AM30" s="97"/>
      <c r="AN30" s="97"/>
      <c r="AO30" s="97"/>
      <c r="AP30" s="28"/>
      <c r="AQ30" s="148"/>
      <c r="AR30" s="28"/>
      <c r="AS30" s="74"/>
      <c r="AT30" s="28"/>
      <c r="AU30" s="28"/>
      <c r="AV30" s="29"/>
      <c r="AW30" s="148"/>
      <c r="AX30" s="29"/>
      <c r="AY30" s="97"/>
      <c r="AZ30" s="97"/>
      <c r="BA30" s="97"/>
      <c r="BB30" s="28"/>
      <c r="BC30" s="148"/>
      <c r="BD30" s="28"/>
      <c r="BE30" s="74"/>
      <c r="BF30" s="74"/>
      <c r="BG30" s="74"/>
      <c r="BH30" s="29"/>
      <c r="BI30" s="148"/>
      <c r="BJ30" s="29"/>
      <c r="BK30" s="97"/>
      <c r="BL30" s="97"/>
      <c r="BM30" s="97"/>
    </row>
    <row r="31" spans="1:65" s="35" customFormat="1" x14ac:dyDescent="0.3">
      <c r="A31" s="31"/>
      <c r="B31" s="31"/>
      <c r="C31" s="55"/>
      <c r="D31" s="55"/>
      <c r="E31" s="55"/>
      <c r="F31" s="32" t="s">
        <v>27</v>
      </c>
      <c r="G31" s="118" t="s">
        <v>27</v>
      </c>
      <c r="H31" s="32" t="s">
        <v>36</v>
      </c>
      <c r="I31" s="68" t="s">
        <v>36</v>
      </c>
      <c r="J31" s="32" t="s">
        <v>39</v>
      </c>
      <c r="K31" s="68" t="s">
        <v>39</v>
      </c>
      <c r="L31" s="32"/>
      <c r="M31" s="32"/>
      <c r="N31" s="32" t="s">
        <v>42</v>
      </c>
      <c r="O31" s="68" t="s">
        <v>42</v>
      </c>
      <c r="P31" s="32"/>
      <c r="Q31" s="32"/>
      <c r="R31" s="33" t="s">
        <v>30</v>
      </c>
      <c r="S31" s="121" t="s">
        <v>30</v>
      </c>
      <c r="T31" s="33" t="s">
        <v>45</v>
      </c>
      <c r="U31" s="75" t="s">
        <v>45</v>
      </c>
      <c r="V31" s="75"/>
      <c r="W31" s="75"/>
      <c r="X31" s="34" t="s">
        <v>30</v>
      </c>
      <c r="Y31" s="98" t="s">
        <v>30</v>
      </c>
      <c r="Z31" s="34" t="s">
        <v>45</v>
      </c>
      <c r="AA31" s="98" t="s">
        <v>45</v>
      </c>
      <c r="AB31" s="98"/>
      <c r="AC31" s="98"/>
      <c r="AD31" s="33" t="s">
        <v>30</v>
      </c>
      <c r="AE31" s="75" t="s">
        <v>30</v>
      </c>
      <c r="AF31" s="33" t="s">
        <v>45</v>
      </c>
      <c r="AG31" s="75" t="s">
        <v>45</v>
      </c>
      <c r="AH31" s="75"/>
      <c r="AI31" s="75"/>
      <c r="AJ31" s="34" t="s">
        <v>30</v>
      </c>
      <c r="AK31" s="98" t="s">
        <v>30</v>
      </c>
      <c r="AL31" s="34" t="s">
        <v>45</v>
      </c>
      <c r="AM31" s="98" t="s">
        <v>45</v>
      </c>
      <c r="AN31" s="98"/>
      <c r="AO31" s="98"/>
      <c r="AP31" s="33" t="s">
        <v>30</v>
      </c>
      <c r="AQ31" s="147" t="s">
        <v>30</v>
      </c>
      <c r="AR31" s="33" t="s">
        <v>45</v>
      </c>
      <c r="AS31" s="75" t="s">
        <v>45</v>
      </c>
      <c r="AT31" s="33"/>
      <c r="AU31" s="33"/>
      <c r="AV31" s="34" t="s">
        <v>30</v>
      </c>
      <c r="AW31" s="147" t="s">
        <v>30</v>
      </c>
      <c r="AX31" s="34" t="s">
        <v>45</v>
      </c>
      <c r="AY31" s="98" t="s">
        <v>45</v>
      </c>
      <c r="AZ31" s="98"/>
      <c r="BA31" s="98"/>
      <c r="BB31" s="33" t="s">
        <v>30</v>
      </c>
      <c r="BC31" s="147" t="s">
        <v>30</v>
      </c>
      <c r="BD31" s="33" t="s">
        <v>45</v>
      </c>
      <c r="BE31" s="75" t="s">
        <v>45</v>
      </c>
      <c r="BF31" s="75"/>
      <c r="BG31" s="75"/>
      <c r="BH31" s="34" t="s">
        <v>30</v>
      </c>
      <c r="BI31" s="147" t="s">
        <v>30</v>
      </c>
      <c r="BJ31" s="34" t="s">
        <v>45</v>
      </c>
      <c r="BK31" s="98" t="s">
        <v>45</v>
      </c>
      <c r="BL31" s="98"/>
      <c r="BM31" s="98"/>
    </row>
    <row r="32" spans="1:65" s="30" customFormat="1" x14ac:dyDescent="0.3">
      <c r="A32" s="11"/>
      <c r="B32" s="11"/>
      <c r="C32" s="54"/>
      <c r="D32" s="54"/>
      <c r="E32" s="54"/>
      <c r="F32" s="27">
        <f>INTERCEPT($E2:$E22,F2:F22)</f>
        <v>-115.66914514332684</v>
      </c>
      <c r="G32" s="119">
        <f>Calibrate!C14</f>
        <v>0</v>
      </c>
      <c r="H32" s="27">
        <f>INTERCEPT($F2:$F22,H2:H22)/Vgain</f>
        <v>-3.4160489460084709E-4</v>
      </c>
      <c r="I32" s="67">
        <f>Calibrate!C17</f>
        <v>0</v>
      </c>
      <c r="J32" s="27">
        <f>INTERCEPT($F2:$F22,J2:J22)/Vgain</f>
        <v>-5.5626099371923546E-3</v>
      </c>
      <c r="K32" s="67">
        <f>Calibrate!C20</f>
        <v>0</v>
      </c>
      <c r="L32" s="27"/>
      <c r="M32" s="27"/>
      <c r="N32" s="27">
        <f>INTERCEPT($F2:$F22,N2:N22)/Vgain</f>
        <v>-1.0186234600345276E-3</v>
      </c>
      <c r="O32" s="67">
        <f>Calibrate!C23</f>
        <v>0</v>
      </c>
      <c r="P32" s="27"/>
      <c r="Q32" s="27"/>
      <c r="R32" s="28">
        <f>INTERCEPT($D2:$D22,R2:R22)</f>
        <v>-88.607057474711027</v>
      </c>
      <c r="S32" s="122">
        <f>Calibrate!C64</f>
        <v>0</v>
      </c>
      <c r="T32" s="144">
        <f>INTERCEPT(R2:R22,S2:S22)</f>
        <v>-5.5659139295016757E-2</v>
      </c>
      <c r="U32" s="74">
        <f>Calibrate!C40</f>
        <v>0</v>
      </c>
      <c r="V32" s="74"/>
      <c r="W32" s="74"/>
      <c r="X32" s="29">
        <f>INTERCEPT($D2:$D22,X2:X22)</f>
        <v>-90.830824041771493</v>
      </c>
      <c r="Y32" s="97">
        <f>Calibrate!C65</f>
        <v>0</v>
      </c>
      <c r="Z32" s="29">
        <f>INTERCEPT(X2:X22,Y2:Y22)</f>
        <v>-9.2126629410638761E-3</v>
      </c>
      <c r="AA32" s="97">
        <f>Calibrate!C41</f>
        <v>0</v>
      </c>
      <c r="AB32" s="97"/>
      <c r="AC32" s="97"/>
      <c r="AD32" s="28">
        <f>INTERCEPT($D2:$D22,AD2:AD22)</f>
        <v>-88.89466890276077</v>
      </c>
      <c r="AE32" s="74">
        <f>Calibrate!C66</f>
        <v>0</v>
      </c>
      <c r="AF32" s="28">
        <f>INTERCEPT(AD2:AD22,AE2:AE22)</f>
        <v>-8.9362199190583594E-4</v>
      </c>
      <c r="AG32" s="74">
        <f>Calibrate!C42</f>
        <v>0</v>
      </c>
      <c r="AH32" s="74"/>
      <c r="AI32" s="74"/>
      <c r="AJ32" s="29">
        <f>INTERCEPT($D2:$D22,AJ2:AJ22)</f>
        <v>-90.498174106056638</v>
      </c>
      <c r="AK32" s="97">
        <f>Calibrate!C67</f>
        <v>0</v>
      </c>
      <c r="AL32" s="29">
        <f>INTERCEPT(AJ2:AJ22,AK2:AK22)</f>
        <v>-1.6574923696264588E-4</v>
      </c>
      <c r="AM32" s="97">
        <f>Calibrate!C43</f>
        <v>0</v>
      </c>
      <c r="AN32" s="97"/>
      <c r="AO32" s="97"/>
      <c r="AP32" s="28">
        <f>INTERCEPT($D2:$D22,AP2:AP22)</f>
        <v>-90.11622826999826</v>
      </c>
      <c r="AQ32" s="148">
        <f>Calibrate!C68</f>
        <v>0</v>
      </c>
      <c r="AR32" s="144">
        <f>INTERCEPT(AP2:AP22,AQ2:AQ22)</f>
        <v>-1.5198889302835269E-5</v>
      </c>
      <c r="AS32" s="74">
        <f>Calibrate!C44</f>
        <v>0</v>
      </c>
      <c r="AT32" s="28"/>
      <c r="AU32" s="28"/>
      <c r="AV32" s="29">
        <f>INTERCEPT($D2:$D22,AV2:AV22)</f>
        <v>-87.749466323780439</v>
      </c>
      <c r="AW32" s="148">
        <f>Calibrate!C69</f>
        <v>0</v>
      </c>
      <c r="AX32" s="29">
        <f>INTERCEPT(AV2:AV22,AW2:AW22)</f>
        <v>-6.156289494999709E-7</v>
      </c>
      <c r="AY32" s="97">
        <f>Calibrate!C45</f>
        <v>0</v>
      </c>
      <c r="AZ32" s="97"/>
      <c r="BA32" s="97"/>
      <c r="BB32" s="28">
        <f>INTERCEPT($D2:$D22,BB2:BB22)</f>
        <v>-86.768076002414219</v>
      </c>
      <c r="BC32" s="148">
        <f>Calibrate!C70</f>
        <v>0</v>
      </c>
      <c r="BD32" s="28">
        <f>INTERCEPT(BB2:BB22,BC2:BC22)</f>
        <v>-2.6239772851887844E-8</v>
      </c>
      <c r="BE32" s="74">
        <f>Calibrate!C46</f>
        <v>0</v>
      </c>
      <c r="BF32" s="74"/>
      <c r="BG32" s="74"/>
      <c r="BH32" s="29">
        <f>INTERCEPT($D2:$D22,BH2:BH22)</f>
        <v>-28.091632501040849</v>
      </c>
      <c r="BI32" s="148">
        <f>Calibrate!C71</f>
        <v>0</v>
      </c>
      <c r="BJ32" s="29">
        <f>INTERCEPT(BH2:BH22,BI2:BI22)</f>
        <v>2.0394844885198198E-7</v>
      </c>
      <c r="BK32" s="97">
        <f>Calibrate!C47</f>
        <v>0</v>
      </c>
      <c r="BL32" s="97"/>
      <c r="BM32" s="97"/>
    </row>
    <row r="33" spans="1:65" s="30" customFormat="1" x14ac:dyDescent="0.3">
      <c r="A33" s="11"/>
      <c r="B33" s="11"/>
      <c r="C33" s="54"/>
      <c r="D33" s="54"/>
      <c r="E33" s="54"/>
      <c r="F33" s="27"/>
      <c r="G33" s="119"/>
      <c r="H33" s="27"/>
      <c r="I33" s="27"/>
      <c r="J33" s="27"/>
      <c r="K33" s="27"/>
      <c r="L33" s="67"/>
      <c r="M33" s="67"/>
      <c r="N33" s="27"/>
      <c r="O33" s="67"/>
      <c r="P33" s="27"/>
      <c r="Q33" s="27"/>
      <c r="R33" s="28"/>
      <c r="S33" s="28"/>
      <c r="T33" s="74"/>
      <c r="U33" s="74"/>
      <c r="V33" s="74"/>
      <c r="W33" s="74"/>
      <c r="X33" s="29"/>
      <c r="Y33" s="29"/>
      <c r="Z33" s="97"/>
      <c r="AA33" s="97"/>
      <c r="AB33" s="97"/>
      <c r="AC33" s="97"/>
      <c r="AD33" s="28"/>
      <c r="AE33" s="28"/>
      <c r="AF33" s="74"/>
      <c r="AG33" s="74"/>
      <c r="AH33" s="74"/>
      <c r="AI33" s="74"/>
      <c r="AJ33" s="29"/>
      <c r="AK33" s="29"/>
      <c r="AL33" s="97"/>
      <c r="AM33" s="97"/>
      <c r="AN33" s="97"/>
      <c r="AO33" s="97"/>
      <c r="AP33" s="28"/>
      <c r="AQ33" s="28"/>
      <c r="AR33" s="74"/>
      <c r="AS33" s="28"/>
      <c r="AT33" s="28"/>
      <c r="AU33" s="28"/>
      <c r="AV33" s="29"/>
      <c r="AW33" s="29"/>
      <c r="AX33" s="97"/>
      <c r="AY33" s="97"/>
      <c r="AZ33" s="97"/>
      <c r="BA33" s="97"/>
      <c r="BB33" s="28"/>
      <c r="BC33" s="28"/>
      <c r="BD33" s="74"/>
      <c r="BE33" s="74"/>
      <c r="BF33" s="74"/>
      <c r="BG33" s="74"/>
      <c r="BH33" s="29"/>
      <c r="BI33" s="29"/>
      <c r="BJ33" s="97"/>
      <c r="BK33" s="97"/>
      <c r="BL33" s="97"/>
      <c r="BM33" s="97"/>
    </row>
    <row r="34" spans="1:65" s="42" customFormat="1" x14ac:dyDescent="0.3">
      <c r="A34" s="36"/>
      <c r="B34" s="36"/>
      <c r="C34" s="56"/>
      <c r="D34" s="56"/>
      <c r="E34" s="56"/>
      <c r="F34" s="105" t="s">
        <v>24</v>
      </c>
      <c r="G34" s="120" t="s">
        <v>24</v>
      </c>
      <c r="H34" s="37"/>
      <c r="I34" s="37"/>
      <c r="J34" s="37"/>
      <c r="K34" s="88"/>
      <c r="L34" s="69"/>
      <c r="M34" s="69"/>
      <c r="N34" s="37"/>
      <c r="O34" s="69"/>
      <c r="P34" s="37"/>
      <c r="Q34" s="37"/>
      <c r="R34" s="38"/>
      <c r="S34" s="38"/>
      <c r="T34" s="76"/>
      <c r="U34" s="76"/>
      <c r="V34" s="76"/>
      <c r="W34" s="76"/>
      <c r="X34" s="39"/>
      <c r="Y34" s="39"/>
      <c r="Z34" s="99"/>
      <c r="AA34" s="99"/>
      <c r="AB34" s="99"/>
      <c r="AC34" s="99"/>
      <c r="AD34" s="38"/>
      <c r="AE34" s="38"/>
      <c r="AF34" s="76"/>
      <c r="AG34" s="76"/>
      <c r="AH34" s="76"/>
      <c r="AI34" s="76"/>
      <c r="AJ34" s="39"/>
      <c r="AK34" s="39"/>
      <c r="AL34" s="99"/>
      <c r="AM34" s="99"/>
      <c r="AN34" s="99"/>
      <c r="AO34" s="99"/>
      <c r="AP34" s="38"/>
      <c r="AQ34" s="40"/>
      <c r="AR34" s="117"/>
      <c r="AS34" s="40"/>
      <c r="AT34" s="40"/>
      <c r="AU34" s="40"/>
      <c r="AV34" s="41"/>
      <c r="AW34" s="41"/>
      <c r="AX34" s="116"/>
      <c r="AY34" s="116"/>
      <c r="AZ34" s="116"/>
      <c r="BA34" s="116"/>
      <c r="BB34" s="40"/>
      <c r="BC34" s="40"/>
      <c r="BD34" s="117"/>
      <c r="BE34" s="117"/>
      <c r="BF34" s="117"/>
      <c r="BG34" s="117"/>
      <c r="BH34" s="41"/>
      <c r="BI34" s="41"/>
      <c r="BJ34" s="116"/>
      <c r="BK34" s="116"/>
      <c r="BL34" s="116"/>
      <c r="BM34" s="116"/>
    </row>
    <row r="35" spans="1:65" s="30" customFormat="1" x14ac:dyDescent="0.3">
      <c r="A35" s="11"/>
      <c r="B35" s="11"/>
      <c r="C35" s="54"/>
      <c r="D35" s="54"/>
      <c r="E35" s="54"/>
      <c r="F35" s="27">
        <f>4096/(0.306*1.12231718*10/2.92)</f>
        <v>3482.6173713116841</v>
      </c>
      <c r="G35" s="119">
        <f>Calibrate!C8</f>
        <v>3482.6179999999999</v>
      </c>
      <c r="H35" s="27"/>
      <c r="I35" s="27"/>
      <c r="J35" s="27"/>
      <c r="K35" s="27"/>
      <c r="L35" s="67"/>
      <c r="M35" s="67"/>
      <c r="N35" s="27"/>
      <c r="O35" s="67"/>
      <c r="P35" s="27"/>
      <c r="Q35" s="27"/>
      <c r="R35" s="28"/>
      <c r="S35" s="28"/>
      <c r="T35" s="74"/>
      <c r="U35" s="74"/>
      <c r="V35" s="74"/>
      <c r="W35" s="74"/>
      <c r="X35" s="29"/>
      <c r="Y35" s="29"/>
      <c r="Z35" s="97"/>
      <c r="AA35" s="97"/>
      <c r="AB35" s="97"/>
      <c r="AC35" s="97"/>
      <c r="AD35" s="28"/>
      <c r="AE35" s="28"/>
      <c r="AF35" s="74"/>
      <c r="AG35" s="74"/>
      <c r="AH35" s="74"/>
      <c r="AI35" s="74"/>
      <c r="AJ35" s="29"/>
      <c r="AK35" s="29"/>
      <c r="AL35" s="97"/>
      <c r="AM35" s="97"/>
      <c r="AN35" s="97"/>
      <c r="AO35" s="97"/>
      <c r="AP35" s="28"/>
      <c r="AQ35" s="28"/>
      <c r="AR35" s="74"/>
      <c r="AS35" s="28"/>
      <c r="AT35" s="28"/>
      <c r="AU35" s="28"/>
      <c r="AV35" s="29"/>
      <c r="AW35" s="29"/>
      <c r="AX35" s="97"/>
      <c r="AY35" s="97"/>
      <c r="AZ35" s="97"/>
      <c r="BA35" s="97"/>
      <c r="BB35" s="28"/>
      <c r="BC35" s="28"/>
      <c r="BD35" s="74"/>
      <c r="BE35" s="74"/>
      <c r="BF35" s="74"/>
      <c r="BG35" s="74"/>
      <c r="BH35" s="29"/>
      <c r="BI35" s="29"/>
      <c r="BJ35" s="97"/>
      <c r="BK35" s="97"/>
      <c r="BL35" s="97"/>
      <c r="BM35" s="97"/>
    </row>
    <row r="37" spans="1:65" x14ac:dyDescent="0.3">
      <c r="F37" s="105" t="s">
        <v>317</v>
      </c>
      <c r="G37" s="120" t="s">
        <v>317</v>
      </c>
      <c r="S37" s="43"/>
      <c r="T37" s="78"/>
      <c r="U37" s="78"/>
      <c r="V37" s="78"/>
      <c r="W37" s="78"/>
      <c r="X37" s="44"/>
      <c r="Y37" s="44"/>
      <c r="Z37" s="100"/>
      <c r="AA37" s="100"/>
      <c r="AB37" s="100"/>
      <c r="AC37" s="100"/>
      <c r="AD37" s="43"/>
      <c r="AE37" s="43"/>
      <c r="AF37" s="78"/>
      <c r="AG37" s="78"/>
      <c r="AH37" s="78"/>
      <c r="AI37" s="78"/>
      <c r="AJ37" s="44"/>
      <c r="AK37" s="44"/>
      <c r="AL37" s="100"/>
      <c r="AM37" s="100"/>
      <c r="AN37" s="100"/>
      <c r="AO37" s="100"/>
      <c r="AP37" s="43"/>
    </row>
    <row r="38" spans="1:65" x14ac:dyDescent="0.3">
      <c r="F38" s="27">
        <f xml:space="preserve"> -32768 / (5 * 0.430797133)</f>
        <v>-15212.728911081216</v>
      </c>
      <c r="G38" s="119">
        <f>Calibrate!C9</f>
        <v>-15212.73</v>
      </c>
    </row>
    <row r="40" spans="1:65" x14ac:dyDescent="0.3">
      <c r="F40" s="105" t="s">
        <v>318</v>
      </c>
      <c r="G40" s="120" t="s">
        <v>318</v>
      </c>
      <c r="S40" s="43"/>
      <c r="T40" s="78"/>
      <c r="U40" s="78"/>
      <c r="V40" s="78"/>
      <c r="W40" s="78"/>
      <c r="X40" s="44"/>
      <c r="Y40" s="44"/>
      <c r="Z40" s="100"/>
      <c r="AA40" s="100"/>
      <c r="AB40" s="100"/>
      <c r="AC40" s="100"/>
      <c r="AD40" s="43"/>
      <c r="AE40" s="43"/>
      <c r="AF40" s="78"/>
      <c r="AG40" s="78"/>
      <c r="AH40" s="78"/>
      <c r="AI40" s="78"/>
      <c r="AJ40" s="44"/>
      <c r="AK40" s="44"/>
      <c r="AL40" s="100"/>
      <c r="AM40" s="100"/>
      <c r="AN40" s="100"/>
      <c r="AO40" s="100"/>
      <c r="AP40" s="43"/>
    </row>
    <row r="41" spans="1:65" x14ac:dyDescent="0.3">
      <c r="F41" s="27">
        <f xml:space="preserve"> 32768 / 10</f>
        <v>3276.8</v>
      </c>
      <c r="G41" s="119">
        <f>Calibrate!C10</f>
        <v>3276.8</v>
      </c>
    </row>
    <row r="42" spans="1:65" x14ac:dyDescent="0.3">
      <c r="D42" s="143" t="s">
        <v>208</v>
      </c>
    </row>
    <row r="43" spans="1:65" x14ac:dyDescent="0.3">
      <c r="D43" s="54">
        <v>-29475</v>
      </c>
      <c r="F43" s="105" t="s">
        <v>319</v>
      </c>
      <c r="G43" s="120" t="s">
        <v>319</v>
      </c>
    </row>
    <row r="44" spans="1:65" x14ac:dyDescent="0.3">
      <c r="D44" s="54">
        <v>-26200</v>
      </c>
      <c r="F44" s="27">
        <f xml:space="preserve"> 32768 / 10</f>
        <v>3276.8</v>
      </c>
      <c r="G44" s="119">
        <f>Calibrate!C11</f>
        <v>3276.8</v>
      </c>
    </row>
    <row r="45" spans="1:65" x14ac:dyDescent="0.3">
      <c r="D45" s="54">
        <v>-22925</v>
      </c>
    </row>
    <row r="46" spans="1:65" x14ac:dyDescent="0.3">
      <c r="D46" s="54">
        <v>-19650</v>
      </c>
    </row>
    <row r="47" spans="1:65" x14ac:dyDescent="0.3">
      <c r="D47" s="54">
        <v>-16375</v>
      </c>
    </row>
    <row r="48" spans="1:65" x14ac:dyDescent="0.3">
      <c r="D48" s="54">
        <v>-13100</v>
      </c>
    </row>
    <row r="49" spans="4:4" x14ac:dyDescent="0.3">
      <c r="D49" s="54">
        <v>-9825</v>
      </c>
    </row>
    <row r="50" spans="4:4" x14ac:dyDescent="0.3">
      <c r="D50" s="54">
        <v>-6550</v>
      </c>
    </row>
    <row r="51" spans="4:4" x14ac:dyDescent="0.3">
      <c r="D51" s="54">
        <v>-3275</v>
      </c>
    </row>
    <row r="52" spans="4:4" x14ac:dyDescent="0.3">
      <c r="D52" s="54">
        <v>-1500</v>
      </c>
    </row>
    <row r="53" spans="4:4" x14ac:dyDescent="0.3">
      <c r="D53" s="54">
        <v>0</v>
      </c>
    </row>
    <row r="54" spans="4:4" x14ac:dyDescent="0.3">
      <c r="D54" s="54">
        <v>1500</v>
      </c>
    </row>
    <row r="55" spans="4:4" x14ac:dyDescent="0.3">
      <c r="D55" s="54">
        <v>3275</v>
      </c>
    </row>
    <row r="56" spans="4:4" x14ac:dyDescent="0.3">
      <c r="D56" s="54">
        <v>6550</v>
      </c>
    </row>
    <row r="57" spans="4:4" x14ac:dyDescent="0.3">
      <c r="D57" s="54">
        <v>9825</v>
      </c>
    </row>
    <row r="58" spans="4:4" x14ac:dyDescent="0.3">
      <c r="D58" s="54">
        <v>13100</v>
      </c>
    </row>
    <row r="59" spans="4:4" x14ac:dyDescent="0.3">
      <c r="D59" s="54">
        <v>16375</v>
      </c>
    </row>
    <row r="60" spans="4:4" x14ac:dyDescent="0.3">
      <c r="D60" s="54">
        <v>19650</v>
      </c>
    </row>
    <row r="61" spans="4:4" x14ac:dyDescent="0.3">
      <c r="D61" s="54">
        <v>22925</v>
      </c>
    </row>
    <row r="62" spans="4:4" x14ac:dyDescent="0.3">
      <c r="D62" s="54">
        <v>26200</v>
      </c>
    </row>
    <row r="63" spans="4:4" x14ac:dyDescent="0.3">
      <c r="D63" s="54">
        <v>29475</v>
      </c>
    </row>
  </sheetData>
  <conditionalFormatting sqref="AB2:AB22">
    <cfRule type="cellIs" dxfId="18" priority="36" operator="greaterThan">
      <formula>0.001</formula>
    </cfRule>
  </conditionalFormatting>
  <conditionalFormatting sqref="AH2:AH22">
    <cfRule type="cellIs" dxfId="17" priority="32" operator="greaterThan">
      <formula>0.001</formula>
    </cfRule>
  </conditionalFormatting>
  <conditionalFormatting sqref="AN2:AN22">
    <cfRule type="cellIs" dxfId="16" priority="28" operator="greaterThan">
      <formula>0.001</formula>
    </cfRule>
  </conditionalFormatting>
  <conditionalFormatting sqref="V2:W22">
    <cfRule type="cellIs" dxfId="15" priority="27" operator="greaterThan">
      <formula>0.002</formula>
    </cfRule>
  </conditionalFormatting>
  <conditionalFormatting sqref="Q2:Q22">
    <cfRule type="cellIs" dxfId="14" priority="25" operator="greaterThan">
      <formula>0.001</formula>
    </cfRule>
  </conditionalFormatting>
  <conditionalFormatting sqref="L2:L22">
    <cfRule type="cellIs" dxfId="13" priority="23" operator="greaterThan">
      <formula>0.001</formula>
    </cfRule>
  </conditionalFormatting>
  <conditionalFormatting sqref="M2:M22">
    <cfRule type="cellIs" dxfId="12" priority="22" operator="greaterThan">
      <formula>0.001</formula>
    </cfRule>
  </conditionalFormatting>
  <conditionalFormatting sqref="P2:P22">
    <cfRule type="cellIs" dxfId="11" priority="21" operator="greaterThan">
      <formula>0.001</formula>
    </cfRule>
  </conditionalFormatting>
  <conditionalFormatting sqref="AT2:AU22">
    <cfRule type="cellIs" dxfId="10" priority="18" operator="greaterThan">
      <formula>0.001</formula>
    </cfRule>
  </conditionalFormatting>
  <conditionalFormatting sqref="AZ2:BA22">
    <cfRule type="cellIs" dxfId="9" priority="15" operator="greaterThan">
      <formula>0.001</formula>
    </cfRule>
  </conditionalFormatting>
  <conditionalFormatting sqref="BF2:BG22">
    <cfRule type="cellIs" dxfId="8" priority="12" operator="greaterThan">
      <formula>0.001</formula>
    </cfRule>
  </conditionalFormatting>
  <conditionalFormatting sqref="BL2:BM22">
    <cfRule type="cellIs" dxfId="7" priority="9" operator="greaterThan">
      <formula>0.001</formula>
    </cfRule>
    <cfRule type="cellIs" dxfId="6" priority="10" operator="greaterThan">
      <formula>0.001</formula>
    </cfRule>
    <cfRule type="cellIs" dxfId="5" priority="11" operator="greaterThan">
      <formula>0.0002</formula>
    </cfRule>
  </conditionalFormatting>
  <conditionalFormatting sqref="G2:G22">
    <cfRule type="cellIs" dxfId="4" priority="7" operator="lessThan">
      <formula>-1</formula>
    </cfRule>
    <cfRule type="cellIs" dxfId="3" priority="8" operator="greaterThan">
      <formula>1</formula>
    </cfRule>
  </conditionalFormatting>
  <conditionalFormatting sqref="AC2:AC22">
    <cfRule type="cellIs" dxfId="2" priority="3" operator="greaterThan">
      <formula>0.002</formula>
    </cfRule>
  </conditionalFormatting>
  <conditionalFormatting sqref="AI2:AI22">
    <cfRule type="cellIs" dxfId="1" priority="2" operator="greaterThan">
      <formula>0.002</formula>
    </cfRule>
  </conditionalFormatting>
  <conditionalFormatting sqref="AO2:AO22">
    <cfRule type="cellIs" dxfId="0" priority="1" operator="greaterThan">
      <formula>0.002</formula>
    </cfRule>
  </conditionalFormatting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115"/>
  <sheetViews>
    <sheetView topLeftCell="A4" workbookViewId="0">
      <selection activeCell="P23" sqref="P23"/>
    </sheetView>
  </sheetViews>
  <sheetFormatPr defaultColWidth="8.6640625" defaultRowHeight="14.4" x14ac:dyDescent="0.3"/>
  <cols>
    <col min="1" max="4" width="8.6640625" style="2" customWidth="1"/>
    <col min="5" max="11" width="8.6640625" style="2"/>
    <col min="12" max="12" width="17.5546875" style="2" bestFit="1" customWidth="1"/>
    <col min="13" max="15" width="6.6640625" style="2" bestFit="1" customWidth="1"/>
    <col min="16" max="18" width="8.6640625" style="2"/>
    <col min="19" max="20" width="12" style="2" bestFit="1" customWidth="1"/>
    <col min="21" max="16384" width="8.6640625" style="2"/>
  </cols>
  <sheetData>
    <row r="1" spans="1:21" x14ac:dyDescent="0.3">
      <c r="A1" s="3" t="s">
        <v>47</v>
      </c>
      <c r="B1" s="2" t="s">
        <v>3</v>
      </c>
      <c r="C1" s="2" t="str">
        <f>VLOOKUP(B1,Connect!A2:D3, 4)</f>
        <v>COM4</v>
      </c>
      <c r="D1" s="3" t="s">
        <v>65</v>
      </c>
      <c r="E1" s="2" t="s">
        <v>8</v>
      </c>
      <c r="F1" s="4"/>
      <c r="G1" s="4"/>
      <c r="H1" s="4"/>
      <c r="I1" s="4"/>
      <c r="L1" s="3" t="s">
        <v>61</v>
      </c>
      <c r="M1" s="3" t="s">
        <v>48</v>
      </c>
      <c r="N1" s="3" t="s">
        <v>49</v>
      </c>
      <c r="O1" s="3" t="s">
        <v>50</v>
      </c>
      <c r="S1" s="2" t="s">
        <v>37</v>
      </c>
      <c r="T1" s="2" t="s">
        <v>38</v>
      </c>
      <c r="U1" s="2" t="s">
        <v>39</v>
      </c>
    </row>
    <row r="2" spans="1:21" x14ac:dyDescent="0.3">
      <c r="A2" s="3" t="s">
        <v>138</v>
      </c>
      <c r="B2" t="str">
        <f>_xlfn.CONCAT(Connect!G1, " ", Connect!J1, " ", Connect!D1, " ", B1, " ", C1, " ", E1)</f>
        <v>v2 0 COM15 hp34401a COM4 voltage</v>
      </c>
      <c r="F2" s="4"/>
      <c r="G2" s="4"/>
      <c r="H2" s="4"/>
      <c r="I2" s="4"/>
      <c r="L2" s="45">
        <v>9.7309792000000002</v>
      </c>
      <c r="M2" s="2">
        <v>-26548</v>
      </c>
      <c r="N2" s="2">
        <v>-31886</v>
      </c>
      <c r="O2" s="2">
        <v>-12706</v>
      </c>
      <c r="S2" s="2">
        <f>SLOPE(L2:L12,N2:N12)</f>
        <v>-3.0536732239694656E-4</v>
      </c>
      <c r="T2" s="2">
        <f>SLOPE(L12:L22,N12:N22)</f>
        <v>-3.0529664539437459E-4</v>
      </c>
      <c r="U2" s="2">
        <f>INTERCEPT(L2:L22,N2:N22)</f>
        <v>-5.5626099371923546E-3</v>
      </c>
    </row>
    <row r="3" spans="1:21" x14ac:dyDescent="0.3">
      <c r="F3" s="4"/>
      <c r="G3" s="4"/>
      <c r="H3" s="4"/>
      <c r="I3" s="4"/>
      <c r="L3" s="45">
        <v>8.7536837999999992</v>
      </c>
      <c r="M3" s="2">
        <v>-23882</v>
      </c>
      <c r="N3" s="2">
        <v>-28686</v>
      </c>
      <c r="O3" s="2">
        <v>-11430</v>
      </c>
    </row>
    <row r="4" spans="1:21" x14ac:dyDescent="0.3">
      <c r="L4" s="45">
        <v>7.7762269000000002</v>
      </c>
      <c r="M4" s="2">
        <v>-21215</v>
      </c>
      <c r="N4" s="2">
        <v>-25486</v>
      </c>
      <c r="O4" s="2">
        <v>-10154</v>
      </c>
    </row>
    <row r="5" spans="1:21" x14ac:dyDescent="0.3">
      <c r="L5" s="45">
        <v>6.7994041000000003</v>
      </c>
      <c r="M5" s="2">
        <v>-18550</v>
      </c>
      <c r="N5" s="2">
        <v>-22287</v>
      </c>
      <c r="O5" s="2">
        <v>-8879</v>
      </c>
    </row>
    <row r="6" spans="1:21" x14ac:dyDescent="0.3">
      <c r="L6" s="45">
        <v>5.8220755000000004</v>
      </c>
      <c r="M6" s="2">
        <v>-15884</v>
      </c>
      <c r="N6" s="2">
        <v>-19086</v>
      </c>
      <c r="O6" s="2">
        <v>-7603</v>
      </c>
    </row>
    <row r="7" spans="1:21" x14ac:dyDescent="0.3">
      <c r="L7" s="45">
        <v>4.8448194999999998</v>
      </c>
      <c r="M7" s="2">
        <v>-13218</v>
      </c>
      <c r="N7" s="2">
        <v>-15887</v>
      </c>
      <c r="O7" s="2">
        <v>-6327</v>
      </c>
    </row>
    <row r="8" spans="1:21" x14ac:dyDescent="0.3">
      <c r="L8" s="45">
        <v>3.8669661</v>
      </c>
      <c r="M8" s="2">
        <v>-10550</v>
      </c>
      <c r="N8" s="2">
        <v>-12684</v>
      </c>
      <c r="O8" s="2">
        <v>-5050</v>
      </c>
    </row>
    <row r="9" spans="1:21" x14ac:dyDescent="0.3">
      <c r="L9" s="45">
        <v>2.8894570000000002</v>
      </c>
      <c r="M9" s="2">
        <v>-7883</v>
      </c>
      <c r="N9" s="2">
        <v>-9483</v>
      </c>
      <c r="O9" s="2">
        <v>-3774</v>
      </c>
    </row>
    <row r="10" spans="1:21" x14ac:dyDescent="0.3">
      <c r="L10" s="45">
        <v>1.9126320999999999</v>
      </c>
      <c r="M10" s="2">
        <v>-5218</v>
      </c>
      <c r="N10" s="2">
        <v>-6284</v>
      </c>
      <c r="O10" s="2">
        <v>-2498</v>
      </c>
    </row>
    <row r="11" spans="1:21" x14ac:dyDescent="0.3">
      <c r="L11" s="45">
        <v>0.93523199000000001</v>
      </c>
      <c r="M11" s="2">
        <v>-2552</v>
      </c>
      <c r="N11" s="2">
        <v>-3082</v>
      </c>
      <c r="O11" s="2">
        <v>-1222</v>
      </c>
    </row>
    <row r="12" spans="1:21" x14ac:dyDescent="0.3">
      <c r="L12" s="45">
        <v>-4.1831782999999997E-2</v>
      </c>
      <c r="M12" s="2">
        <v>113</v>
      </c>
      <c r="N12" s="2">
        <v>117</v>
      </c>
      <c r="O12" s="2">
        <v>53</v>
      </c>
    </row>
    <row r="13" spans="1:21" x14ac:dyDescent="0.3">
      <c r="L13" s="45">
        <v>-1.0189288999999999</v>
      </c>
      <c r="M13" s="2">
        <v>2779</v>
      </c>
      <c r="N13" s="2">
        <v>3317</v>
      </c>
      <c r="O13" s="2">
        <v>1329</v>
      </c>
    </row>
    <row r="14" spans="1:21" x14ac:dyDescent="0.3">
      <c r="L14" s="45">
        <v>-1.9959994000000001</v>
      </c>
      <c r="M14" s="2">
        <v>5444</v>
      </c>
      <c r="N14" s="2">
        <v>6518</v>
      </c>
      <c r="O14" s="2">
        <v>2604</v>
      </c>
    </row>
    <row r="15" spans="1:21" x14ac:dyDescent="0.3">
      <c r="L15" s="45">
        <v>-2.9731893</v>
      </c>
      <c r="M15" s="2">
        <v>8110</v>
      </c>
      <c r="N15" s="2">
        <v>9719</v>
      </c>
      <c r="O15" s="2">
        <v>3880</v>
      </c>
    </row>
    <row r="16" spans="1:21" x14ac:dyDescent="0.3">
      <c r="L16" s="45">
        <v>-3.9505184</v>
      </c>
      <c r="M16" s="2">
        <v>10776</v>
      </c>
      <c r="N16" s="2">
        <v>12920</v>
      </c>
      <c r="O16" s="2">
        <v>5156</v>
      </c>
    </row>
    <row r="17" spans="12:15" x14ac:dyDescent="0.3">
      <c r="L17" s="45">
        <v>-4.9280539000000001</v>
      </c>
      <c r="M17" s="2">
        <v>13443</v>
      </c>
      <c r="N17" s="2">
        <v>16122</v>
      </c>
      <c r="O17" s="2">
        <v>6433</v>
      </c>
    </row>
    <row r="18" spans="12:15" x14ac:dyDescent="0.3">
      <c r="L18" s="45">
        <v>-5.9055758000000003</v>
      </c>
      <c r="M18" s="2">
        <v>16110</v>
      </c>
      <c r="N18" s="2">
        <v>19324</v>
      </c>
      <c r="O18" s="2">
        <v>7709</v>
      </c>
    </row>
    <row r="19" spans="12:15" x14ac:dyDescent="0.3">
      <c r="L19" s="45">
        <v>-6.8833469000000003</v>
      </c>
      <c r="M19" s="2">
        <v>18777</v>
      </c>
      <c r="N19" s="2">
        <v>22527</v>
      </c>
      <c r="O19" s="2">
        <v>8986</v>
      </c>
    </row>
    <row r="20" spans="12:15" x14ac:dyDescent="0.3">
      <c r="L20" s="45">
        <v>-7.8602223000000002</v>
      </c>
      <c r="M20" s="2">
        <v>21442</v>
      </c>
      <c r="N20" s="2">
        <v>25727</v>
      </c>
      <c r="O20" s="2">
        <v>10261</v>
      </c>
    </row>
    <row r="21" spans="12:15" x14ac:dyDescent="0.3">
      <c r="L21" s="45">
        <v>-8.8377996999999997</v>
      </c>
      <c r="M21" s="2">
        <v>24109</v>
      </c>
      <c r="N21" s="2">
        <v>28928</v>
      </c>
      <c r="O21" s="2">
        <v>11538</v>
      </c>
    </row>
    <row r="22" spans="12:15" x14ac:dyDescent="0.3">
      <c r="L22" s="45">
        <v>-9.8152307000000008</v>
      </c>
      <c r="M22" s="2">
        <v>26776</v>
      </c>
      <c r="N22" s="2">
        <v>32129</v>
      </c>
      <c r="O22" s="2">
        <v>12814</v>
      </c>
    </row>
    <row r="23" spans="12:15" x14ac:dyDescent="0.3">
      <c r="L23" s="45"/>
    </row>
    <row r="29" spans="12:15" x14ac:dyDescent="0.3">
      <c r="L29" s="142"/>
    </row>
    <row r="30" spans="12:15" x14ac:dyDescent="0.3">
      <c r="N30" s="45"/>
    </row>
    <row r="31" spans="12:15" x14ac:dyDescent="0.3">
      <c r="N31" s="142"/>
    </row>
    <row r="93" spans="1:6" x14ac:dyDescent="0.3">
      <c r="A93" s="2" t="s">
        <v>141</v>
      </c>
    </row>
    <row r="94" spans="1:6" s="3" customFormat="1" x14ac:dyDescent="0.3"/>
    <row r="95" spans="1:6" x14ac:dyDescent="0.3">
      <c r="F95" s="45"/>
    </row>
    <row r="96" spans="1:6" x14ac:dyDescent="0.3">
      <c r="F96" s="45"/>
    </row>
    <row r="97" spans="6:6" x14ac:dyDescent="0.3">
      <c r="F97" s="45"/>
    </row>
    <row r="98" spans="6:6" x14ac:dyDescent="0.3">
      <c r="F98" s="45"/>
    </row>
    <row r="99" spans="6:6" x14ac:dyDescent="0.3">
      <c r="F99" s="45"/>
    </row>
    <row r="100" spans="6:6" x14ac:dyDescent="0.3">
      <c r="F100" s="45"/>
    </row>
    <row r="101" spans="6:6" x14ac:dyDescent="0.3">
      <c r="F101" s="45"/>
    </row>
    <row r="102" spans="6:6" x14ac:dyDescent="0.3">
      <c r="F102" s="45"/>
    </row>
    <row r="103" spans="6:6" x14ac:dyDescent="0.3">
      <c r="F103" s="45"/>
    </row>
    <row r="104" spans="6:6" x14ac:dyDescent="0.3">
      <c r="F104" s="45"/>
    </row>
    <row r="105" spans="6:6" x14ac:dyDescent="0.3">
      <c r="F105" s="45"/>
    </row>
    <row r="106" spans="6:6" x14ac:dyDescent="0.3">
      <c r="F106" s="45"/>
    </row>
    <row r="107" spans="6:6" x14ac:dyDescent="0.3">
      <c r="F107" s="45"/>
    </row>
    <row r="108" spans="6:6" x14ac:dyDescent="0.3">
      <c r="F108" s="45"/>
    </row>
    <row r="109" spans="6:6" x14ac:dyDescent="0.3">
      <c r="F109" s="45"/>
    </row>
    <row r="110" spans="6:6" x14ac:dyDescent="0.3">
      <c r="F110" s="45"/>
    </row>
    <row r="111" spans="6:6" x14ac:dyDescent="0.3">
      <c r="F111" s="45"/>
    </row>
    <row r="112" spans="6:6" x14ac:dyDescent="0.3">
      <c r="F112" s="45"/>
    </row>
    <row r="113" spans="6:6" x14ac:dyDescent="0.3">
      <c r="F113" s="45"/>
    </row>
    <row r="114" spans="6:6" x14ac:dyDescent="0.3">
      <c r="F114" s="45"/>
    </row>
    <row r="115" spans="6:6" x14ac:dyDescent="0.3">
      <c r="F115" s="4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SquidstatCalibrator">
                <anchor moveWithCells="1" sizeWithCells="1">
                  <from>
                    <xdr:col>5</xdr:col>
                    <xdr:colOff>114300</xdr:colOff>
                    <xdr:row>0</xdr:row>
                    <xdr:rowOff>76200</xdr:rowOff>
                  </from>
                  <to>
                    <xdr:col>6</xdr:col>
                    <xdr:colOff>518160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mportCSVFile">
                <anchor moveWithCells="1" sizeWithCells="1">
                  <from>
                    <xdr:col>7</xdr:col>
                    <xdr:colOff>144780</xdr:colOff>
                    <xdr:row>0</xdr:row>
                    <xdr:rowOff>68580</xdr:rowOff>
                  </from>
                  <to>
                    <xdr:col>8</xdr:col>
                    <xdr:colOff>518160</xdr:colOff>
                    <xdr:row>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52"/>
  <sheetViews>
    <sheetView workbookViewId="0">
      <selection activeCell="I1" sqref="I1"/>
    </sheetView>
  </sheetViews>
  <sheetFormatPr defaultColWidth="8.6640625" defaultRowHeight="14.4" x14ac:dyDescent="0.3"/>
  <cols>
    <col min="1" max="2" width="8.6640625" style="2" customWidth="1"/>
    <col min="3" max="11" width="8.6640625" style="2"/>
    <col min="12" max="12" width="17.44140625" style="2" bestFit="1" customWidth="1"/>
    <col min="13" max="13" width="7.44140625" style="2" bestFit="1" customWidth="1"/>
    <col min="14" max="16384" width="8.6640625" style="2"/>
  </cols>
  <sheetData>
    <row r="1" spans="1:13" x14ac:dyDescent="0.3">
      <c r="A1" s="3" t="s">
        <v>47</v>
      </c>
      <c r="B1" s="4" t="s">
        <v>3</v>
      </c>
      <c r="C1" s="2" t="str">
        <f>VLOOKUP(B1,Connect!A2:D3, 4)</f>
        <v>COM4</v>
      </c>
      <c r="D1" s="3" t="s">
        <v>65</v>
      </c>
      <c r="E1" s="2">
        <v>0</v>
      </c>
      <c r="F1" s="4"/>
      <c r="G1" s="4"/>
      <c r="H1" s="4"/>
      <c r="I1" s="4"/>
      <c r="J1" s="4"/>
      <c r="L1" s="3" t="s">
        <v>62</v>
      </c>
      <c r="M1" s="3" t="s">
        <v>7</v>
      </c>
    </row>
    <row r="2" spans="1:13" x14ac:dyDescent="0.3">
      <c r="A2" s="3" t="s">
        <v>138</v>
      </c>
      <c r="B2" t="str">
        <f>_xlfn.CONCAT(Connect!G1, " ", Connect!J1, " ", Connect!D1, " ", B1, " ", C1, " ", E1)</f>
        <v>v2 0 COM15 hp34401a COM4 0</v>
      </c>
      <c r="F2" s="4"/>
      <c r="G2" s="4"/>
      <c r="H2" s="4"/>
      <c r="I2" s="4"/>
      <c r="J2" s="4"/>
      <c r="L2" s="45">
        <v>0.94699253999999999</v>
      </c>
      <c r="M2" s="2">
        <v>-31540</v>
      </c>
    </row>
    <row r="3" spans="1:13" x14ac:dyDescent="0.3">
      <c r="F3" s="4"/>
      <c r="G3" s="4"/>
      <c r="H3" s="4"/>
      <c r="I3" s="4"/>
      <c r="J3" s="4"/>
      <c r="L3" s="45">
        <v>0.85202104000000001</v>
      </c>
      <c r="M3" s="2">
        <v>-28377</v>
      </c>
    </row>
    <row r="4" spans="1:13" x14ac:dyDescent="0.3">
      <c r="L4" s="45">
        <v>0.75702080999999999</v>
      </c>
      <c r="M4" s="2">
        <v>-25213</v>
      </c>
    </row>
    <row r="5" spans="1:13" x14ac:dyDescent="0.3">
      <c r="L5" s="45">
        <v>0.66207583000000003</v>
      </c>
      <c r="M5" s="2">
        <v>-22050</v>
      </c>
    </row>
    <row r="6" spans="1:13" x14ac:dyDescent="0.3">
      <c r="L6" s="45">
        <v>0.56707110999999999</v>
      </c>
      <c r="M6" s="2">
        <v>-18886</v>
      </c>
    </row>
    <row r="7" spans="1:13" x14ac:dyDescent="0.3">
      <c r="L7" s="45">
        <v>0.47206937999999998</v>
      </c>
      <c r="M7" s="2">
        <v>-15723</v>
      </c>
    </row>
    <row r="8" spans="1:13" x14ac:dyDescent="0.3">
      <c r="L8" s="45">
        <v>0.37700075999999999</v>
      </c>
      <c r="M8" s="2">
        <v>-12557</v>
      </c>
    </row>
    <row r="9" spans="1:13" x14ac:dyDescent="0.3">
      <c r="L9" s="45">
        <v>0.28195143</v>
      </c>
      <c r="M9" s="2">
        <v>-9391</v>
      </c>
    </row>
    <row r="10" spans="1:13" x14ac:dyDescent="0.3">
      <c r="L10" s="45">
        <v>0.18696462</v>
      </c>
      <c r="M10" s="2">
        <v>-6229</v>
      </c>
    </row>
    <row r="11" spans="1:13" x14ac:dyDescent="0.3">
      <c r="L11" s="45">
        <v>9.1715511999999999E-2</v>
      </c>
      <c r="M11" s="2">
        <v>-3063</v>
      </c>
    </row>
    <row r="12" spans="1:13" x14ac:dyDescent="0.3">
      <c r="L12" s="45">
        <v>-3.1028544000000001E-3</v>
      </c>
      <c r="M12" s="2">
        <v>100</v>
      </c>
    </row>
    <row r="13" spans="1:13" x14ac:dyDescent="0.3">
      <c r="L13" s="45">
        <v>-9.7992237999999995E-2</v>
      </c>
      <c r="M13" s="2">
        <v>3263</v>
      </c>
    </row>
    <row r="14" spans="1:13" x14ac:dyDescent="0.3">
      <c r="L14" s="45">
        <v>-0.19324621</v>
      </c>
      <c r="M14" s="2">
        <v>6429</v>
      </c>
    </row>
    <row r="15" spans="1:13" x14ac:dyDescent="0.3">
      <c r="L15" s="45">
        <v>-0.28815653000000002</v>
      </c>
      <c r="M15" s="2">
        <v>9593</v>
      </c>
    </row>
    <row r="16" spans="1:13" x14ac:dyDescent="0.3">
      <c r="L16" s="45">
        <v>-0.38319104999999998</v>
      </c>
      <c r="M16" s="2">
        <v>12758</v>
      </c>
    </row>
    <row r="17" spans="12:13" x14ac:dyDescent="0.3">
      <c r="L17" s="45">
        <v>-0.47823567</v>
      </c>
      <c r="M17" s="2">
        <v>15924</v>
      </c>
    </row>
    <row r="18" spans="12:13" x14ac:dyDescent="0.3">
      <c r="L18" s="45">
        <v>-0.57327784000000004</v>
      </c>
      <c r="M18" s="2">
        <v>19090</v>
      </c>
    </row>
    <row r="19" spans="12:13" x14ac:dyDescent="0.3">
      <c r="L19" s="45">
        <v>-0.66833304000000004</v>
      </c>
      <c r="M19" s="2">
        <v>22257</v>
      </c>
    </row>
    <row r="20" spans="12:13" x14ac:dyDescent="0.3">
      <c r="L20" s="45">
        <v>-0.76328138000000001</v>
      </c>
      <c r="M20" s="2">
        <v>25421</v>
      </c>
    </row>
    <row r="21" spans="12:13" x14ac:dyDescent="0.3">
      <c r="L21" s="45">
        <v>-0.85829082000000001</v>
      </c>
      <c r="M21" s="2">
        <v>28585</v>
      </c>
    </row>
    <row r="22" spans="12:13" x14ac:dyDescent="0.3">
      <c r="L22" s="45">
        <v>-0.95326</v>
      </c>
      <c r="M22" s="2">
        <v>31751</v>
      </c>
    </row>
    <row r="52" s="3" customFormat="1" x14ac:dyDescent="0.3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RunSquidstatCalibrator">
                <anchor moveWithCells="1" sizeWithCells="1">
                  <from>
                    <xdr:col>5</xdr:col>
                    <xdr:colOff>213360</xdr:colOff>
                    <xdr:row>0</xdr:row>
                    <xdr:rowOff>99060</xdr:rowOff>
                  </from>
                  <to>
                    <xdr:col>7</xdr:col>
                    <xdr:colOff>228600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ImportCSVFile">
                <anchor moveWithCells="1" sizeWithCells="1">
                  <from>
                    <xdr:col>7</xdr:col>
                    <xdr:colOff>388620</xdr:colOff>
                    <xdr:row>0</xdr:row>
                    <xdr:rowOff>99060</xdr:rowOff>
                  </from>
                  <to>
                    <xdr:col>9</xdr:col>
                    <xdr:colOff>419100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Internal!$B$2:$B$3</xm:f>
          </x14:formula1>
          <xm:sqref>B1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22"/>
  <sheetViews>
    <sheetView workbookViewId="0">
      <selection activeCell="H39" sqref="H39"/>
    </sheetView>
  </sheetViews>
  <sheetFormatPr defaultColWidth="8.6640625" defaultRowHeight="14.4" x14ac:dyDescent="0.3"/>
  <cols>
    <col min="1" max="2" width="8.6640625" style="2" customWidth="1"/>
    <col min="3" max="11" width="8.6640625" style="2"/>
    <col min="12" max="12" width="17.44140625" style="2" bestFit="1" customWidth="1"/>
    <col min="13" max="13" width="7.44140625" style="2" bestFit="1" customWidth="1"/>
    <col min="14" max="16384" width="8.6640625" style="2"/>
  </cols>
  <sheetData>
    <row r="1" spans="1:13" x14ac:dyDescent="0.3">
      <c r="A1" s="3" t="s">
        <v>47</v>
      </c>
      <c r="B1" s="4" t="s">
        <v>3</v>
      </c>
      <c r="C1" s="2" t="str">
        <f>VLOOKUP(B1,Connect!A2:D3, 4)</f>
        <v>COM4</v>
      </c>
      <c r="D1" s="3" t="s">
        <v>65</v>
      </c>
      <c r="E1" s="2">
        <v>1</v>
      </c>
      <c r="F1" s="4"/>
      <c r="G1" s="4"/>
      <c r="H1" s="4"/>
      <c r="I1" s="4"/>
      <c r="J1" s="4"/>
      <c r="L1" s="3" t="s">
        <v>62</v>
      </c>
      <c r="M1" s="3" t="s">
        <v>7</v>
      </c>
    </row>
    <row r="2" spans="1:13" x14ac:dyDescent="0.3">
      <c r="A2" s="3" t="s">
        <v>138</v>
      </c>
      <c r="B2" t="str">
        <f>_xlfn.CONCAT(Connect!G1, " ", Connect!J1, " ", Connect!D1, " ", B1, " ", C1, " ", E1)</f>
        <v>v2 0 COM15 hp34401a COM4 1</v>
      </c>
      <c r="F2" s="4"/>
      <c r="G2" s="4"/>
      <c r="H2" s="4"/>
      <c r="I2" s="4"/>
      <c r="J2" s="4"/>
      <c r="L2" s="45">
        <v>5.9757234999999999E-2</v>
      </c>
      <c r="M2" s="2">
        <v>-31532</v>
      </c>
    </row>
    <row r="3" spans="1:13" x14ac:dyDescent="0.3">
      <c r="F3" s="4"/>
      <c r="G3" s="4"/>
      <c r="H3" s="4"/>
      <c r="I3" s="4"/>
      <c r="J3" s="4"/>
      <c r="L3" s="45">
        <v>5.3761266000000002E-2</v>
      </c>
      <c r="M3" s="2">
        <v>-28370</v>
      </c>
    </row>
    <row r="4" spans="1:13" x14ac:dyDescent="0.3">
      <c r="L4" s="45">
        <v>4.7766083000000001E-2</v>
      </c>
      <c r="M4" s="2">
        <v>-25207</v>
      </c>
    </row>
    <row r="5" spans="1:13" x14ac:dyDescent="0.3">
      <c r="L5" s="45">
        <v>4.1775135999999997E-2</v>
      </c>
      <c r="M5" s="2">
        <v>-22045</v>
      </c>
    </row>
    <row r="6" spans="1:13" x14ac:dyDescent="0.3">
      <c r="L6" s="45">
        <v>3.5780922E-2</v>
      </c>
      <c r="M6" s="2">
        <v>-18883</v>
      </c>
    </row>
    <row r="7" spans="1:13" x14ac:dyDescent="0.3">
      <c r="L7" s="45">
        <v>2.9786325999999998E-2</v>
      </c>
      <c r="M7" s="2">
        <v>-15719</v>
      </c>
    </row>
    <row r="8" spans="1:13" x14ac:dyDescent="0.3">
      <c r="L8" s="45">
        <v>2.3787620999999998E-2</v>
      </c>
      <c r="M8" s="2">
        <v>-12554</v>
      </c>
    </row>
    <row r="9" spans="1:13" x14ac:dyDescent="0.3">
      <c r="L9" s="45">
        <v>1.7790084000000001E-2</v>
      </c>
      <c r="M9" s="2">
        <v>-9389</v>
      </c>
    </row>
    <row r="10" spans="1:13" x14ac:dyDescent="0.3">
      <c r="L10" s="45">
        <v>1.1796001E-2</v>
      </c>
      <c r="M10" s="2">
        <v>-6227</v>
      </c>
    </row>
    <row r="11" spans="1:13" x14ac:dyDescent="0.3">
      <c r="L11" s="45">
        <v>5.797923E-3</v>
      </c>
      <c r="M11" s="2">
        <v>-3063</v>
      </c>
    </row>
    <row r="12" spans="1:13" x14ac:dyDescent="0.3">
      <c r="L12" s="45">
        <v>-1.9868770000000001E-4</v>
      </c>
      <c r="M12" s="2">
        <v>100</v>
      </c>
    </row>
    <row r="13" spans="1:13" x14ac:dyDescent="0.3">
      <c r="L13" s="45">
        <v>-6.195987E-3</v>
      </c>
      <c r="M13" s="2">
        <v>3263</v>
      </c>
    </row>
    <row r="14" spans="1:13" x14ac:dyDescent="0.3">
      <c r="L14" s="45">
        <v>-1.2193223E-2</v>
      </c>
      <c r="M14" s="2">
        <v>6427</v>
      </c>
    </row>
    <row r="15" spans="1:13" x14ac:dyDescent="0.3">
      <c r="L15" s="45">
        <v>-1.8191002000000001E-2</v>
      </c>
      <c r="M15" s="2">
        <v>9591</v>
      </c>
    </row>
    <row r="16" spans="1:13" x14ac:dyDescent="0.3">
      <c r="L16" s="45">
        <v>-2.4189459999999999E-2</v>
      </c>
      <c r="M16" s="2">
        <v>12755</v>
      </c>
    </row>
    <row r="17" spans="12:13" x14ac:dyDescent="0.3">
      <c r="L17" s="45">
        <v>-3.0188223E-2</v>
      </c>
      <c r="M17" s="2">
        <v>15920</v>
      </c>
    </row>
    <row r="18" spans="12:13" x14ac:dyDescent="0.3">
      <c r="L18" s="45">
        <v>-3.6186372000000001E-2</v>
      </c>
      <c r="M18" s="2">
        <v>19085</v>
      </c>
    </row>
    <row r="19" spans="12:13" x14ac:dyDescent="0.3">
      <c r="L19" s="45">
        <v>-4.2184695000000001E-2</v>
      </c>
      <c r="M19" s="2">
        <v>22250</v>
      </c>
    </row>
    <row r="20" spans="12:13" x14ac:dyDescent="0.3">
      <c r="L20" s="45">
        <v>-4.8176139999999999E-2</v>
      </c>
      <c r="M20" s="2">
        <v>25413</v>
      </c>
    </row>
    <row r="21" spans="12:13" x14ac:dyDescent="0.3">
      <c r="L21" s="45">
        <v>-5.4170146000000002E-2</v>
      </c>
      <c r="M21" s="2">
        <v>28577</v>
      </c>
    </row>
    <row r="22" spans="12:13" x14ac:dyDescent="0.3">
      <c r="L22" s="45">
        <v>-6.0160975999999998E-2</v>
      </c>
      <c r="M22" s="2">
        <v>31741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unSquidstatCalibrator">
                <anchor moveWithCells="1" sizeWithCells="1">
                  <from>
                    <xdr:col>5</xdr:col>
                    <xdr:colOff>251460</xdr:colOff>
                    <xdr:row>0</xdr:row>
                    <xdr:rowOff>99060</xdr:rowOff>
                  </from>
                  <to>
                    <xdr:col>7</xdr:col>
                    <xdr:colOff>251460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ImportCSVFile">
                <anchor moveWithCells="1" sizeWithCells="1">
                  <from>
                    <xdr:col>7</xdr:col>
                    <xdr:colOff>411480</xdr:colOff>
                    <xdr:row>0</xdr:row>
                    <xdr:rowOff>99060</xdr:rowOff>
                  </from>
                  <to>
                    <xdr:col>9</xdr:col>
                    <xdr:colOff>403860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Internal!$B$2:$B$3</xm:f>
          </x14:formula1>
          <xm:sqref>B1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N22"/>
  <sheetViews>
    <sheetView workbookViewId="0">
      <selection activeCell="B1" sqref="B1"/>
    </sheetView>
  </sheetViews>
  <sheetFormatPr defaultColWidth="8.6640625" defaultRowHeight="14.4" x14ac:dyDescent="0.3"/>
  <cols>
    <col min="1" max="2" width="8.6640625" style="2" customWidth="1"/>
    <col min="3" max="11" width="8.6640625" style="2"/>
    <col min="12" max="12" width="17.44140625" style="2" bestFit="1" customWidth="1"/>
    <col min="13" max="13" width="7.44140625" style="2" bestFit="1" customWidth="1"/>
    <col min="14" max="16384" width="8.6640625" style="2"/>
  </cols>
  <sheetData>
    <row r="1" spans="1:14" x14ac:dyDescent="0.3">
      <c r="A1" s="3" t="s">
        <v>47</v>
      </c>
      <c r="B1" s="4" t="s">
        <v>3</v>
      </c>
      <c r="C1" s="2" t="str">
        <f>VLOOKUP(B1,Connect!A2:D3, 4)</f>
        <v>COM4</v>
      </c>
      <c r="D1" s="3" t="s">
        <v>65</v>
      </c>
      <c r="E1" s="2">
        <v>2</v>
      </c>
      <c r="F1" s="4"/>
      <c r="G1" s="4"/>
      <c r="H1" s="4"/>
      <c r="I1" s="4"/>
      <c r="J1" s="4"/>
      <c r="L1" s="3" t="s">
        <v>62</v>
      </c>
      <c r="M1" s="3" t="s">
        <v>7</v>
      </c>
    </row>
    <row r="2" spans="1:14" x14ac:dyDescent="0.3">
      <c r="A2" s="3" t="s">
        <v>138</v>
      </c>
      <c r="B2" t="str">
        <f>_xlfn.CONCAT(Connect!G1, " ", Connect!J1, " ", Connect!D1, " ", B1, " ", C1, " ", E1)</f>
        <v>v2 0 COM15 hp34401a COM4 2</v>
      </c>
      <c r="F2" s="4"/>
      <c r="G2" s="4"/>
      <c r="H2" s="4"/>
      <c r="I2" s="4"/>
      <c r="J2" s="4"/>
      <c r="L2" s="45">
        <v>9.6404598000000008E-3</v>
      </c>
      <c r="M2" s="2">
        <v>-31532</v>
      </c>
      <c r="N2" s="48"/>
    </row>
    <row r="3" spans="1:14" x14ac:dyDescent="0.3">
      <c r="F3" s="4"/>
      <c r="G3" s="4"/>
      <c r="H3" s="4"/>
      <c r="I3" s="4"/>
      <c r="J3" s="4"/>
      <c r="L3" s="45">
        <v>8.6732965999999998E-3</v>
      </c>
      <c r="M3" s="2">
        <v>-28369</v>
      </c>
      <c r="N3" s="48"/>
    </row>
    <row r="4" spans="1:14" x14ac:dyDescent="0.3">
      <c r="L4" s="45">
        <v>7.7060395000000002E-3</v>
      </c>
      <c r="M4" s="2">
        <v>-25206</v>
      </c>
      <c r="N4" s="48"/>
    </row>
    <row r="5" spans="1:14" x14ac:dyDescent="0.3">
      <c r="L5" s="45">
        <v>6.7392342999999999E-3</v>
      </c>
      <c r="M5" s="2">
        <v>-22045</v>
      </c>
      <c r="N5" s="48"/>
    </row>
    <row r="6" spans="1:14" x14ac:dyDescent="0.3">
      <c r="L6" s="45">
        <v>5.7720410000000003E-3</v>
      </c>
      <c r="M6" s="2">
        <v>-18882</v>
      </c>
      <c r="N6" s="48"/>
    </row>
    <row r="7" spans="1:14" x14ac:dyDescent="0.3">
      <c r="L7" s="45">
        <v>4.8048016999999998E-3</v>
      </c>
      <c r="M7" s="2">
        <v>-15719</v>
      </c>
      <c r="N7" s="48"/>
    </row>
    <row r="8" spans="1:14" x14ac:dyDescent="0.3">
      <c r="L8" s="45">
        <v>3.8370046E-3</v>
      </c>
      <c r="M8" s="2">
        <v>-12554</v>
      </c>
      <c r="N8" s="48"/>
    </row>
    <row r="9" spans="1:14" x14ac:dyDescent="0.3">
      <c r="L9" s="45">
        <v>2.8695278E-3</v>
      </c>
      <c r="M9" s="2">
        <v>-9390</v>
      </c>
      <c r="N9" s="48"/>
    </row>
    <row r="10" spans="1:14" x14ac:dyDescent="0.3">
      <c r="L10" s="45">
        <v>1.9027416999999999E-3</v>
      </c>
      <c r="M10" s="2">
        <v>-6228</v>
      </c>
      <c r="N10" s="48"/>
    </row>
    <row r="11" spans="1:14" x14ac:dyDescent="0.3">
      <c r="L11" s="45">
        <v>9.3533660000000003E-4</v>
      </c>
      <c r="M11" s="2">
        <v>-3063</v>
      </c>
      <c r="N11" s="48"/>
    </row>
    <row r="12" spans="1:14" x14ac:dyDescent="0.3">
      <c r="L12" s="45">
        <v>-3.1773100000000002E-5</v>
      </c>
      <c r="M12" s="2">
        <v>99</v>
      </c>
      <c r="N12" s="48"/>
    </row>
    <row r="13" spans="1:14" x14ac:dyDescent="0.3">
      <c r="L13" s="45">
        <v>-9.9886490000000001E-4</v>
      </c>
      <c r="M13" s="2">
        <v>3263</v>
      </c>
      <c r="N13" s="48"/>
    </row>
    <row r="14" spans="1:14" x14ac:dyDescent="0.3">
      <c r="L14" s="45">
        <v>-1.9659688000000001E-3</v>
      </c>
      <c r="M14" s="2">
        <v>6426</v>
      </c>
      <c r="N14" s="48"/>
    </row>
    <row r="15" spans="1:14" x14ac:dyDescent="0.3">
      <c r="L15" s="45">
        <v>-2.9331482000000001E-3</v>
      </c>
      <c r="M15" s="2">
        <v>9590</v>
      </c>
      <c r="N15" s="48"/>
    </row>
    <row r="16" spans="1:14" x14ac:dyDescent="0.3">
      <c r="L16" s="45">
        <v>-3.9004612000000001E-3</v>
      </c>
      <c r="M16" s="2">
        <v>12754</v>
      </c>
      <c r="N16" s="48"/>
    </row>
    <row r="17" spans="12:14" x14ac:dyDescent="0.3">
      <c r="L17" s="45">
        <v>-4.8679487000000002E-3</v>
      </c>
      <c r="M17" s="2">
        <v>15919</v>
      </c>
      <c r="N17" s="48"/>
    </row>
    <row r="18" spans="12:14" x14ac:dyDescent="0.3">
      <c r="L18" s="45">
        <v>-5.8354835000000004E-3</v>
      </c>
      <c r="M18" s="2">
        <v>19084</v>
      </c>
      <c r="N18" s="48"/>
    </row>
    <row r="19" spans="12:14" x14ac:dyDescent="0.3">
      <c r="L19" s="45">
        <v>-6.8031901999999998E-3</v>
      </c>
      <c r="M19" s="2">
        <v>22250</v>
      </c>
      <c r="N19" s="48"/>
    </row>
    <row r="20" spans="12:14" x14ac:dyDescent="0.3">
      <c r="L20" s="45">
        <v>-7.7700449999999997E-3</v>
      </c>
      <c r="M20" s="2">
        <v>25412</v>
      </c>
      <c r="N20" s="48"/>
    </row>
    <row r="21" spans="12:14" x14ac:dyDescent="0.3">
      <c r="L21" s="45">
        <v>-8.7375413000000002E-3</v>
      </c>
      <c r="M21" s="2">
        <v>28577</v>
      </c>
      <c r="N21" s="48"/>
    </row>
    <row r="22" spans="12:14" x14ac:dyDescent="0.3">
      <c r="L22" s="45">
        <v>-9.7048289999999999E-3</v>
      </c>
      <c r="M22" s="2">
        <v>31740</v>
      </c>
      <c r="N22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unSquidstatCalibrator">
                <anchor moveWithCells="1" sizeWithCells="1">
                  <from>
                    <xdr:col>5</xdr:col>
                    <xdr:colOff>259080</xdr:colOff>
                    <xdr:row>0</xdr:row>
                    <xdr:rowOff>106680</xdr:rowOff>
                  </from>
                  <to>
                    <xdr:col>7</xdr:col>
                    <xdr:colOff>251460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ImportCSVFile">
                <anchor moveWithCells="1" sizeWithCells="1">
                  <from>
                    <xdr:col>7</xdr:col>
                    <xdr:colOff>403860</xdr:colOff>
                    <xdr:row>0</xdr:row>
                    <xdr:rowOff>99060</xdr:rowOff>
                  </from>
                  <to>
                    <xdr:col>9</xdr:col>
                    <xdr:colOff>403860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Internal!$B$2:$B$3</xm:f>
          </x14:formula1>
          <xm:sqref>B1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N52"/>
  <sheetViews>
    <sheetView workbookViewId="0">
      <selection activeCell="B1" sqref="B1"/>
    </sheetView>
  </sheetViews>
  <sheetFormatPr defaultColWidth="8.6640625" defaultRowHeight="14.4" x14ac:dyDescent="0.3"/>
  <cols>
    <col min="1" max="2" width="8.6640625" style="46" customWidth="1"/>
    <col min="3" max="10" width="8.6640625" style="46"/>
    <col min="11" max="11" width="8.6640625" style="46" customWidth="1"/>
    <col min="12" max="12" width="17.44140625" style="46" bestFit="1" customWidth="1"/>
    <col min="13" max="13" width="7.44140625" style="46" bestFit="1" customWidth="1"/>
    <col min="14" max="16384" width="8.6640625" style="46"/>
  </cols>
  <sheetData>
    <row r="1" spans="1:14" x14ac:dyDescent="0.3">
      <c r="A1" s="47" t="s">
        <v>47</v>
      </c>
      <c r="B1" s="5" t="s">
        <v>2</v>
      </c>
      <c r="C1" s="2" t="str">
        <f>VLOOKUP(B1,Connect!A2:D3, 4)</f>
        <v>COM7</v>
      </c>
      <c r="D1" s="3" t="s">
        <v>65</v>
      </c>
      <c r="E1" s="46">
        <v>3</v>
      </c>
      <c r="F1" s="104"/>
      <c r="G1" s="104"/>
      <c r="H1" s="104"/>
      <c r="I1" s="104"/>
      <c r="J1" s="104"/>
      <c r="L1" s="3" t="s">
        <v>62</v>
      </c>
      <c r="M1" s="3" t="s">
        <v>7</v>
      </c>
    </row>
    <row r="2" spans="1:14" x14ac:dyDescent="0.3">
      <c r="A2" s="3" t="s">
        <v>138</v>
      </c>
      <c r="B2" t="str">
        <f>_xlfn.CONCAT(Connect!G1, " ", Connect!J1, " ", Connect!D1, " ", B1, " ", C1, " ", E1)</f>
        <v>v2 0 COM15 keithley485 COM7 3</v>
      </c>
      <c r="F2" s="104"/>
      <c r="G2" s="104"/>
      <c r="H2" s="104"/>
      <c r="I2" s="104"/>
      <c r="J2" s="104"/>
      <c r="L2" s="48">
        <v>9.6409999999999996E-4</v>
      </c>
      <c r="M2" s="46">
        <v>-31533</v>
      </c>
      <c r="N2" s="48"/>
    </row>
    <row r="3" spans="1:14" x14ac:dyDescent="0.3">
      <c r="F3" s="104"/>
      <c r="G3" s="104"/>
      <c r="H3" s="104"/>
      <c r="I3" s="104"/>
      <c r="J3" s="104"/>
      <c r="L3" s="48">
        <v>8.6729999999999999E-4</v>
      </c>
      <c r="M3" s="46">
        <v>-28371</v>
      </c>
      <c r="N3" s="48"/>
    </row>
    <row r="4" spans="1:14" x14ac:dyDescent="0.3">
      <c r="L4" s="48">
        <v>7.7059999999999997E-4</v>
      </c>
      <c r="M4" s="46">
        <v>-25207</v>
      </c>
      <c r="N4" s="48"/>
    </row>
    <row r="5" spans="1:14" x14ac:dyDescent="0.3">
      <c r="L5" s="48">
        <v>6.7389999999999995E-4</v>
      </c>
      <c r="M5" s="46">
        <v>-22046</v>
      </c>
      <c r="N5" s="48"/>
    </row>
    <row r="6" spans="1:14" x14ac:dyDescent="0.3">
      <c r="L6" s="48">
        <v>5.7720000000000004E-4</v>
      </c>
      <c r="M6" s="46">
        <v>-18883</v>
      </c>
      <c r="N6" s="48"/>
    </row>
    <row r="7" spans="1:14" x14ac:dyDescent="0.3">
      <c r="L7" s="48">
        <v>4.8040000000000002E-4</v>
      </c>
      <c r="M7" s="46">
        <v>-15720</v>
      </c>
      <c r="N7" s="48"/>
    </row>
    <row r="8" spans="1:14" x14ac:dyDescent="0.3">
      <c r="L8" s="48">
        <v>3.836E-4</v>
      </c>
      <c r="M8" s="46">
        <v>-12555</v>
      </c>
      <c r="N8" s="48"/>
    </row>
    <row r="9" spans="1:14" x14ac:dyDescent="0.3">
      <c r="L9" s="48">
        <v>2.8689999999999998E-4</v>
      </c>
      <c r="M9" s="46">
        <v>-9390</v>
      </c>
      <c r="N9" s="48"/>
    </row>
    <row r="10" spans="1:14" x14ac:dyDescent="0.3">
      <c r="L10" s="48">
        <v>1.9019999999999999E-4</v>
      </c>
      <c r="M10" s="46">
        <v>-6228</v>
      </c>
      <c r="N10" s="48"/>
    </row>
    <row r="11" spans="1:14" x14ac:dyDescent="0.3">
      <c r="L11" s="48">
        <v>9.344E-5</v>
      </c>
      <c r="M11" s="46">
        <v>-3063</v>
      </c>
      <c r="N11" s="48"/>
    </row>
    <row r="12" spans="1:14" x14ac:dyDescent="0.3">
      <c r="L12" s="48">
        <v>-3.236E-6</v>
      </c>
      <c r="M12" s="46">
        <v>99</v>
      </c>
      <c r="N12" s="48"/>
    </row>
    <row r="13" spans="1:14" x14ac:dyDescent="0.3">
      <c r="L13" s="48">
        <v>-1E-4</v>
      </c>
      <c r="M13" s="46">
        <v>3264</v>
      </c>
      <c r="N13" s="48"/>
    </row>
    <row r="14" spans="1:14" x14ac:dyDescent="0.3">
      <c r="L14" s="48">
        <v>-1.9668999999999999E-4</v>
      </c>
      <c r="M14" s="46">
        <v>6427</v>
      </c>
      <c r="N14" s="48"/>
    </row>
    <row r="15" spans="1:14" x14ac:dyDescent="0.3">
      <c r="L15" s="48">
        <v>-2.9339999999999998E-4</v>
      </c>
      <c r="M15" s="46">
        <v>9590</v>
      </c>
      <c r="N15" s="48"/>
    </row>
    <row r="16" spans="1:14" x14ac:dyDescent="0.3">
      <c r="L16" s="48">
        <v>-3.901E-4</v>
      </c>
      <c r="M16" s="46">
        <v>12754</v>
      </c>
      <c r="N16" s="48"/>
    </row>
    <row r="17" spans="11:14" x14ac:dyDescent="0.3">
      <c r="L17" s="48">
        <v>-4.8680000000000001E-4</v>
      </c>
      <c r="M17" s="46">
        <v>15918</v>
      </c>
      <c r="N17" s="48"/>
    </row>
    <row r="18" spans="11:14" x14ac:dyDescent="0.3">
      <c r="L18" s="48">
        <v>-5.8359999999999998E-4</v>
      </c>
      <c r="M18" s="46">
        <v>19083</v>
      </c>
      <c r="N18" s="48"/>
    </row>
    <row r="19" spans="11:14" x14ac:dyDescent="0.3">
      <c r="L19" s="48">
        <v>-6.8039999999999995E-4</v>
      </c>
      <c r="M19" s="46">
        <v>22249</v>
      </c>
      <c r="N19" s="48"/>
    </row>
    <row r="20" spans="11:14" x14ac:dyDescent="0.3">
      <c r="L20" s="48">
        <v>-7.7709999999999997E-4</v>
      </c>
      <c r="M20" s="46">
        <v>25411</v>
      </c>
      <c r="N20" s="48"/>
    </row>
    <row r="21" spans="11:14" x14ac:dyDescent="0.3">
      <c r="L21" s="48">
        <v>-8.7379999999999999E-4</v>
      </c>
      <c r="M21" s="46">
        <v>28575</v>
      </c>
      <c r="N21" s="48"/>
    </row>
    <row r="22" spans="11:14" x14ac:dyDescent="0.3">
      <c r="L22" s="48">
        <v>-9.7059999999999996E-4</v>
      </c>
      <c r="M22" s="46">
        <v>31739</v>
      </c>
      <c r="N22" s="48"/>
    </row>
    <row r="26" spans="11:14" x14ac:dyDescent="0.3">
      <c r="K26" s="48"/>
    </row>
    <row r="27" spans="11:14" x14ac:dyDescent="0.3">
      <c r="K27" s="48"/>
    </row>
    <row r="28" spans="11:14" x14ac:dyDescent="0.3">
      <c r="K28" s="48"/>
    </row>
    <row r="29" spans="11:14" x14ac:dyDescent="0.3">
      <c r="K29" s="48"/>
    </row>
    <row r="30" spans="11:14" x14ac:dyDescent="0.3">
      <c r="K30" s="48"/>
    </row>
    <row r="31" spans="11:14" x14ac:dyDescent="0.3">
      <c r="K31" s="48"/>
    </row>
    <row r="32" spans="11:14" x14ac:dyDescent="0.3">
      <c r="K32" s="48"/>
    </row>
    <row r="33" spans="11:11" x14ac:dyDescent="0.3">
      <c r="K33" s="48"/>
    </row>
    <row r="34" spans="11:11" x14ac:dyDescent="0.3">
      <c r="K34" s="48"/>
    </row>
    <row r="35" spans="11:11" x14ac:dyDescent="0.3">
      <c r="K35" s="48"/>
    </row>
    <row r="36" spans="11:11" x14ac:dyDescent="0.3">
      <c r="K36" s="48"/>
    </row>
    <row r="37" spans="11:11" x14ac:dyDescent="0.3">
      <c r="K37" s="48"/>
    </row>
    <row r="38" spans="11:11" x14ac:dyDescent="0.3">
      <c r="K38" s="48"/>
    </row>
    <row r="39" spans="11:11" x14ac:dyDescent="0.3">
      <c r="K39" s="48"/>
    </row>
    <row r="40" spans="11:11" x14ac:dyDescent="0.3">
      <c r="K40" s="48"/>
    </row>
    <row r="41" spans="11:11" x14ac:dyDescent="0.3">
      <c r="K41" s="48"/>
    </row>
    <row r="42" spans="11:11" x14ac:dyDescent="0.3">
      <c r="K42" s="48"/>
    </row>
    <row r="43" spans="11:11" x14ac:dyDescent="0.3">
      <c r="K43" s="48"/>
    </row>
    <row r="44" spans="11:11" x14ac:dyDescent="0.3">
      <c r="K44" s="48"/>
    </row>
    <row r="45" spans="11:11" x14ac:dyDescent="0.3">
      <c r="K45" s="48"/>
    </row>
    <row r="46" spans="11:11" x14ac:dyDescent="0.3">
      <c r="K46" s="48"/>
    </row>
    <row r="52" s="3" customFormat="1" x14ac:dyDescent="0.3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RunSquidstatCalibrator">
                <anchor moveWithCells="1" sizeWithCells="1">
                  <from>
                    <xdr:col>5</xdr:col>
                    <xdr:colOff>228600</xdr:colOff>
                    <xdr:row>0</xdr:row>
                    <xdr:rowOff>76200</xdr:rowOff>
                  </from>
                  <to>
                    <xdr:col>7</xdr:col>
                    <xdr:colOff>228600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ImportCSVFile">
                <anchor moveWithCells="1" sizeWithCells="1">
                  <from>
                    <xdr:col>7</xdr:col>
                    <xdr:colOff>403860</xdr:colOff>
                    <xdr:row>0</xdr:row>
                    <xdr:rowOff>60960</xdr:rowOff>
                  </from>
                  <to>
                    <xdr:col>9</xdr:col>
                    <xdr:colOff>373380</xdr:colOff>
                    <xdr:row>2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Internal!$B$2:$B$3</xm:f>
          </x14:formula1>
          <xm:sqref>B1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22"/>
  <sheetViews>
    <sheetView workbookViewId="0">
      <selection activeCell="B1" sqref="B1"/>
    </sheetView>
  </sheetViews>
  <sheetFormatPr defaultColWidth="8.6640625" defaultRowHeight="14.4" x14ac:dyDescent="0.3"/>
  <cols>
    <col min="1" max="11" width="8.6640625" style="2"/>
    <col min="12" max="12" width="17.44140625" style="2" bestFit="1" customWidth="1"/>
    <col min="13" max="13" width="7.44140625" style="2" bestFit="1" customWidth="1"/>
    <col min="14" max="16384" width="8.6640625" style="2"/>
  </cols>
  <sheetData>
    <row r="1" spans="1:13" x14ac:dyDescent="0.3">
      <c r="A1" s="3" t="s">
        <v>47</v>
      </c>
      <c r="B1" s="4" t="s">
        <v>2</v>
      </c>
      <c r="C1" s="2" t="str">
        <f>VLOOKUP(B1,Connect!A2:D3, 4)</f>
        <v>COM7</v>
      </c>
      <c r="D1" s="3" t="s">
        <v>65</v>
      </c>
      <c r="E1" s="2">
        <v>4</v>
      </c>
      <c r="L1" s="3" t="s">
        <v>62</v>
      </c>
      <c r="M1" s="3" t="s">
        <v>7</v>
      </c>
    </row>
    <row r="2" spans="1:13" x14ac:dyDescent="0.3">
      <c r="A2" s="3" t="s">
        <v>138</v>
      </c>
      <c r="B2" t="str">
        <f>_xlfn.CONCAT(Connect!G1, " ", Connect!J1, " ", Connect!D1, " ", B1, " ", C1, " ", E1)</f>
        <v>v2 0 COM15 keithley485 COM7 4</v>
      </c>
      <c r="L2" s="45">
        <v>9.6409999999999993E-5</v>
      </c>
      <c r="M2" s="2">
        <v>-31533</v>
      </c>
    </row>
    <row r="3" spans="1:13" x14ac:dyDescent="0.3">
      <c r="A3" s="4"/>
      <c r="B3" s="4"/>
      <c r="C3" s="4"/>
      <c r="D3" s="4"/>
      <c r="E3" s="4"/>
      <c r="F3" s="4"/>
      <c r="G3" s="4"/>
      <c r="H3" s="4"/>
      <c r="I3" s="4"/>
      <c r="J3" s="4"/>
      <c r="L3" s="45">
        <v>8.6730000000000005E-5</v>
      </c>
      <c r="M3" s="2">
        <v>-28370</v>
      </c>
    </row>
    <row r="4" spans="1:13" x14ac:dyDescent="0.3">
      <c r="A4" s="4"/>
      <c r="B4" s="4"/>
      <c r="C4" s="4"/>
      <c r="D4" s="4"/>
      <c r="E4" s="4"/>
      <c r="F4" s="4"/>
      <c r="G4" s="4"/>
      <c r="H4" s="4"/>
      <c r="I4" s="4"/>
      <c r="J4" s="4"/>
      <c r="L4" s="45">
        <v>7.7059999999999997E-5</v>
      </c>
      <c r="M4" s="2">
        <v>-25207</v>
      </c>
    </row>
    <row r="5" spans="1:13" x14ac:dyDescent="0.3">
      <c r="A5" s="4"/>
      <c r="B5" s="4"/>
      <c r="C5" s="4"/>
      <c r="D5" s="4"/>
      <c r="E5" s="4"/>
      <c r="F5" s="4"/>
      <c r="G5" s="4"/>
      <c r="H5" s="4"/>
      <c r="I5" s="4"/>
      <c r="J5" s="4"/>
      <c r="L5" s="45">
        <v>6.7379999999999995E-5</v>
      </c>
      <c r="M5" s="2">
        <v>-22045</v>
      </c>
    </row>
    <row r="6" spans="1:13" x14ac:dyDescent="0.3">
      <c r="A6" s="4"/>
      <c r="B6" s="4"/>
      <c r="C6" s="4"/>
      <c r="D6" s="4"/>
      <c r="E6" s="4"/>
      <c r="F6" s="4"/>
      <c r="G6" s="4"/>
      <c r="H6" s="4"/>
      <c r="I6" s="4"/>
      <c r="J6" s="4"/>
      <c r="L6" s="45">
        <v>5.7710000000000001E-5</v>
      </c>
      <c r="M6" s="2">
        <v>-18882</v>
      </c>
    </row>
    <row r="7" spans="1:13" x14ac:dyDescent="0.3">
      <c r="A7" s="4"/>
      <c r="B7" s="4"/>
      <c r="C7" s="4"/>
      <c r="D7" s="4"/>
      <c r="E7" s="4"/>
      <c r="F7" s="4"/>
      <c r="G7" s="4"/>
      <c r="H7" s="4"/>
      <c r="I7" s="4"/>
      <c r="J7" s="4"/>
      <c r="L7" s="45">
        <v>4.8040000000000001E-5</v>
      </c>
      <c r="M7" s="2">
        <v>-15719</v>
      </c>
    </row>
    <row r="8" spans="1:13" x14ac:dyDescent="0.3">
      <c r="A8" s="4"/>
      <c r="B8" s="4"/>
      <c r="C8" s="4"/>
      <c r="D8" s="4"/>
      <c r="E8" s="4"/>
      <c r="F8" s="4"/>
      <c r="G8" s="4"/>
      <c r="H8" s="4"/>
      <c r="I8" s="4"/>
      <c r="J8" s="4"/>
      <c r="L8" s="45">
        <v>3.8359999999999999E-5</v>
      </c>
      <c r="M8" s="2">
        <v>-12554</v>
      </c>
    </row>
    <row r="9" spans="1:13" x14ac:dyDescent="0.3">
      <c r="L9" s="45">
        <v>2.868E-5</v>
      </c>
      <c r="M9" s="2">
        <v>-9390</v>
      </c>
    </row>
    <row r="10" spans="1:13" x14ac:dyDescent="0.3">
      <c r="L10" s="45">
        <v>1.9009999999999999E-5</v>
      </c>
      <c r="M10" s="2">
        <v>-6228</v>
      </c>
    </row>
    <row r="11" spans="1:13" x14ac:dyDescent="0.3">
      <c r="L11" s="45">
        <v>9.3449999999999995E-6</v>
      </c>
      <c r="M11" s="2">
        <v>-3064</v>
      </c>
    </row>
    <row r="12" spans="1:13" x14ac:dyDescent="0.3">
      <c r="L12" s="45">
        <v>-3.2220000000000001E-7</v>
      </c>
      <c r="M12" s="2">
        <v>99</v>
      </c>
    </row>
    <row r="13" spans="1:13" x14ac:dyDescent="0.3">
      <c r="L13" s="45">
        <v>-1.0006999999999999E-5</v>
      </c>
      <c r="M13" s="2">
        <v>3264</v>
      </c>
    </row>
    <row r="14" spans="1:13" x14ac:dyDescent="0.3">
      <c r="L14" s="45">
        <v>-1.9675000000000001E-5</v>
      </c>
      <c r="M14" s="2">
        <v>6426</v>
      </c>
    </row>
    <row r="15" spans="1:13" x14ac:dyDescent="0.3">
      <c r="L15" s="45">
        <v>-2.9329999999999999E-5</v>
      </c>
      <c r="M15" s="2">
        <v>9589</v>
      </c>
    </row>
    <row r="16" spans="1:13" x14ac:dyDescent="0.3">
      <c r="L16" s="45">
        <v>-3.8999999999999999E-5</v>
      </c>
      <c r="M16" s="2">
        <v>12753</v>
      </c>
    </row>
    <row r="17" spans="12:13" x14ac:dyDescent="0.3">
      <c r="L17" s="45">
        <v>-4.8680000000000001E-5</v>
      </c>
      <c r="M17" s="2">
        <v>15918</v>
      </c>
    </row>
    <row r="18" spans="12:13" x14ac:dyDescent="0.3">
      <c r="L18" s="45">
        <v>-5.8350000000000002E-5</v>
      </c>
      <c r="M18" s="2">
        <v>19083</v>
      </c>
    </row>
    <row r="19" spans="12:13" x14ac:dyDescent="0.3">
      <c r="L19" s="45">
        <v>-6.8029999999999997E-5</v>
      </c>
      <c r="M19" s="2">
        <v>22249</v>
      </c>
    </row>
    <row r="20" spans="12:13" x14ac:dyDescent="0.3">
      <c r="L20" s="45">
        <v>-7.7700000000000005E-5</v>
      </c>
      <c r="M20" s="2">
        <v>25411</v>
      </c>
    </row>
    <row r="21" spans="12:13" x14ac:dyDescent="0.3">
      <c r="L21" s="45">
        <v>-8.7369999999999999E-5</v>
      </c>
      <c r="M21" s="2">
        <v>28575</v>
      </c>
    </row>
    <row r="22" spans="12:13" x14ac:dyDescent="0.3">
      <c r="L22" s="45">
        <v>-9.7040000000000006E-5</v>
      </c>
      <c r="M22" s="2">
        <v>31738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RunSquidstatCalibrator">
                <anchor moveWithCells="1" sizeWithCells="1">
                  <from>
                    <xdr:col>0</xdr:col>
                    <xdr:colOff>213360</xdr:colOff>
                    <xdr:row>2</xdr:row>
                    <xdr:rowOff>99060</xdr:rowOff>
                  </from>
                  <to>
                    <xdr:col>9</xdr:col>
                    <xdr:colOff>403860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ImportCSVFile">
                <anchor moveWithCells="1" sizeWithCells="1">
                  <from>
                    <xdr:col>0</xdr:col>
                    <xdr:colOff>213360</xdr:colOff>
                    <xdr:row>5</xdr:row>
                    <xdr:rowOff>99060</xdr:rowOff>
                  </from>
                  <to>
                    <xdr:col>9</xdr:col>
                    <xdr:colOff>403860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Internal!$B$2:$B$3</xm:f>
          </x14:formula1>
          <xm:sqref>B1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22"/>
  <sheetViews>
    <sheetView workbookViewId="0">
      <selection activeCell="B1" sqref="B1"/>
    </sheetView>
  </sheetViews>
  <sheetFormatPr defaultColWidth="8.6640625" defaultRowHeight="14.4" x14ac:dyDescent="0.3"/>
  <cols>
    <col min="1" max="11" width="8.6640625" style="2"/>
    <col min="12" max="12" width="17.44140625" style="2" bestFit="1" customWidth="1"/>
    <col min="13" max="13" width="7.44140625" style="2" bestFit="1" customWidth="1"/>
    <col min="14" max="16384" width="8.6640625" style="2"/>
  </cols>
  <sheetData>
    <row r="1" spans="1:13" x14ac:dyDescent="0.3">
      <c r="A1" s="3" t="s">
        <v>47</v>
      </c>
      <c r="B1" s="4" t="s">
        <v>2</v>
      </c>
      <c r="C1" s="2" t="str">
        <f>VLOOKUP(B1,Connect!A2:D3, 4)</f>
        <v>COM7</v>
      </c>
      <c r="D1" s="3" t="s">
        <v>65</v>
      </c>
      <c r="E1" s="2">
        <v>5</v>
      </c>
      <c r="L1" s="3" t="s">
        <v>62</v>
      </c>
      <c r="M1" s="3" t="s">
        <v>7</v>
      </c>
    </row>
    <row r="2" spans="1:13" x14ac:dyDescent="0.3">
      <c r="A2" s="3" t="s">
        <v>138</v>
      </c>
      <c r="B2" t="str">
        <f>_xlfn.CONCAT(Connect!G1, " ", Connect!J1, " ", Connect!D1, " ", B1, " ", C1, " ", E1)</f>
        <v>v2 0 COM15 keithley485 COM7 5</v>
      </c>
      <c r="L2" s="45">
        <v>9.6539999999999994E-6</v>
      </c>
      <c r="M2" s="2">
        <v>-31532</v>
      </c>
    </row>
    <row r="3" spans="1:13" x14ac:dyDescent="0.3">
      <c r="A3" s="4"/>
      <c r="B3" s="4"/>
      <c r="C3" s="4"/>
      <c r="D3" s="4"/>
      <c r="E3" s="4"/>
      <c r="F3" s="4"/>
      <c r="G3" s="4"/>
      <c r="H3" s="4"/>
      <c r="I3" s="4"/>
      <c r="J3" s="4"/>
      <c r="L3" s="45">
        <v>8.6819999999999992E-6</v>
      </c>
      <c r="M3" s="2">
        <v>-28370</v>
      </c>
    </row>
    <row r="4" spans="1:13" x14ac:dyDescent="0.3">
      <c r="A4" s="4"/>
      <c r="B4" s="4"/>
      <c r="C4" s="4"/>
      <c r="D4" s="4"/>
      <c r="E4" s="4"/>
      <c r="F4" s="4"/>
      <c r="G4" s="4"/>
      <c r="H4" s="4"/>
      <c r="I4" s="4"/>
      <c r="J4" s="4"/>
      <c r="L4" s="45">
        <v>7.712E-6</v>
      </c>
      <c r="M4" s="2">
        <v>-25207</v>
      </c>
    </row>
    <row r="5" spans="1:13" x14ac:dyDescent="0.3">
      <c r="A5" s="4"/>
      <c r="B5" s="4"/>
      <c r="C5" s="4"/>
      <c r="D5" s="4"/>
      <c r="E5" s="4"/>
      <c r="F5" s="4"/>
      <c r="G5" s="4"/>
      <c r="H5" s="4"/>
      <c r="I5" s="4"/>
      <c r="J5" s="4"/>
      <c r="L5" s="45">
        <v>6.7410000000000003E-6</v>
      </c>
      <c r="M5" s="2">
        <v>-22046</v>
      </c>
    </row>
    <row r="6" spans="1:13" x14ac:dyDescent="0.3">
      <c r="A6" s="4"/>
      <c r="B6" s="4"/>
      <c r="C6" s="4"/>
      <c r="D6" s="4"/>
      <c r="E6" s="4"/>
      <c r="F6" s="4"/>
      <c r="G6" s="4"/>
      <c r="H6" s="4"/>
      <c r="I6" s="4"/>
      <c r="J6" s="4"/>
      <c r="L6" s="45">
        <v>5.7790000000000001E-6</v>
      </c>
      <c r="M6" s="2">
        <v>-18883</v>
      </c>
    </row>
    <row r="7" spans="1:13" x14ac:dyDescent="0.3">
      <c r="A7" s="4"/>
      <c r="B7" s="4"/>
      <c r="C7" s="4"/>
      <c r="D7" s="4"/>
      <c r="E7" s="4"/>
      <c r="F7" s="4"/>
      <c r="G7" s="4"/>
      <c r="H7" s="4"/>
      <c r="I7" s="4"/>
      <c r="J7" s="4"/>
      <c r="L7" s="45">
        <v>4.8080000000000004E-6</v>
      </c>
      <c r="M7" s="2">
        <v>-15720</v>
      </c>
    </row>
    <row r="8" spans="1:13" x14ac:dyDescent="0.3">
      <c r="A8" s="4"/>
      <c r="B8" s="4"/>
      <c r="C8" s="4"/>
      <c r="D8" s="4"/>
      <c r="E8" s="4"/>
      <c r="F8" s="4"/>
      <c r="G8" s="4"/>
      <c r="H8" s="4"/>
      <c r="I8" s="4"/>
      <c r="J8" s="4"/>
      <c r="L8" s="45">
        <v>3.8360000000000002E-6</v>
      </c>
      <c r="M8" s="2">
        <v>-12555</v>
      </c>
    </row>
    <row r="9" spans="1:13" x14ac:dyDescent="0.3">
      <c r="L9" s="45">
        <v>2.8710000000000001E-6</v>
      </c>
      <c r="M9" s="2">
        <v>-9391</v>
      </c>
    </row>
    <row r="10" spans="1:13" x14ac:dyDescent="0.3">
      <c r="L10" s="45">
        <v>1.9039999999999999E-6</v>
      </c>
      <c r="M10" s="2">
        <v>-6229</v>
      </c>
    </row>
    <row r="11" spans="1:13" x14ac:dyDescent="0.3">
      <c r="L11" s="45">
        <v>9.3640000000000005E-7</v>
      </c>
      <c r="M11" s="2">
        <v>-3065</v>
      </c>
    </row>
    <row r="12" spans="1:13" x14ac:dyDescent="0.3">
      <c r="L12" s="45">
        <v>-2.9819999999999998E-8</v>
      </c>
      <c r="M12" s="2">
        <v>98</v>
      </c>
    </row>
    <row r="13" spans="1:13" x14ac:dyDescent="0.3">
      <c r="L13" s="45">
        <v>-1.0096E-6</v>
      </c>
      <c r="M13" s="2">
        <v>3262</v>
      </c>
    </row>
    <row r="14" spans="1:13" x14ac:dyDescent="0.3">
      <c r="L14" s="45">
        <v>-1.9686000000000001E-6</v>
      </c>
      <c r="M14" s="2">
        <v>6426</v>
      </c>
    </row>
    <row r="15" spans="1:13" x14ac:dyDescent="0.3">
      <c r="L15" s="45">
        <v>-2.9340000000000002E-6</v>
      </c>
      <c r="M15" s="2">
        <v>9590</v>
      </c>
    </row>
    <row r="16" spans="1:13" x14ac:dyDescent="0.3">
      <c r="L16" s="45">
        <v>-3.9020000000000001E-6</v>
      </c>
      <c r="M16" s="2">
        <v>12755</v>
      </c>
    </row>
    <row r="17" spans="12:13" x14ac:dyDescent="0.3">
      <c r="L17" s="45">
        <v>-4.87E-6</v>
      </c>
      <c r="M17" s="2">
        <v>15919</v>
      </c>
    </row>
    <row r="18" spans="12:13" x14ac:dyDescent="0.3">
      <c r="L18" s="45">
        <v>-5.8390000000000003E-6</v>
      </c>
      <c r="M18" s="2">
        <v>19085</v>
      </c>
    </row>
    <row r="19" spans="12:13" x14ac:dyDescent="0.3">
      <c r="L19" s="45">
        <v>-6.8059999999999997E-6</v>
      </c>
      <c r="M19" s="2">
        <v>22250</v>
      </c>
    </row>
    <row r="20" spans="12:13" x14ac:dyDescent="0.3">
      <c r="L20" s="45">
        <v>-7.7740000000000004E-6</v>
      </c>
      <c r="M20" s="2">
        <v>25413</v>
      </c>
    </row>
    <row r="21" spans="12:13" x14ac:dyDescent="0.3">
      <c r="L21" s="45">
        <v>-8.7420000000000003E-6</v>
      </c>
      <c r="M21" s="2">
        <v>28577</v>
      </c>
    </row>
    <row r="22" spans="12:13" x14ac:dyDescent="0.3">
      <c r="L22" s="45">
        <v>-9.7089999999999997E-6</v>
      </c>
      <c r="M22" s="2">
        <v>31740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RunSquidstatCalibrator">
                <anchor moveWithCells="1" sizeWithCells="1">
                  <from>
                    <xdr:col>0</xdr:col>
                    <xdr:colOff>213360</xdr:colOff>
                    <xdr:row>2</xdr:row>
                    <xdr:rowOff>99060</xdr:rowOff>
                  </from>
                  <to>
                    <xdr:col>9</xdr:col>
                    <xdr:colOff>403860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ImportCSVFile">
                <anchor moveWithCells="1" sizeWithCells="1">
                  <from>
                    <xdr:col>0</xdr:col>
                    <xdr:colOff>213360</xdr:colOff>
                    <xdr:row>5</xdr:row>
                    <xdr:rowOff>99060</xdr:rowOff>
                  </from>
                  <to>
                    <xdr:col>9</xdr:col>
                    <xdr:colOff>403860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Internal!$B$2:$B$3</xm:f>
          </x14:formula1>
          <xm:sqref>B1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M22"/>
  <sheetViews>
    <sheetView workbookViewId="0">
      <selection activeCell="B1" sqref="B1"/>
    </sheetView>
  </sheetViews>
  <sheetFormatPr defaultColWidth="8.6640625" defaultRowHeight="14.4" x14ac:dyDescent="0.3"/>
  <cols>
    <col min="1" max="11" width="8.6640625" style="2"/>
    <col min="12" max="12" width="17.44140625" style="2" bestFit="1" customWidth="1"/>
    <col min="13" max="13" width="7.44140625" style="2" bestFit="1" customWidth="1"/>
    <col min="14" max="16384" width="8.6640625" style="2"/>
  </cols>
  <sheetData>
    <row r="1" spans="1:13" x14ac:dyDescent="0.3">
      <c r="A1" s="3" t="s">
        <v>47</v>
      </c>
      <c r="B1" s="4" t="s">
        <v>2</v>
      </c>
      <c r="C1" s="2" t="str">
        <f>VLOOKUP(B1,Connect!A2:D3, 4)</f>
        <v>COM7</v>
      </c>
      <c r="D1" s="3" t="s">
        <v>65</v>
      </c>
      <c r="E1" s="2">
        <v>6</v>
      </c>
      <c r="L1" s="3" t="s">
        <v>62</v>
      </c>
      <c r="M1" s="3" t="s">
        <v>7</v>
      </c>
    </row>
    <row r="2" spans="1:13" x14ac:dyDescent="0.3">
      <c r="A2" s="3" t="s">
        <v>138</v>
      </c>
      <c r="B2" t="str">
        <f>_xlfn.CONCAT(Connect!G1, " ", Connect!J1, " ", Connect!D1, " ", B1, " ", C1, " ", E1)</f>
        <v>v2 0 COM15 keithley485 COM7 6</v>
      </c>
      <c r="L2" s="45">
        <v>9.6609999999999995E-7</v>
      </c>
      <c r="M2" s="2">
        <v>-31531</v>
      </c>
    </row>
    <row r="3" spans="1:13" x14ac:dyDescent="0.3">
      <c r="A3" s="4"/>
      <c r="B3" s="4"/>
      <c r="C3" s="4"/>
      <c r="D3" s="4"/>
      <c r="E3" s="4"/>
      <c r="F3" s="4"/>
      <c r="G3" s="4"/>
      <c r="H3" s="4"/>
      <c r="I3" s="4"/>
      <c r="J3" s="4"/>
      <c r="L3" s="45">
        <v>8.6840000000000002E-7</v>
      </c>
      <c r="M3" s="2">
        <v>-28369</v>
      </c>
    </row>
    <row r="4" spans="1:13" x14ac:dyDescent="0.3">
      <c r="A4" s="4"/>
      <c r="B4" s="4"/>
      <c r="C4" s="4"/>
      <c r="D4" s="4"/>
      <c r="E4" s="4"/>
      <c r="F4" s="4"/>
      <c r="G4" s="4"/>
      <c r="H4" s="4"/>
      <c r="I4" s="4"/>
      <c r="J4" s="4"/>
      <c r="L4" s="45">
        <v>7.7140000000000004E-7</v>
      </c>
      <c r="M4" s="2">
        <v>-25206</v>
      </c>
    </row>
    <row r="5" spans="1:13" x14ac:dyDescent="0.3">
      <c r="A5" s="4"/>
      <c r="B5" s="4"/>
      <c r="C5" s="4"/>
      <c r="D5" s="4"/>
      <c r="E5" s="4"/>
      <c r="F5" s="4"/>
      <c r="G5" s="4"/>
      <c r="H5" s="4"/>
      <c r="I5" s="4"/>
      <c r="J5" s="4"/>
      <c r="L5" s="45">
        <v>6.7439999999999995E-7</v>
      </c>
      <c r="M5" s="2">
        <v>-22045</v>
      </c>
    </row>
    <row r="6" spans="1:13" x14ac:dyDescent="0.3">
      <c r="A6" s="4"/>
      <c r="B6" s="4"/>
      <c r="C6" s="4"/>
      <c r="D6" s="4"/>
      <c r="E6" s="4"/>
      <c r="F6" s="4"/>
      <c r="G6" s="4"/>
      <c r="H6" s="4"/>
      <c r="I6" s="4"/>
      <c r="J6" s="4"/>
      <c r="L6" s="45">
        <v>5.7429999999999995E-7</v>
      </c>
      <c r="M6" s="2">
        <v>-18882</v>
      </c>
    </row>
    <row r="7" spans="1:13" x14ac:dyDescent="0.3">
      <c r="A7" s="4"/>
      <c r="B7" s="4"/>
      <c r="C7" s="4"/>
      <c r="D7" s="4"/>
      <c r="E7" s="4"/>
      <c r="F7" s="4"/>
      <c r="G7" s="4"/>
      <c r="H7" s="4"/>
      <c r="I7" s="4"/>
      <c r="J7" s="4"/>
      <c r="L7" s="45">
        <v>4.75E-7</v>
      </c>
      <c r="M7" s="2">
        <v>-15720</v>
      </c>
    </row>
    <row r="8" spans="1:13" x14ac:dyDescent="0.3">
      <c r="A8" s="4"/>
      <c r="B8" s="4"/>
      <c r="C8" s="4"/>
      <c r="D8" s="4"/>
      <c r="E8" s="4"/>
      <c r="F8" s="4"/>
      <c r="G8" s="4"/>
      <c r="H8" s="4"/>
      <c r="I8" s="4"/>
      <c r="J8" s="4"/>
      <c r="L8" s="45">
        <v>3.8309999999999998E-7</v>
      </c>
      <c r="M8" s="2">
        <v>-12555</v>
      </c>
    </row>
    <row r="9" spans="1:13" x14ac:dyDescent="0.3">
      <c r="L9" s="45">
        <v>2.8729999999999999E-7</v>
      </c>
      <c r="M9" s="2">
        <v>-9390</v>
      </c>
    </row>
    <row r="10" spans="1:13" x14ac:dyDescent="0.3">
      <c r="L10" s="45">
        <v>1.9079999999999999E-7</v>
      </c>
      <c r="M10" s="2">
        <v>-6228</v>
      </c>
    </row>
    <row r="11" spans="1:13" x14ac:dyDescent="0.3">
      <c r="L11" s="45">
        <v>9.4679999999999998E-8</v>
      </c>
      <c r="M11" s="2">
        <v>-3063</v>
      </c>
    </row>
    <row r="12" spans="1:13" x14ac:dyDescent="0.3">
      <c r="L12" s="45"/>
      <c r="M12" s="2">
        <v>100</v>
      </c>
    </row>
    <row r="13" spans="1:13" x14ac:dyDescent="0.3">
      <c r="L13" s="45">
        <v>-9.9530000000000005E-8</v>
      </c>
      <c r="M13" s="2">
        <v>3262</v>
      </c>
    </row>
    <row r="14" spans="1:13" x14ac:dyDescent="0.3">
      <c r="L14" s="45">
        <v>-1.9623E-7</v>
      </c>
      <c r="M14" s="2">
        <v>6426</v>
      </c>
    </row>
    <row r="15" spans="1:13" x14ac:dyDescent="0.3">
      <c r="L15" s="45">
        <v>-2.9159999999999999E-7</v>
      </c>
      <c r="M15" s="2">
        <v>9589</v>
      </c>
    </row>
    <row r="16" spans="1:13" x14ac:dyDescent="0.3">
      <c r="L16" s="45">
        <v>-3.897E-7</v>
      </c>
      <c r="M16" s="2">
        <v>12753</v>
      </c>
    </row>
    <row r="17" spans="12:13" x14ac:dyDescent="0.3">
      <c r="L17" s="45">
        <v>-4.8709999999999996E-7</v>
      </c>
      <c r="M17" s="2">
        <v>15918</v>
      </c>
    </row>
    <row r="18" spans="12:13" x14ac:dyDescent="0.3">
      <c r="L18" s="45">
        <v>-5.8370000000000002E-7</v>
      </c>
      <c r="M18" s="2">
        <v>19083</v>
      </c>
    </row>
    <row r="19" spans="12:13" x14ac:dyDescent="0.3">
      <c r="L19" s="45">
        <v>-6.8049999999999999E-7</v>
      </c>
      <c r="M19" s="2">
        <v>22249</v>
      </c>
    </row>
    <row r="20" spans="12:13" x14ac:dyDescent="0.3">
      <c r="L20" s="45">
        <v>-7.7729999999999995E-7</v>
      </c>
      <c r="M20" s="2">
        <v>25411</v>
      </c>
    </row>
    <row r="21" spans="12:13" x14ac:dyDescent="0.3">
      <c r="L21" s="45">
        <v>-8.7410000000000003E-7</v>
      </c>
      <c r="M21" s="2">
        <v>28576</v>
      </c>
    </row>
    <row r="22" spans="12:13" x14ac:dyDescent="0.3">
      <c r="L22" s="45">
        <v>-9.7100000000000011E-7</v>
      </c>
      <c r="M22" s="2">
        <v>31739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RunSquidstatCalibrator">
                <anchor moveWithCells="1" sizeWithCells="1">
                  <from>
                    <xdr:col>0</xdr:col>
                    <xdr:colOff>213360</xdr:colOff>
                    <xdr:row>2</xdr:row>
                    <xdr:rowOff>99060</xdr:rowOff>
                  </from>
                  <to>
                    <xdr:col>9</xdr:col>
                    <xdr:colOff>403860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ImportCSVFile">
                <anchor moveWithCells="1" sizeWithCells="1">
                  <from>
                    <xdr:col>0</xdr:col>
                    <xdr:colOff>213360</xdr:colOff>
                    <xdr:row>5</xdr:row>
                    <xdr:rowOff>99060</xdr:rowOff>
                  </from>
                  <to>
                    <xdr:col>9</xdr:col>
                    <xdr:colOff>403860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Internal!$B$2:$B$3</xm:f>
          </x14:formula1>
          <xm:sqref>B1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M22"/>
  <sheetViews>
    <sheetView workbookViewId="0">
      <selection activeCell="M30" sqref="M30"/>
    </sheetView>
  </sheetViews>
  <sheetFormatPr defaultColWidth="8.6640625" defaultRowHeight="14.4" x14ac:dyDescent="0.3"/>
  <cols>
    <col min="1" max="11" width="8.6640625" style="2"/>
    <col min="12" max="12" width="17.44140625" style="2" bestFit="1" customWidth="1"/>
    <col min="13" max="13" width="7.44140625" style="2" bestFit="1" customWidth="1"/>
    <col min="14" max="16384" width="8.6640625" style="2"/>
  </cols>
  <sheetData>
    <row r="1" spans="1:13" x14ac:dyDescent="0.3">
      <c r="A1" s="3" t="s">
        <v>47</v>
      </c>
      <c r="B1" s="4" t="s">
        <v>2</v>
      </c>
      <c r="C1" s="2" t="str">
        <f>VLOOKUP(B1,Connect!A2:D3, 4)</f>
        <v>COM7</v>
      </c>
      <c r="D1" s="3" t="s">
        <v>65</v>
      </c>
      <c r="E1" s="2">
        <v>7</v>
      </c>
      <c r="L1" s="3" t="s">
        <v>62</v>
      </c>
      <c r="M1" s="3" t="s">
        <v>7</v>
      </c>
    </row>
    <row r="2" spans="1:13" x14ac:dyDescent="0.3">
      <c r="A2" s="3" t="s">
        <v>138</v>
      </c>
      <c r="B2" t="str">
        <f>_xlfn.CONCAT(Connect!G1, " ", Connect!J1, " ", Connect!D1, " ", B1, " ", C1, " ", E1)</f>
        <v>v2 0 COM15 keithley485 COM7 7</v>
      </c>
      <c r="L2" s="45">
        <v>9.6019999999999996E-8</v>
      </c>
      <c r="M2" s="2">
        <v>-31532</v>
      </c>
    </row>
    <row r="3" spans="1:13" x14ac:dyDescent="0.3">
      <c r="A3" s="4"/>
      <c r="B3" s="4"/>
      <c r="C3" s="4"/>
      <c r="D3" s="4"/>
      <c r="E3" s="4"/>
      <c r="F3" s="4"/>
      <c r="G3" s="4"/>
      <c r="H3" s="4"/>
      <c r="I3" s="4"/>
      <c r="J3" s="4"/>
      <c r="L3" s="45">
        <v>8.643E-8</v>
      </c>
      <c r="M3" s="2">
        <v>-28370</v>
      </c>
    </row>
    <row r="4" spans="1:13" x14ac:dyDescent="0.3">
      <c r="A4" s="4"/>
      <c r="B4" s="4"/>
      <c r="C4" s="4"/>
      <c r="D4" s="4"/>
      <c r="E4" s="4"/>
      <c r="F4" s="4"/>
      <c r="G4" s="4"/>
      <c r="H4" s="4"/>
      <c r="I4" s="4"/>
      <c r="J4" s="4"/>
      <c r="L4" s="45">
        <v>7.6619999999999994E-8</v>
      </c>
      <c r="M4" s="2">
        <v>-25206</v>
      </c>
    </row>
    <row r="5" spans="1:13" x14ac:dyDescent="0.3">
      <c r="A5" s="4"/>
      <c r="B5" s="4"/>
      <c r="C5" s="4"/>
      <c r="D5" s="4"/>
      <c r="E5" s="4"/>
      <c r="F5" s="4"/>
      <c r="G5" s="4"/>
      <c r="H5" s="4"/>
      <c r="I5" s="4"/>
      <c r="J5" s="4"/>
      <c r="L5" s="45">
        <v>6.6419999999999995E-8</v>
      </c>
      <c r="M5" s="2">
        <v>-22045</v>
      </c>
    </row>
    <row r="6" spans="1:13" x14ac:dyDescent="0.3">
      <c r="A6" s="4"/>
      <c r="B6" s="4"/>
      <c r="C6" s="4"/>
      <c r="D6" s="4"/>
      <c r="E6" s="4"/>
      <c r="F6" s="4"/>
      <c r="G6" s="4"/>
      <c r="H6" s="4"/>
      <c r="I6" s="4"/>
      <c r="J6" s="4"/>
      <c r="L6" s="45">
        <v>5.8770000000000003E-8</v>
      </c>
      <c r="M6" s="2">
        <v>-18883</v>
      </c>
    </row>
    <row r="7" spans="1:13" x14ac:dyDescent="0.3">
      <c r="A7" s="4"/>
      <c r="B7" s="4"/>
      <c r="C7" s="4"/>
      <c r="D7" s="4"/>
      <c r="E7" s="4"/>
      <c r="F7" s="4"/>
      <c r="G7" s="4"/>
      <c r="H7" s="4"/>
      <c r="I7" s="4"/>
      <c r="J7" s="4"/>
      <c r="L7" s="45">
        <v>4.6369999999999998E-8</v>
      </c>
      <c r="M7" s="2">
        <v>-15720</v>
      </c>
    </row>
    <row r="8" spans="1:13" x14ac:dyDescent="0.3">
      <c r="A8" s="4"/>
      <c r="B8" s="4"/>
      <c r="C8" s="4"/>
      <c r="D8" s="4"/>
      <c r="E8" s="4"/>
      <c r="F8" s="4"/>
      <c r="G8" s="4"/>
      <c r="H8" s="4"/>
      <c r="I8" s="4"/>
      <c r="J8" s="4"/>
      <c r="L8" s="45">
        <v>3.868E-8</v>
      </c>
      <c r="M8" s="2">
        <v>-12555</v>
      </c>
    </row>
    <row r="9" spans="1:13" x14ac:dyDescent="0.3">
      <c r="L9" s="45">
        <v>2.9329999999999999E-8</v>
      </c>
      <c r="M9" s="2">
        <v>-9391</v>
      </c>
    </row>
    <row r="10" spans="1:13" x14ac:dyDescent="0.3">
      <c r="L10" s="45">
        <v>1.8069999999999999E-8</v>
      </c>
      <c r="M10" s="2">
        <v>-6228</v>
      </c>
    </row>
    <row r="11" spans="1:13" x14ac:dyDescent="0.3">
      <c r="L11" s="45">
        <v>9.3040000000000001E-9</v>
      </c>
      <c r="M11" s="2">
        <v>-3064</v>
      </c>
    </row>
    <row r="12" spans="1:13" x14ac:dyDescent="0.3">
      <c r="L12" s="45">
        <v>-5.4499999999999999E-11</v>
      </c>
      <c r="M12" s="2">
        <v>98</v>
      </c>
    </row>
    <row r="13" spans="1:13" x14ac:dyDescent="0.3">
      <c r="L13" s="45">
        <v>-8.4140000000000001E-9</v>
      </c>
      <c r="M13" s="2">
        <v>3261</v>
      </c>
    </row>
    <row r="14" spans="1:13" x14ac:dyDescent="0.3">
      <c r="L14" s="45">
        <v>-1.8716E-8</v>
      </c>
      <c r="M14" s="2">
        <v>6425</v>
      </c>
    </row>
    <row r="15" spans="1:13" x14ac:dyDescent="0.3">
      <c r="L15" s="45">
        <v>-2.7450000000000001E-8</v>
      </c>
      <c r="M15" s="2">
        <v>9589</v>
      </c>
    </row>
    <row r="16" spans="1:13" x14ac:dyDescent="0.3">
      <c r="L16" s="45">
        <v>-3.854E-8</v>
      </c>
      <c r="M16" s="2">
        <v>12752</v>
      </c>
    </row>
    <row r="17" spans="12:13" x14ac:dyDescent="0.3">
      <c r="L17" s="45">
        <v>-4.9210000000000002E-8</v>
      </c>
      <c r="M17" s="2">
        <v>15917</v>
      </c>
    </row>
    <row r="18" spans="12:13" x14ac:dyDescent="0.3">
      <c r="L18" s="45">
        <v>-5.6990000000000003E-8</v>
      </c>
      <c r="M18" s="2">
        <v>19082</v>
      </c>
    </row>
    <row r="19" spans="12:13" x14ac:dyDescent="0.3">
      <c r="L19" s="45">
        <v>-6.7889999999999994E-8</v>
      </c>
      <c r="M19" s="2">
        <v>22248</v>
      </c>
    </row>
    <row r="20" spans="12:13" x14ac:dyDescent="0.3">
      <c r="L20" s="45">
        <v>-7.7709999999999999E-8</v>
      </c>
      <c r="M20" s="2">
        <v>25410</v>
      </c>
    </row>
    <row r="21" spans="12:13" x14ac:dyDescent="0.3">
      <c r="L21" s="45">
        <v>-8.6140000000000002E-8</v>
      </c>
      <c r="M21" s="2">
        <v>28575</v>
      </c>
    </row>
    <row r="22" spans="12:13" x14ac:dyDescent="0.3">
      <c r="L22" s="45">
        <v>-9.6999999999999995E-8</v>
      </c>
      <c r="M22" s="2">
        <v>31738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unSquidstatCalibrator">
                <anchor moveWithCells="1" sizeWithCells="1">
                  <from>
                    <xdr:col>0</xdr:col>
                    <xdr:colOff>213360</xdr:colOff>
                    <xdr:row>2</xdr:row>
                    <xdr:rowOff>99060</xdr:rowOff>
                  </from>
                  <to>
                    <xdr:col>9</xdr:col>
                    <xdr:colOff>403860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ImportCSVFile">
                <anchor moveWithCells="1" sizeWithCells="1">
                  <from>
                    <xdr:col>0</xdr:col>
                    <xdr:colOff>213360</xdr:colOff>
                    <xdr:row>5</xdr:row>
                    <xdr:rowOff>99060</xdr:rowOff>
                  </from>
                  <to>
                    <xdr:col>9</xdr:col>
                    <xdr:colOff>403860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Internal!$B$2:$B$3</xm:f>
          </x14:formula1>
          <xm:sqref>B1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66615-BB79-4474-BA12-D207D56AC311}">
  <sheetPr codeName="Sheet16"/>
  <dimension ref="A1:O122"/>
  <sheetViews>
    <sheetView zoomScaleNormal="100" workbookViewId="0">
      <selection activeCell="H1" sqref="H1:I1"/>
    </sheetView>
  </sheetViews>
  <sheetFormatPr defaultRowHeight="14.4" x14ac:dyDescent="0.3"/>
  <cols>
    <col min="2" max="2" width="9.33203125" bestFit="1" customWidth="1"/>
    <col min="3" max="3" width="8.5546875" bestFit="1" customWidth="1"/>
    <col min="4" max="4" width="13.77734375" bestFit="1" customWidth="1"/>
    <col min="5" max="5" width="20" bestFit="1" customWidth="1"/>
    <col min="6" max="6" width="10.88671875" bestFit="1" customWidth="1"/>
    <col min="7" max="7" width="12.109375" bestFit="1" customWidth="1"/>
    <col min="8" max="8" width="35.5546875" bestFit="1" customWidth="1"/>
    <col min="9" max="9" width="7" bestFit="1" customWidth="1"/>
  </cols>
  <sheetData>
    <row r="1" spans="1:15" ht="68.400000000000006" customHeight="1" x14ac:dyDescent="0.3">
      <c r="A1" s="4"/>
      <c r="B1" s="4"/>
      <c r="C1" s="4"/>
      <c r="D1" s="4"/>
      <c r="E1" s="4"/>
      <c r="F1" s="4"/>
      <c r="G1" s="4"/>
      <c r="H1" s="152"/>
      <c r="I1" s="152"/>
      <c r="J1" s="152"/>
    </row>
    <row r="2" spans="1:15" ht="1.8" customHeight="1" x14ac:dyDescent="0.3">
      <c r="H2" t="s">
        <v>284</v>
      </c>
    </row>
    <row r="3" spans="1:15" hidden="1" x14ac:dyDescent="0.3">
      <c r="H3" t="s">
        <v>285</v>
      </c>
      <c r="I3">
        <v>0.28939999999999999</v>
      </c>
    </row>
    <row r="4" spans="1:15" hidden="1" x14ac:dyDescent="0.3">
      <c r="B4" s="62"/>
      <c r="C4" s="62"/>
      <c r="D4" s="62"/>
      <c r="E4" s="62"/>
      <c r="F4" s="62"/>
      <c r="G4" s="62"/>
      <c r="H4" s="62" t="s">
        <v>286</v>
      </c>
    </row>
    <row r="5" spans="1:15" hidden="1" x14ac:dyDescent="0.3">
      <c r="B5" s="62"/>
      <c r="C5" s="62"/>
      <c r="D5" s="62"/>
      <c r="E5" s="62"/>
      <c r="F5" s="62"/>
      <c r="G5" s="62"/>
      <c r="H5" s="62" t="s">
        <v>287</v>
      </c>
    </row>
    <row r="6" spans="1:15" hidden="1" x14ac:dyDescent="0.3">
      <c r="B6" s="62"/>
      <c r="C6" s="62"/>
      <c r="D6" s="62"/>
      <c r="E6" s="62"/>
      <c r="F6" s="62"/>
      <c r="G6" s="62"/>
      <c r="H6" s="62" t="s">
        <v>288</v>
      </c>
    </row>
    <row r="7" spans="1:15" hidden="1" x14ac:dyDescent="0.3">
      <c r="B7" s="62"/>
      <c r="C7" s="62"/>
      <c r="D7" s="62"/>
      <c r="E7" s="62"/>
      <c r="F7" s="62"/>
      <c r="G7" s="62"/>
      <c r="H7" s="62" t="s">
        <v>289</v>
      </c>
    </row>
    <row r="8" spans="1:15" hidden="1" x14ac:dyDescent="0.3">
      <c r="B8" s="62"/>
      <c r="C8" s="62"/>
      <c r="D8" s="62"/>
      <c r="E8" s="62"/>
      <c r="F8" s="62"/>
      <c r="G8" s="62"/>
      <c r="H8" s="62" t="s">
        <v>290</v>
      </c>
    </row>
    <row r="9" spans="1:15" hidden="1" x14ac:dyDescent="0.3">
      <c r="B9" s="62"/>
      <c r="C9" s="62"/>
      <c r="D9" s="62"/>
      <c r="E9" s="62"/>
      <c r="F9" s="62"/>
      <c r="G9" s="62"/>
      <c r="H9" s="62" t="s">
        <v>291</v>
      </c>
    </row>
    <row r="10" spans="1:15" hidden="1" x14ac:dyDescent="0.3">
      <c r="B10" s="62"/>
      <c r="C10" s="62"/>
      <c r="D10" s="62"/>
      <c r="E10" s="62"/>
      <c r="F10" s="62"/>
      <c r="G10" s="62"/>
      <c r="H10" s="62"/>
    </row>
    <row r="11" spans="1:15" x14ac:dyDescent="0.3">
      <c r="A11" t="s">
        <v>215</v>
      </c>
      <c r="B11" s="62" t="s">
        <v>216</v>
      </c>
      <c r="C11" s="62" t="s">
        <v>217</v>
      </c>
      <c r="D11" s="62" t="s">
        <v>218</v>
      </c>
      <c r="E11" s="62" t="s">
        <v>219</v>
      </c>
      <c r="F11" s="62" t="s">
        <v>220</v>
      </c>
      <c r="G11" s="62" t="s">
        <v>221</v>
      </c>
      <c r="H11" s="62"/>
      <c r="K11" t="s">
        <v>222</v>
      </c>
      <c r="L11" t="s">
        <v>282</v>
      </c>
      <c r="M11" t="s">
        <v>283</v>
      </c>
      <c r="N11" t="s">
        <v>223</v>
      </c>
      <c r="O11" t="s">
        <v>224</v>
      </c>
    </row>
    <row r="12" spans="1:15" x14ac:dyDescent="0.3">
      <c r="B12" s="62" t="s">
        <v>225</v>
      </c>
      <c r="C12" s="62" t="s">
        <v>226</v>
      </c>
      <c r="D12" s="62" t="s">
        <v>226</v>
      </c>
      <c r="E12" s="62"/>
      <c r="F12" s="62"/>
      <c r="G12" s="62"/>
      <c r="H12" s="62"/>
      <c r="K12">
        <v>1</v>
      </c>
      <c r="L12">
        <v>1</v>
      </c>
      <c r="M12">
        <v>1</v>
      </c>
      <c r="N12">
        <f t="shared" ref="N12:N22" si="0">VLOOKUP(($K12-1)*10+1,$A$4:$H$113,8)</f>
        <v>0</v>
      </c>
      <c r="O12" s="151">
        <f>N12-N$12</f>
        <v>0</v>
      </c>
    </row>
    <row r="13" spans="1:15" x14ac:dyDescent="0.3">
      <c r="A13">
        <v>1</v>
      </c>
      <c r="B13" s="62">
        <v>1000000</v>
      </c>
      <c r="C13" s="62">
        <v>100.94</v>
      </c>
      <c r="D13" s="62">
        <v>-3.2037960000000001</v>
      </c>
      <c r="E13" s="62">
        <v>0</v>
      </c>
      <c r="F13" s="62">
        <v>0</v>
      </c>
      <c r="G13" s="62">
        <v>2</v>
      </c>
      <c r="H13" s="62"/>
      <c r="K13">
        <v>2</v>
      </c>
      <c r="L13">
        <v>2</v>
      </c>
      <c r="M13">
        <v>1</v>
      </c>
      <c r="N13">
        <f t="shared" si="0"/>
        <v>0</v>
      </c>
      <c r="O13" s="151">
        <f>N13-N$12+Calibrate!C72</f>
        <v>0</v>
      </c>
    </row>
    <row r="14" spans="1:15" x14ac:dyDescent="0.3">
      <c r="A14">
        <v>2</v>
      </c>
      <c r="B14" s="153">
        <v>1000000</v>
      </c>
      <c r="C14" s="153">
        <v>100.9794</v>
      </c>
      <c r="D14" s="153">
        <v>-3.2165349999999999</v>
      </c>
      <c r="E14" s="153">
        <v>0</v>
      </c>
      <c r="F14" s="153">
        <v>0</v>
      </c>
      <c r="G14" s="153">
        <v>2</v>
      </c>
      <c r="H14" s="62"/>
      <c r="K14">
        <v>3</v>
      </c>
      <c r="L14">
        <v>5</v>
      </c>
      <c r="M14">
        <v>1</v>
      </c>
      <c r="N14">
        <f t="shared" si="0"/>
        <v>0</v>
      </c>
      <c r="O14" s="151">
        <f>N14-N$12+Calibrate!C73</f>
        <v>0</v>
      </c>
    </row>
    <row r="15" spans="1:15" x14ac:dyDescent="0.3">
      <c r="A15">
        <v>3</v>
      </c>
      <c r="B15" s="153">
        <v>1000000</v>
      </c>
      <c r="C15" s="153">
        <v>100.97929999999999</v>
      </c>
      <c r="D15" s="153">
        <v>-3.2219639999999998</v>
      </c>
      <c r="E15" s="153">
        <v>0</v>
      </c>
      <c r="F15" s="153">
        <v>0</v>
      </c>
      <c r="G15" s="153">
        <v>2</v>
      </c>
      <c r="H15" s="62"/>
      <c r="K15">
        <v>4</v>
      </c>
      <c r="L15">
        <v>10</v>
      </c>
      <c r="M15">
        <v>1</v>
      </c>
      <c r="N15">
        <f t="shared" si="0"/>
        <v>0</v>
      </c>
      <c r="O15" s="151">
        <f>N15-N$12+Calibrate!C74</f>
        <v>0</v>
      </c>
    </row>
    <row r="16" spans="1:15" x14ac:dyDescent="0.3">
      <c r="A16">
        <v>4</v>
      </c>
      <c r="B16" s="153">
        <v>1000000</v>
      </c>
      <c r="C16" s="153">
        <v>100.9661</v>
      </c>
      <c r="D16" s="153">
        <v>-3.21855</v>
      </c>
      <c r="E16" s="153">
        <v>0</v>
      </c>
      <c r="F16" s="153">
        <v>0</v>
      </c>
      <c r="G16" s="153">
        <v>2</v>
      </c>
      <c r="H16" s="62"/>
      <c r="K16">
        <v>5</v>
      </c>
      <c r="L16">
        <v>10</v>
      </c>
      <c r="M16">
        <v>1</v>
      </c>
      <c r="N16">
        <f t="shared" si="0"/>
        <v>0</v>
      </c>
      <c r="O16" s="151">
        <f>N16-N$12+Calibrate!C75</f>
        <v>0</v>
      </c>
    </row>
    <row r="17" spans="1:15" x14ac:dyDescent="0.3">
      <c r="A17">
        <v>5</v>
      </c>
      <c r="B17" s="153">
        <v>1000000</v>
      </c>
      <c r="C17" s="153">
        <v>100.9581</v>
      </c>
      <c r="D17" s="153">
        <v>-3.1959900000000001</v>
      </c>
      <c r="E17" s="153">
        <v>0</v>
      </c>
      <c r="F17" s="153">
        <v>0</v>
      </c>
      <c r="G17" s="153">
        <v>2</v>
      </c>
      <c r="H17" s="62"/>
      <c r="K17">
        <v>6</v>
      </c>
      <c r="L17">
        <v>10</v>
      </c>
      <c r="M17">
        <v>1</v>
      </c>
      <c r="N17">
        <f t="shared" si="0"/>
        <v>0</v>
      </c>
      <c r="O17" s="151">
        <f>N17-N$12+Calibrate!C76</f>
        <v>0</v>
      </c>
    </row>
    <row r="18" spans="1:15" x14ac:dyDescent="0.3">
      <c r="A18">
        <v>6</v>
      </c>
      <c r="B18" s="153">
        <v>1000000</v>
      </c>
      <c r="C18" s="153">
        <v>100.97490000000001</v>
      </c>
      <c r="D18" s="153">
        <v>-3.2083970000000002</v>
      </c>
      <c r="E18" s="153">
        <v>0</v>
      </c>
      <c r="F18" s="153">
        <v>0</v>
      </c>
      <c r="G18" s="153">
        <v>2</v>
      </c>
      <c r="H18" s="62"/>
      <c r="K18">
        <v>7</v>
      </c>
      <c r="L18">
        <v>1</v>
      </c>
      <c r="M18">
        <v>2</v>
      </c>
      <c r="N18">
        <f t="shared" si="0"/>
        <v>0</v>
      </c>
      <c r="O18" s="151">
        <f>N18-N$12+Calibrate!C77</f>
        <v>0</v>
      </c>
    </row>
    <row r="19" spans="1:15" x14ac:dyDescent="0.3">
      <c r="A19">
        <v>7</v>
      </c>
      <c r="B19" s="153">
        <v>1000000</v>
      </c>
      <c r="C19" s="153">
        <v>100.9743</v>
      </c>
      <c r="D19" s="153">
        <v>-3.2294260000000001</v>
      </c>
      <c r="E19" s="153">
        <v>0</v>
      </c>
      <c r="F19" s="153">
        <v>0</v>
      </c>
      <c r="G19" s="153">
        <v>2</v>
      </c>
      <c r="H19" s="62"/>
      <c r="K19">
        <v>8</v>
      </c>
      <c r="L19">
        <v>1</v>
      </c>
      <c r="M19">
        <v>5</v>
      </c>
      <c r="N19">
        <f t="shared" si="0"/>
        <v>0</v>
      </c>
      <c r="O19" s="151">
        <f>N19-N$12+Calibrate!C78</f>
        <v>0</v>
      </c>
    </row>
    <row r="20" spans="1:15" x14ac:dyDescent="0.3">
      <c r="A20">
        <v>8</v>
      </c>
      <c r="B20" s="153">
        <v>1000000</v>
      </c>
      <c r="C20" s="153">
        <v>100.9729</v>
      </c>
      <c r="D20" s="153">
        <v>-3.2205949999999999</v>
      </c>
      <c r="E20" s="153">
        <v>0</v>
      </c>
      <c r="F20" s="153">
        <v>0</v>
      </c>
      <c r="G20" s="153">
        <v>2</v>
      </c>
      <c r="H20" s="62"/>
      <c r="K20">
        <v>9</v>
      </c>
      <c r="L20">
        <v>1</v>
      </c>
      <c r="M20">
        <v>10</v>
      </c>
      <c r="N20">
        <f t="shared" si="0"/>
        <v>0</v>
      </c>
      <c r="O20" s="151">
        <f>N20-N$12+Calibrate!C79</f>
        <v>0</v>
      </c>
    </row>
    <row r="21" spans="1:15" x14ac:dyDescent="0.3">
      <c r="A21">
        <v>9</v>
      </c>
      <c r="B21" s="153">
        <v>1000000</v>
      </c>
      <c r="C21" s="153">
        <v>100.9515</v>
      </c>
      <c r="D21" s="153">
        <v>-3.208218</v>
      </c>
      <c r="E21" s="153">
        <v>0</v>
      </c>
      <c r="F21" s="153">
        <v>0</v>
      </c>
      <c r="G21" s="153">
        <v>2</v>
      </c>
      <c r="H21" s="62"/>
      <c r="K21" s="152">
        <v>10</v>
      </c>
      <c r="L21">
        <v>1</v>
      </c>
      <c r="M21">
        <v>10</v>
      </c>
      <c r="N21">
        <f t="shared" si="0"/>
        <v>0</v>
      </c>
      <c r="O21" s="151">
        <f>N21-N$12+Calibrate!C80</f>
        <v>0</v>
      </c>
    </row>
    <row r="22" spans="1:15" x14ac:dyDescent="0.3">
      <c r="A22">
        <v>10</v>
      </c>
      <c r="B22" s="153">
        <v>1000000</v>
      </c>
      <c r="C22" s="153">
        <v>100.98650000000001</v>
      </c>
      <c r="D22" s="153">
        <v>-3.2113520000000002</v>
      </c>
      <c r="E22" s="153">
        <v>0</v>
      </c>
      <c r="F22" s="153">
        <v>0</v>
      </c>
      <c r="G22" s="153">
        <v>2</v>
      </c>
      <c r="H22" s="62"/>
      <c r="K22">
        <v>11</v>
      </c>
      <c r="L22">
        <v>1</v>
      </c>
      <c r="M22">
        <v>10</v>
      </c>
      <c r="N22">
        <f t="shared" si="0"/>
        <v>0</v>
      </c>
      <c r="O22" s="151">
        <f>N22-N$12+Calibrate!C81</f>
        <v>0</v>
      </c>
    </row>
    <row r="23" spans="1:15" x14ac:dyDescent="0.3">
      <c r="A23" s="152">
        <v>11</v>
      </c>
      <c r="B23" s="153">
        <v>1000000</v>
      </c>
      <c r="C23" s="153">
        <v>86.603189999999998</v>
      </c>
      <c r="D23" s="153">
        <v>-7.1187639999999996</v>
      </c>
      <c r="E23" s="153">
        <v>0</v>
      </c>
      <c r="F23" s="153">
        <v>3</v>
      </c>
      <c r="G23" s="153">
        <v>2</v>
      </c>
      <c r="H23" s="62"/>
    </row>
    <row r="24" spans="1:15" x14ac:dyDescent="0.3">
      <c r="A24" s="152">
        <v>12</v>
      </c>
      <c r="B24" s="62">
        <v>1000000</v>
      </c>
      <c r="C24" s="62">
        <v>86.615949999999998</v>
      </c>
      <c r="D24" s="62">
        <v>-7.122039</v>
      </c>
      <c r="E24" s="62">
        <v>0</v>
      </c>
      <c r="F24" s="62">
        <v>3</v>
      </c>
      <c r="G24" s="62">
        <v>2</v>
      </c>
      <c r="H24" s="62"/>
    </row>
    <row r="25" spans="1:15" x14ac:dyDescent="0.3">
      <c r="A25" s="152">
        <v>13</v>
      </c>
      <c r="B25" s="62">
        <v>1000000</v>
      </c>
      <c r="C25" s="62">
        <v>86.584190000000007</v>
      </c>
      <c r="D25" s="62">
        <v>-7.1449809999999996</v>
      </c>
      <c r="E25" s="62">
        <v>0</v>
      </c>
      <c r="F25" s="62">
        <v>3</v>
      </c>
      <c r="G25" s="62">
        <v>2</v>
      </c>
      <c r="H25" s="62"/>
    </row>
    <row r="26" spans="1:15" x14ac:dyDescent="0.3">
      <c r="A26" s="152">
        <v>14</v>
      </c>
      <c r="B26" s="62">
        <v>1000000</v>
      </c>
      <c r="C26" s="62">
        <v>86.555049999999994</v>
      </c>
      <c r="D26" s="62">
        <v>-7.1365299999999996</v>
      </c>
      <c r="E26" s="62">
        <v>0</v>
      </c>
      <c r="F26" s="62">
        <v>3</v>
      </c>
      <c r="G26" s="62">
        <v>2</v>
      </c>
      <c r="H26" s="62"/>
    </row>
    <row r="27" spans="1:15" x14ac:dyDescent="0.3">
      <c r="A27" s="152">
        <v>15</v>
      </c>
      <c r="B27" s="62">
        <v>1000000</v>
      </c>
      <c r="C27" s="62">
        <v>86.549009999999996</v>
      </c>
      <c r="D27" s="62">
        <v>-7.1066859999999998</v>
      </c>
      <c r="E27" s="62">
        <v>0</v>
      </c>
      <c r="F27" s="62">
        <v>3</v>
      </c>
      <c r="G27" s="62">
        <v>2</v>
      </c>
      <c r="H27" s="62"/>
    </row>
    <row r="28" spans="1:15" x14ac:dyDescent="0.3">
      <c r="A28" s="152">
        <v>16</v>
      </c>
      <c r="B28" s="62">
        <v>1000000</v>
      </c>
      <c r="C28" s="62">
        <v>86.569710000000001</v>
      </c>
      <c r="D28" s="62">
        <v>-7.1132790000000004</v>
      </c>
      <c r="E28" s="62">
        <v>0</v>
      </c>
      <c r="F28" s="62">
        <v>3</v>
      </c>
      <c r="G28" s="62">
        <v>2</v>
      </c>
      <c r="H28" s="62"/>
    </row>
    <row r="29" spans="1:15" x14ac:dyDescent="0.3">
      <c r="A29" s="152">
        <v>17</v>
      </c>
      <c r="B29" s="62">
        <v>1000000</v>
      </c>
      <c r="C29" s="62">
        <v>86.570740000000001</v>
      </c>
      <c r="D29" s="62">
        <v>-7.1414499999999999</v>
      </c>
      <c r="E29" s="62">
        <v>0</v>
      </c>
      <c r="F29" s="62">
        <v>3</v>
      </c>
      <c r="G29" s="62">
        <v>2</v>
      </c>
      <c r="H29" s="62"/>
    </row>
    <row r="30" spans="1:15" x14ac:dyDescent="0.3">
      <c r="A30" s="152">
        <v>18</v>
      </c>
      <c r="B30" s="62">
        <v>1000000</v>
      </c>
      <c r="C30" s="62">
        <v>86.647989999999993</v>
      </c>
      <c r="D30" s="62">
        <v>-7.1262549999999996</v>
      </c>
      <c r="E30" s="62">
        <v>0</v>
      </c>
      <c r="F30" s="62">
        <v>3</v>
      </c>
      <c r="G30" s="62">
        <v>2</v>
      </c>
      <c r="H30" s="62"/>
    </row>
    <row r="31" spans="1:15" x14ac:dyDescent="0.3">
      <c r="A31" s="152">
        <v>19</v>
      </c>
      <c r="B31" s="62">
        <v>1000000</v>
      </c>
      <c r="C31" s="62">
        <v>86.600480000000005</v>
      </c>
      <c r="D31" s="62">
        <v>-7.1199709999999996</v>
      </c>
      <c r="E31" s="62">
        <v>0</v>
      </c>
      <c r="F31" s="62">
        <v>3</v>
      </c>
      <c r="G31" s="62">
        <v>2</v>
      </c>
      <c r="H31" s="62"/>
    </row>
    <row r="32" spans="1:15" x14ac:dyDescent="0.3">
      <c r="A32" s="152">
        <v>20</v>
      </c>
      <c r="B32" s="62">
        <v>1000000</v>
      </c>
      <c r="C32" s="62">
        <v>86.592460000000003</v>
      </c>
      <c r="D32" s="62">
        <v>-7.1195320000000004</v>
      </c>
      <c r="E32" s="62">
        <v>0</v>
      </c>
      <c r="F32" s="62">
        <v>3</v>
      </c>
      <c r="G32" s="62">
        <v>2</v>
      </c>
      <c r="H32" s="62"/>
    </row>
    <row r="33" spans="1:8" x14ac:dyDescent="0.3">
      <c r="A33">
        <v>21</v>
      </c>
      <c r="B33" s="62">
        <v>1000000</v>
      </c>
      <c r="C33" s="62">
        <v>86.596209999999999</v>
      </c>
      <c r="D33" s="62">
        <v>-7.1363289999999999</v>
      </c>
      <c r="E33" s="62">
        <v>0</v>
      </c>
      <c r="F33" s="62">
        <v>3</v>
      </c>
      <c r="G33" s="62">
        <v>2</v>
      </c>
      <c r="H33" s="62"/>
    </row>
    <row r="34" spans="1:8" x14ac:dyDescent="0.3">
      <c r="A34">
        <v>22</v>
      </c>
      <c r="B34" s="62">
        <v>1000000</v>
      </c>
      <c r="C34" s="62">
        <v>86.606790000000004</v>
      </c>
      <c r="D34" s="62">
        <v>-7.0906510000000003</v>
      </c>
      <c r="E34" s="62">
        <v>0</v>
      </c>
      <c r="F34" s="62">
        <v>3</v>
      </c>
      <c r="G34" s="62">
        <v>2</v>
      </c>
      <c r="H34" s="62"/>
    </row>
    <row r="35" spans="1:8" x14ac:dyDescent="0.3">
      <c r="A35">
        <v>23</v>
      </c>
      <c r="B35" s="62">
        <v>1000000</v>
      </c>
      <c r="C35" s="62">
        <v>86.608260000000001</v>
      </c>
      <c r="D35" s="62">
        <v>-7.1109410000000004</v>
      </c>
      <c r="E35" s="62">
        <v>0</v>
      </c>
      <c r="F35" s="62">
        <v>3</v>
      </c>
      <c r="G35" s="62">
        <v>2</v>
      </c>
      <c r="H35" s="62"/>
    </row>
    <row r="36" spans="1:8" x14ac:dyDescent="0.3">
      <c r="A36">
        <v>24</v>
      </c>
      <c r="B36" s="62">
        <v>1000000</v>
      </c>
      <c r="C36" s="62">
        <v>86.617570000000001</v>
      </c>
      <c r="D36" s="62">
        <v>-7.1023209999999999</v>
      </c>
      <c r="E36" s="62">
        <v>0</v>
      </c>
      <c r="F36" s="62">
        <v>3</v>
      </c>
      <c r="G36" s="62">
        <v>2</v>
      </c>
      <c r="H36" s="62"/>
    </row>
    <row r="37" spans="1:8" x14ac:dyDescent="0.3">
      <c r="A37">
        <v>25</v>
      </c>
      <c r="B37" s="62">
        <v>1000000</v>
      </c>
      <c r="C37" s="62">
        <v>86.599540000000005</v>
      </c>
      <c r="D37" s="62">
        <v>-7.1054089999999999</v>
      </c>
      <c r="E37" s="62">
        <v>0</v>
      </c>
      <c r="F37" s="62">
        <v>3</v>
      </c>
      <c r="G37" s="62">
        <v>2</v>
      </c>
      <c r="H37" s="62"/>
    </row>
    <row r="38" spans="1:8" x14ac:dyDescent="0.3">
      <c r="A38">
        <v>26</v>
      </c>
      <c r="B38" s="62">
        <v>1000000</v>
      </c>
      <c r="C38" s="62">
        <v>86.558729999999997</v>
      </c>
      <c r="D38" s="62">
        <v>-7.1020830000000004</v>
      </c>
      <c r="E38" s="62">
        <v>0</v>
      </c>
      <c r="F38" s="62">
        <v>3</v>
      </c>
      <c r="G38" s="62">
        <v>2</v>
      </c>
      <c r="H38" s="62"/>
    </row>
    <row r="39" spans="1:8" x14ac:dyDescent="0.3">
      <c r="A39">
        <v>27</v>
      </c>
      <c r="B39" s="62">
        <v>1000000</v>
      </c>
      <c r="C39" s="62">
        <v>86.630039999999994</v>
      </c>
      <c r="D39" s="62">
        <v>-7.0951019999999998</v>
      </c>
      <c r="E39" s="62">
        <v>0</v>
      </c>
      <c r="F39" s="62">
        <v>3</v>
      </c>
      <c r="G39" s="62">
        <v>2</v>
      </c>
      <c r="H39" s="62"/>
    </row>
    <row r="40" spans="1:8" x14ac:dyDescent="0.3">
      <c r="A40">
        <v>28</v>
      </c>
      <c r="B40" s="62">
        <v>1000000</v>
      </c>
      <c r="C40" s="62">
        <v>86.624639999999999</v>
      </c>
      <c r="D40" s="62">
        <v>-7.1122110000000003</v>
      </c>
      <c r="E40" s="62">
        <v>0</v>
      </c>
      <c r="F40" s="62">
        <v>3</v>
      </c>
      <c r="G40" s="62">
        <v>2</v>
      </c>
      <c r="H40" s="62"/>
    </row>
    <row r="41" spans="1:8" x14ac:dyDescent="0.3">
      <c r="A41">
        <v>29</v>
      </c>
      <c r="B41" s="62">
        <v>1000000</v>
      </c>
      <c r="C41" s="62">
        <v>86.603909999999999</v>
      </c>
      <c r="D41" s="62">
        <v>-7.1491680000000004</v>
      </c>
      <c r="E41" s="62">
        <v>0</v>
      </c>
      <c r="F41" s="62">
        <v>3</v>
      </c>
      <c r="G41" s="62">
        <v>2</v>
      </c>
      <c r="H41" s="62"/>
    </row>
    <row r="42" spans="1:8" x14ac:dyDescent="0.3">
      <c r="A42">
        <v>30</v>
      </c>
      <c r="B42" s="62">
        <v>1000000</v>
      </c>
      <c r="C42" s="62">
        <v>86.610550000000003</v>
      </c>
      <c r="D42" s="62">
        <v>-7.1406229999999997</v>
      </c>
      <c r="E42" s="62">
        <v>0</v>
      </c>
      <c r="F42" s="62">
        <v>3</v>
      </c>
      <c r="G42" s="62">
        <v>2</v>
      </c>
      <c r="H42" s="62"/>
    </row>
    <row r="43" spans="1:8" x14ac:dyDescent="0.3">
      <c r="A43">
        <v>31</v>
      </c>
      <c r="B43" s="62">
        <v>1000000</v>
      </c>
      <c r="C43" s="62">
        <v>86.587760000000003</v>
      </c>
      <c r="D43" s="62">
        <v>-7.1211159999999998</v>
      </c>
      <c r="E43" s="62">
        <v>0</v>
      </c>
      <c r="F43" s="62">
        <v>3</v>
      </c>
      <c r="G43" s="62">
        <v>2</v>
      </c>
      <c r="H43" s="62"/>
    </row>
    <row r="44" spans="1:8" x14ac:dyDescent="0.3">
      <c r="A44">
        <v>32</v>
      </c>
      <c r="B44" s="62">
        <v>1000000</v>
      </c>
      <c r="C44" s="62">
        <v>86.549909999999997</v>
      </c>
      <c r="D44" s="62">
        <v>-7.1415480000000002</v>
      </c>
      <c r="E44" s="62">
        <v>0</v>
      </c>
      <c r="F44" s="62">
        <v>3</v>
      </c>
      <c r="G44" s="62">
        <v>2</v>
      </c>
      <c r="H44" s="62"/>
    </row>
    <row r="45" spans="1:8" x14ac:dyDescent="0.3">
      <c r="A45">
        <v>33</v>
      </c>
      <c r="B45" s="62">
        <v>1000000</v>
      </c>
      <c r="C45" s="62">
        <v>86.566010000000006</v>
      </c>
      <c r="D45" s="62">
        <v>-7.1256640000000004</v>
      </c>
      <c r="E45" s="62">
        <v>0</v>
      </c>
      <c r="F45" s="62">
        <v>3</v>
      </c>
      <c r="G45" s="62">
        <v>2</v>
      </c>
      <c r="H45" s="62"/>
    </row>
    <row r="46" spans="1:8" x14ac:dyDescent="0.3">
      <c r="A46">
        <v>34</v>
      </c>
      <c r="B46" s="62">
        <v>1000000</v>
      </c>
      <c r="C46" s="62">
        <v>86.570310000000006</v>
      </c>
      <c r="D46" s="62">
        <v>-7.1098660000000002</v>
      </c>
      <c r="E46" s="62">
        <v>0</v>
      </c>
      <c r="F46" s="62">
        <v>3</v>
      </c>
      <c r="G46" s="62">
        <v>2</v>
      </c>
      <c r="H46" s="62"/>
    </row>
    <row r="47" spans="1:8" x14ac:dyDescent="0.3">
      <c r="A47">
        <v>35</v>
      </c>
      <c r="B47" s="62">
        <v>1000000</v>
      </c>
      <c r="C47" s="62">
        <v>86.554590000000005</v>
      </c>
      <c r="D47" s="62">
        <v>-7.1297379999999997</v>
      </c>
      <c r="E47" s="62">
        <v>0</v>
      </c>
      <c r="F47" s="62">
        <v>3</v>
      </c>
      <c r="G47" s="62">
        <v>2</v>
      </c>
      <c r="H47" s="62"/>
    </row>
    <row r="48" spans="1:8" x14ac:dyDescent="0.3">
      <c r="A48">
        <v>36</v>
      </c>
      <c r="B48" s="62">
        <v>1000000</v>
      </c>
      <c r="C48" s="62">
        <v>86.62276</v>
      </c>
      <c r="D48" s="62">
        <v>-7.12303</v>
      </c>
      <c r="E48" s="62">
        <v>0</v>
      </c>
      <c r="F48" s="62">
        <v>3</v>
      </c>
      <c r="G48" s="62">
        <v>2</v>
      </c>
      <c r="H48" s="62"/>
    </row>
    <row r="49" spans="1:8" x14ac:dyDescent="0.3">
      <c r="A49">
        <v>37</v>
      </c>
      <c r="B49" s="62">
        <v>1000000</v>
      </c>
      <c r="C49" s="62">
        <v>86.616829999999993</v>
      </c>
      <c r="D49" s="62">
        <v>-7.1148199999999999</v>
      </c>
      <c r="E49" s="62">
        <v>0</v>
      </c>
      <c r="F49" s="62">
        <v>3</v>
      </c>
      <c r="G49" s="62">
        <v>2</v>
      </c>
      <c r="H49" s="62"/>
    </row>
    <row r="50" spans="1:8" x14ac:dyDescent="0.3">
      <c r="A50">
        <v>38</v>
      </c>
      <c r="B50" s="62">
        <v>1000000</v>
      </c>
      <c r="C50" s="62">
        <v>86.582300000000004</v>
      </c>
      <c r="D50" s="62">
        <v>-7.0954680000000003</v>
      </c>
      <c r="E50" s="62">
        <v>0</v>
      </c>
      <c r="F50" s="62">
        <v>3</v>
      </c>
      <c r="G50" s="62">
        <v>2</v>
      </c>
      <c r="H50" s="62"/>
    </row>
    <row r="51" spans="1:8" x14ac:dyDescent="0.3">
      <c r="A51">
        <v>39</v>
      </c>
      <c r="B51" s="62">
        <v>1000000</v>
      </c>
      <c r="C51" s="62">
        <v>86.600110000000001</v>
      </c>
      <c r="D51" s="62">
        <v>-7.1377610000000002</v>
      </c>
      <c r="E51" s="62">
        <v>0</v>
      </c>
      <c r="F51" s="62">
        <v>3</v>
      </c>
      <c r="G51" s="62">
        <v>2</v>
      </c>
      <c r="H51" s="62"/>
    </row>
    <row r="52" spans="1:8" x14ac:dyDescent="0.3">
      <c r="A52">
        <v>40</v>
      </c>
      <c r="B52" s="62">
        <v>1000000</v>
      </c>
      <c r="C52" s="62">
        <v>86.519540000000006</v>
      </c>
      <c r="D52" s="62">
        <v>-7.1167980000000002</v>
      </c>
      <c r="E52" s="62">
        <v>0</v>
      </c>
      <c r="F52" s="62">
        <v>3</v>
      </c>
      <c r="G52" s="62">
        <v>2</v>
      </c>
      <c r="H52" s="62"/>
    </row>
    <row r="53" spans="1:8" x14ac:dyDescent="0.3">
      <c r="A53">
        <v>41</v>
      </c>
      <c r="B53" s="62">
        <v>1000000</v>
      </c>
      <c r="C53" s="62">
        <v>86.529600000000002</v>
      </c>
      <c r="D53" s="62">
        <v>-7.1278889999999997</v>
      </c>
      <c r="E53" s="62">
        <v>0</v>
      </c>
      <c r="F53" s="62">
        <v>3</v>
      </c>
      <c r="G53" s="62">
        <v>2</v>
      </c>
      <c r="H53" s="62"/>
    </row>
    <row r="54" spans="1:8" x14ac:dyDescent="0.3">
      <c r="A54">
        <v>42</v>
      </c>
      <c r="B54" s="62">
        <v>1000000</v>
      </c>
      <c r="C54" s="62">
        <v>86.599469999999997</v>
      </c>
      <c r="D54" s="62">
        <v>-7.1418619999999997</v>
      </c>
      <c r="E54" s="62">
        <v>0</v>
      </c>
      <c r="F54" s="62">
        <v>3</v>
      </c>
      <c r="G54" s="62">
        <v>2</v>
      </c>
      <c r="H54" s="62"/>
    </row>
    <row r="55" spans="1:8" x14ac:dyDescent="0.3">
      <c r="A55">
        <v>43</v>
      </c>
      <c r="B55" s="62">
        <v>1000000</v>
      </c>
      <c r="C55" s="62">
        <v>86.602940000000004</v>
      </c>
      <c r="D55" s="62">
        <v>-7.1452220000000004</v>
      </c>
      <c r="E55" s="62">
        <v>0</v>
      </c>
      <c r="F55" s="62">
        <v>3</v>
      </c>
      <c r="G55" s="62">
        <v>2</v>
      </c>
      <c r="H55" s="62"/>
    </row>
    <row r="56" spans="1:8" x14ac:dyDescent="0.3">
      <c r="A56">
        <v>44</v>
      </c>
      <c r="B56" s="62">
        <v>1000000</v>
      </c>
      <c r="C56" s="62">
        <v>86.656199999999998</v>
      </c>
      <c r="D56" s="62">
        <v>-7.1254910000000002</v>
      </c>
      <c r="E56" s="62">
        <v>0</v>
      </c>
      <c r="F56" s="62">
        <v>3</v>
      </c>
      <c r="G56" s="62">
        <v>2</v>
      </c>
      <c r="H56" s="62"/>
    </row>
    <row r="57" spans="1:8" x14ac:dyDescent="0.3">
      <c r="A57">
        <v>45</v>
      </c>
      <c r="B57" s="62">
        <v>1000000</v>
      </c>
      <c r="C57" s="62">
        <v>86.601399999999998</v>
      </c>
      <c r="D57" s="62">
        <v>-7.165559</v>
      </c>
      <c r="E57" s="62">
        <v>0</v>
      </c>
      <c r="F57" s="62">
        <v>3</v>
      </c>
      <c r="G57" s="62">
        <v>2</v>
      </c>
      <c r="H57" s="62"/>
    </row>
    <row r="58" spans="1:8" x14ac:dyDescent="0.3">
      <c r="A58">
        <v>46</v>
      </c>
      <c r="B58" s="62">
        <v>1000000</v>
      </c>
      <c r="C58" s="62">
        <v>86.53586</v>
      </c>
      <c r="D58" s="62">
        <v>-7.1396230000000003</v>
      </c>
      <c r="E58" s="62">
        <v>0</v>
      </c>
      <c r="F58" s="62">
        <v>3</v>
      </c>
      <c r="G58" s="62">
        <v>2</v>
      </c>
      <c r="H58" s="62"/>
    </row>
    <row r="59" spans="1:8" x14ac:dyDescent="0.3">
      <c r="A59">
        <v>47</v>
      </c>
      <c r="B59" s="62">
        <v>1000000</v>
      </c>
      <c r="C59" s="62">
        <v>86.587149999999994</v>
      </c>
      <c r="D59" s="62">
        <v>-7.1318060000000001</v>
      </c>
      <c r="E59" s="62">
        <v>0</v>
      </c>
      <c r="F59" s="62">
        <v>3</v>
      </c>
      <c r="G59" s="62">
        <v>2</v>
      </c>
      <c r="H59" s="62"/>
    </row>
    <row r="60" spans="1:8" x14ac:dyDescent="0.3">
      <c r="A60">
        <v>48</v>
      </c>
      <c r="B60" s="62">
        <v>1000000</v>
      </c>
      <c r="C60" s="62">
        <v>86.531229999999994</v>
      </c>
      <c r="D60" s="62">
        <v>-7.1376790000000003</v>
      </c>
      <c r="E60" s="62">
        <v>0</v>
      </c>
      <c r="F60" s="62">
        <v>3</v>
      </c>
      <c r="G60" s="62">
        <v>2</v>
      </c>
      <c r="H60" s="62"/>
    </row>
    <row r="61" spans="1:8" x14ac:dyDescent="0.3">
      <c r="A61">
        <v>49</v>
      </c>
      <c r="B61" s="62">
        <v>1000000</v>
      </c>
      <c r="C61" s="62">
        <v>86.547809999999998</v>
      </c>
      <c r="D61" s="62">
        <v>-7.1511259999999996</v>
      </c>
      <c r="E61" s="62">
        <v>0</v>
      </c>
      <c r="F61" s="62">
        <v>3</v>
      </c>
      <c r="G61" s="62">
        <v>2</v>
      </c>
      <c r="H61" s="62"/>
    </row>
    <row r="62" spans="1:8" x14ac:dyDescent="0.3">
      <c r="A62">
        <v>50</v>
      </c>
      <c r="B62" s="62">
        <v>1000000</v>
      </c>
      <c r="C62" s="62">
        <v>86.558179999999993</v>
      </c>
      <c r="D62" s="62">
        <v>-7.1288470000000004</v>
      </c>
      <c r="E62" s="62">
        <v>0</v>
      </c>
      <c r="F62" s="62">
        <v>3</v>
      </c>
      <c r="G62" s="62">
        <v>2</v>
      </c>
      <c r="H62" s="62"/>
    </row>
    <row r="63" spans="1:8" x14ac:dyDescent="0.3">
      <c r="A63">
        <v>51</v>
      </c>
      <c r="B63" s="62">
        <v>1000000</v>
      </c>
      <c r="C63" s="62">
        <v>86.548869999999994</v>
      </c>
      <c r="D63" s="62">
        <v>-7.1340669999999999</v>
      </c>
      <c r="E63" s="62">
        <v>0</v>
      </c>
      <c r="F63" s="62">
        <v>3</v>
      </c>
      <c r="G63" s="62">
        <v>2</v>
      </c>
      <c r="H63" s="62"/>
    </row>
    <row r="64" spans="1:8" x14ac:dyDescent="0.3">
      <c r="A64">
        <v>52</v>
      </c>
      <c r="B64" s="62">
        <v>1000000</v>
      </c>
      <c r="C64" s="62">
        <v>86.560869999999994</v>
      </c>
      <c r="D64" s="62">
        <v>-7.1031820000000003</v>
      </c>
      <c r="E64" s="62">
        <v>0</v>
      </c>
      <c r="F64" s="62">
        <v>3</v>
      </c>
      <c r="G64" s="62">
        <v>2</v>
      </c>
      <c r="H64" s="62"/>
    </row>
    <row r="65" spans="1:8" x14ac:dyDescent="0.3">
      <c r="A65">
        <v>53</v>
      </c>
      <c r="B65" s="62">
        <v>1000000</v>
      </c>
      <c r="C65" s="62">
        <v>86.573980000000006</v>
      </c>
      <c r="D65" s="62">
        <v>-7.1296600000000003</v>
      </c>
      <c r="E65" s="62">
        <v>0</v>
      </c>
      <c r="F65" s="62">
        <v>3</v>
      </c>
      <c r="G65" s="62">
        <v>2</v>
      </c>
      <c r="H65" s="62"/>
    </row>
    <row r="66" spans="1:8" x14ac:dyDescent="0.3">
      <c r="A66">
        <v>54</v>
      </c>
      <c r="B66" s="62">
        <v>1000000</v>
      </c>
      <c r="C66" s="62">
        <v>86.541979999999995</v>
      </c>
      <c r="D66" s="62">
        <v>-7.1289030000000002</v>
      </c>
      <c r="E66" s="62">
        <v>0</v>
      </c>
      <c r="F66" s="62">
        <v>3</v>
      </c>
      <c r="G66" s="62">
        <v>2</v>
      </c>
      <c r="H66" s="62"/>
    </row>
    <row r="67" spans="1:8" x14ac:dyDescent="0.3">
      <c r="A67">
        <v>55</v>
      </c>
      <c r="B67" s="62">
        <v>1000000</v>
      </c>
      <c r="C67" s="62">
        <v>86.534670000000006</v>
      </c>
      <c r="D67" s="62">
        <v>-7.1529470000000002</v>
      </c>
      <c r="E67" s="62">
        <v>0</v>
      </c>
      <c r="F67" s="62">
        <v>3</v>
      </c>
      <c r="G67" s="62">
        <v>2</v>
      </c>
      <c r="H67" s="62"/>
    </row>
    <row r="68" spans="1:8" x14ac:dyDescent="0.3">
      <c r="A68">
        <v>56</v>
      </c>
      <c r="B68" s="62">
        <v>1000000</v>
      </c>
      <c r="C68" s="62">
        <v>86.552790000000002</v>
      </c>
      <c r="D68" s="62">
        <v>-7.1371580000000003</v>
      </c>
      <c r="E68" s="62">
        <v>0</v>
      </c>
      <c r="F68" s="62">
        <v>3</v>
      </c>
      <c r="G68" s="62">
        <v>2</v>
      </c>
      <c r="H68" s="62"/>
    </row>
    <row r="69" spans="1:8" x14ac:dyDescent="0.3">
      <c r="A69">
        <v>57</v>
      </c>
      <c r="B69" s="62">
        <v>1000000</v>
      </c>
      <c r="C69" s="62">
        <v>86.506240000000005</v>
      </c>
      <c r="D69" s="62">
        <v>-7.1167400000000001</v>
      </c>
      <c r="E69" s="62">
        <v>0</v>
      </c>
      <c r="F69" s="62">
        <v>3</v>
      </c>
      <c r="G69" s="62">
        <v>2</v>
      </c>
      <c r="H69" s="62"/>
    </row>
    <row r="70" spans="1:8" x14ac:dyDescent="0.3">
      <c r="A70">
        <v>58</v>
      </c>
      <c r="B70" s="62">
        <v>1000000</v>
      </c>
      <c r="C70" s="62">
        <v>86.549760000000006</v>
      </c>
      <c r="D70" s="62">
        <v>-7.1281119999999998</v>
      </c>
      <c r="E70" s="62">
        <v>0</v>
      </c>
      <c r="F70" s="62">
        <v>3</v>
      </c>
      <c r="G70" s="62">
        <v>2</v>
      </c>
      <c r="H70" s="62"/>
    </row>
    <row r="71" spans="1:8" x14ac:dyDescent="0.3">
      <c r="A71">
        <v>59</v>
      </c>
      <c r="B71" s="62">
        <v>1000000</v>
      </c>
      <c r="C71" s="62">
        <v>86.564880000000002</v>
      </c>
      <c r="D71" s="62">
        <v>-7.1446350000000001</v>
      </c>
      <c r="E71" s="62">
        <v>0</v>
      </c>
      <c r="F71" s="62">
        <v>3</v>
      </c>
      <c r="G71" s="62">
        <v>2</v>
      </c>
      <c r="H71" s="62"/>
    </row>
    <row r="72" spans="1:8" x14ac:dyDescent="0.3">
      <c r="A72">
        <v>60</v>
      </c>
      <c r="B72" s="62">
        <v>1000000</v>
      </c>
      <c r="C72" s="62">
        <v>86.609710000000007</v>
      </c>
      <c r="D72" s="62">
        <v>-7.1560699999999997</v>
      </c>
      <c r="E72" s="62">
        <v>0</v>
      </c>
      <c r="F72" s="62">
        <v>3</v>
      </c>
      <c r="G72" s="62">
        <v>2</v>
      </c>
      <c r="H72" s="62"/>
    </row>
    <row r="73" spans="1:8" x14ac:dyDescent="0.3">
      <c r="A73">
        <v>61</v>
      </c>
      <c r="B73" s="62">
        <v>1000000</v>
      </c>
      <c r="C73" s="62">
        <v>86.546980000000005</v>
      </c>
      <c r="D73" s="62">
        <v>-7.1288770000000001</v>
      </c>
      <c r="E73" s="62">
        <v>0</v>
      </c>
      <c r="F73" s="62">
        <v>3</v>
      </c>
      <c r="G73" s="62">
        <v>2</v>
      </c>
      <c r="H73" s="62"/>
    </row>
    <row r="74" spans="1:8" x14ac:dyDescent="0.3">
      <c r="A74">
        <v>62</v>
      </c>
      <c r="B74" s="62">
        <v>1000000</v>
      </c>
      <c r="C74" s="62">
        <v>86.566590000000005</v>
      </c>
      <c r="D74" s="62">
        <v>-7.141089</v>
      </c>
      <c r="E74" s="62">
        <v>0</v>
      </c>
      <c r="F74" s="62">
        <v>3</v>
      </c>
      <c r="G74" s="62">
        <v>2</v>
      </c>
      <c r="H74" s="62"/>
    </row>
    <row r="75" spans="1:8" x14ac:dyDescent="0.3">
      <c r="A75">
        <v>63</v>
      </c>
      <c r="B75" s="62">
        <v>1000000</v>
      </c>
      <c r="C75" s="62">
        <v>86.520049999999998</v>
      </c>
      <c r="D75" s="62">
        <v>-7.1171769999999999</v>
      </c>
      <c r="E75" s="62">
        <v>0</v>
      </c>
      <c r="F75" s="62">
        <v>3</v>
      </c>
      <c r="G75" s="62">
        <v>2</v>
      </c>
      <c r="H75" s="62"/>
    </row>
    <row r="76" spans="1:8" x14ac:dyDescent="0.3">
      <c r="A76">
        <v>64</v>
      </c>
      <c r="B76" s="62">
        <v>1000000</v>
      </c>
      <c r="C76" s="62">
        <v>86.622609999999995</v>
      </c>
      <c r="D76" s="62">
        <v>-7.1073769999999996</v>
      </c>
      <c r="E76" s="62">
        <v>0</v>
      </c>
      <c r="F76" s="62">
        <v>3</v>
      </c>
      <c r="G76" s="62">
        <v>2</v>
      </c>
      <c r="H76" s="62"/>
    </row>
    <row r="77" spans="1:8" x14ac:dyDescent="0.3">
      <c r="A77">
        <v>65</v>
      </c>
      <c r="B77" s="62">
        <v>1000000</v>
      </c>
      <c r="C77" s="62">
        <v>86.568870000000004</v>
      </c>
      <c r="D77" s="62">
        <v>-7.1286969999999998</v>
      </c>
      <c r="E77" s="62">
        <v>0</v>
      </c>
      <c r="F77" s="62">
        <v>3</v>
      </c>
      <c r="G77" s="62">
        <v>2</v>
      </c>
      <c r="H77" s="62"/>
    </row>
    <row r="78" spans="1:8" x14ac:dyDescent="0.3">
      <c r="A78">
        <v>66</v>
      </c>
      <c r="B78" s="62">
        <v>1000000</v>
      </c>
      <c r="C78" s="62">
        <v>86.572320000000005</v>
      </c>
      <c r="D78" s="62">
        <v>-7.1364219999999996</v>
      </c>
      <c r="E78" s="62">
        <v>0</v>
      </c>
      <c r="F78" s="62">
        <v>3</v>
      </c>
      <c r="G78" s="62">
        <v>2</v>
      </c>
      <c r="H78" s="62"/>
    </row>
    <row r="79" spans="1:8" x14ac:dyDescent="0.3">
      <c r="A79">
        <v>67</v>
      </c>
      <c r="B79" s="62">
        <v>1000000</v>
      </c>
      <c r="C79" s="62">
        <v>86.528040000000004</v>
      </c>
      <c r="D79" s="62">
        <v>-7.1231799999999996</v>
      </c>
      <c r="E79" s="62">
        <v>0</v>
      </c>
      <c r="F79" s="62">
        <v>3</v>
      </c>
      <c r="G79" s="62">
        <v>2</v>
      </c>
      <c r="H79" s="62"/>
    </row>
    <row r="80" spans="1:8" x14ac:dyDescent="0.3">
      <c r="A80">
        <v>68</v>
      </c>
      <c r="B80" s="62">
        <v>1000000</v>
      </c>
      <c r="C80" s="62">
        <v>86.563289999999995</v>
      </c>
      <c r="D80" s="62">
        <v>-7.1326159999999996</v>
      </c>
      <c r="E80" s="62">
        <v>0</v>
      </c>
      <c r="F80" s="62">
        <v>3</v>
      </c>
      <c r="G80" s="62">
        <v>2</v>
      </c>
      <c r="H80" s="62"/>
    </row>
    <row r="81" spans="1:8" x14ac:dyDescent="0.3">
      <c r="A81">
        <v>69</v>
      </c>
      <c r="B81" s="62">
        <v>1000000</v>
      </c>
      <c r="C81" s="62">
        <v>86.551450000000003</v>
      </c>
      <c r="D81" s="62">
        <v>-7.1029770000000001</v>
      </c>
      <c r="E81" s="62">
        <v>0</v>
      </c>
      <c r="F81" s="62">
        <v>3</v>
      </c>
      <c r="G81" s="62">
        <v>2</v>
      </c>
      <c r="H81" s="62"/>
    </row>
    <row r="82" spans="1:8" x14ac:dyDescent="0.3">
      <c r="A82">
        <v>70</v>
      </c>
      <c r="B82" s="62">
        <v>1000000</v>
      </c>
      <c r="C82" s="62">
        <v>86.533850000000001</v>
      </c>
      <c r="D82" s="62">
        <v>-7.1081880000000002</v>
      </c>
      <c r="E82" s="62">
        <v>0</v>
      </c>
      <c r="F82" s="62">
        <v>3</v>
      </c>
      <c r="G82" s="62">
        <v>2</v>
      </c>
      <c r="H82" s="62"/>
    </row>
    <row r="83" spans="1:8" x14ac:dyDescent="0.3">
      <c r="A83">
        <v>71</v>
      </c>
      <c r="B83" s="62">
        <v>1000000</v>
      </c>
      <c r="C83" s="62">
        <v>86.605320000000006</v>
      </c>
      <c r="D83" s="62">
        <v>-7.1350639999999999</v>
      </c>
      <c r="E83" s="62">
        <v>0</v>
      </c>
      <c r="F83" s="62">
        <v>3</v>
      </c>
      <c r="G83" s="62">
        <v>2</v>
      </c>
      <c r="H83" s="62"/>
    </row>
    <row r="84" spans="1:8" x14ac:dyDescent="0.3">
      <c r="A84">
        <v>72</v>
      </c>
      <c r="B84" s="62">
        <v>1000000</v>
      </c>
      <c r="C84" s="62">
        <v>86.544600000000003</v>
      </c>
      <c r="D84" s="62">
        <v>-7.1342860000000003</v>
      </c>
      <c r="E84" s="62">
        <v>0</v>
      </c>
      <c r="F84" s="62">
        <v>3</v>
      </c>
      <c r="G84" s="62">
        <v>2</v>
      </c>
      <c r="H84" s="62"/>
    </row>
    <row r="85" spans="1:8" x14ac:dyDescent="0.3">
      <c r="A85">
        <v>73</v>
      </c>
      <c r="B85" s="62">
        <v>1000000</v>
      </c>
      <c r="C85" s="62">
        <v>86.560389999999998</v>
      </c>
      <c r="D85" s="62">
        <v>-7.1030160000000002</v>
      </c>
      <c r="E85" s="62">
        <v>0</v>
      </c>
      <c r="F85" s="62">
        <v>3</v>
      </c>
      <c r="G85" s="62">
        <v>2</v>
      </c>
      <c r="H85" s="62"/>
    </row>
    <row r="86" spans="1:8" x14ac:dyDescent="0.3">
      <c r="A86">
        <v>74</v>
      </c>
      <c r="B86" s="62">
        <v>1000000</v>
      </c>
      <c r="C86" s="62">
        <v>86.565449999999998</v>
      </c>
      <c r="D86" s="62">
        <v>-7.1598249999999997</v>
      </c>
      <c r="E86" s="62">
        <v>0</v>
      </c>
      <c r="F86" s="62">
        <v>3</v>
      </c>
      <c r="G86" s="62">
        <v>2</v>
      </c>
      <c r="H86" s="62"/>
    </row>
    <row r="87" spans="1:8" x14ac:dyDescent="0.3">
      <c r="A87">
        <v>75</v>
      </c>
      <c r="B87" s="62">
        <v>1000000</v>
      </c>
      <c r="C87" s="62">
        <v>86.566609999999997</v>
      </c>
      <c r="D87" s="62">
        <v>-7.1358370000000004</v>
      </c>
      <c r="E87" s="62">
        <v>0</v>
      </c>
      <c r="F87" s="62">
        <v>3</v>
      </c>
      <c r="G87" s="62">
        <v>2</v>
      </c>
      <c r="H87" s="62"/>
    </row>
    <row r="88" spans="1:8" x14ac:dyDescent="0.3">
      <c r="A88">
        <v>76</v>
      </c>
      <c r="B88" s="62">
        <v>1000000</v>
      </c>
      <c r="C88" s="62">
        <v>86.601979999999998</v>
      </c>
      <c r="D88" s="62">
        <v>-7.1496890000000004</v>
      </c>
      <c r="E88" s="62">
        <v>0</v>
      </c>
      <c r="F88" s="62">
        <v>3</v>
      </c>
      <c r="G88" s="62">
        <v>2</v>
      </c>
      <c r="H88" s="62"/>
    </row>
    <row r="89" spans="1:8" x14ac:dyDescent="0.3">
      <c r="A89">
        <v>77</v>
      </c>
      <c r="B89" s="62">
        <v>1000000</v>
      </c>
      <c r="C89" s="62">
        <v>86.591210000000004</v>
      </c>
      <c r="D89" s="62">
        <v>-7.1477069999999996</v>
      </c>
      <c r="E89" s="62">
        <v>0</v>
      </c>
      <c r="F89" s="62">
        <v>3</v>
      </c>
      <c r="G89" s="62">
        <v>2</v>
      </c>
      <c r="H89" s="62"/>
    </row>
    <row r="90" spans="1:8" x14ac:dyDescent="0.3">
      <c r="A90">
        <v>78</v>
      </c>
      <c r="B90" s="62">
        <v>1000000</v>
      </c>
      <c r="C90" s="62">
        <v>86.529949999999999</v>
      </c>
      <c r="D90" s="62">
        <v>-7.1486809999999998</v>
      </c>
      <c r="E90" s="62">
        <v>0</v>
      </c>
      <c r="F90" s="62">
        <v>3</v>
      </c>
      <c r="G90" s="62">
        <v>2</v>
      </c>
      <c r="H90" s="62"/>
    </row>
    <row r="91" spans="1:8" x14ac:dyDescent="0.3">
      <c r="A91">
        <v>79</v>
      </c>
      <c r="B91" s="62">
        <v>1000000</v>
      </c>
      <c r="C91" s="62">
        <v>86.541370000000001</v>
      </c>
      <c r="D91" s="62">
        <v>-7.1252659999999999</v>
      </c>
      <c r="E91" s="62">
        <v>0</v>
      </c>
      <c r="F91" s="62">
        <v>3</v>
      </c>
      <c r="G91" s="62">
        <v>2</v>
      </c>
      <c r="H91" s="62"/>
    </row>
    <row r="92" spans="1:8" x14ac:dyDescent="0.3">
      <c r="A92">
        <v>80</v>
      </c>
      <c r="B92" s="62">
        <v>1000000</v>
      </c>
      <c r="C92" s="62">
        <v>86.525180000000006</v>
      </c>
      <c r="D92" s="62">
        <v>-7.1328550000000002</v>
      </c>
      <c r="E92" s="62">
        <v>0</v>
      </c>
      <c r="F92" s="62">
        <v>3</v>
      </c>
      <c r="G92" s="62">
        <v>2</v>
      </c>
      <c r="H92" s="62"/>
    </row>
    <row r="93" spans="1:8" x14ac:dyDescent="0.3">
      <c r="A93">
        <v>81</v>
      </c>
      <c r="B93" s="62">
        <v>1000000</v>
      </c>
      <c r="C93" s="62">
        <v>86.530720000000002</v>
      </c>
      <c r="D93" s="62">
        <v>-7.1265650000000003</v>
      </c>
      <c r="E93" s="62">
        <v>0</v>
      </c>
      <c r="F93" s="62">
        <v>3</v>
      </c>
      <c r="G93" s="62">
        <v>2</v>
      </c>
      <c r="H93" s="62"/>
    </row>
    <row r="94" spans="1:8" x14ac:dyDescent="0.3">
      <c r="A94">
        <v>82</v>
      </c>
      <c r="B94" s="153">
        <v>1000000</v>
      </c>
      <c r="C94" s="153">
        <v>86.554519999999997</v>
      </c>
      <c r="D94" s="153">
        <v>-7.1360760000000001</v>
      </c>
      <c r="E94" s="153">
        <v>0</v>
      </c>
      <c r="F94" s="153">
        <v>3</v>
      </c>
      <c r="G94" s="153">
        <v>2</v>
      </c>
      <c r="H94" s="62"/>
    </row>
    <row r="95" spans="1:8" x14ac:dyDescent="0.3">
      <c r="A95">
        <v>83</v>
      </c>
      <c r="B95" s="153">
        <v>1000000</v>
      </c>
      <c r="C95" s="153">
        <v>86.599469999999997</v>
      </c>
      <c r="D95" s="153">
        <v>-7.1410689999999999</v>
      </c>
      <c r="E95" s="153">
        <v>0</v>
      </c>
      <c r="F95" s="153">
        <v>3</v>
      </c>
      <c r="G95" s="153">
        <v>2</v>
      </c>
      <c r="H95" s="62"/>
    </row>
    <row r="96" spans="1:8" x14ac:dyDescent="0.3">
      <c r="A96">
        <v>84</v>
      </c>
      <c r="B96" s="153">
        <v>1000000</v>
      </c>
      <c r="C96" s="153">
        <v>86.560130000000001</v>
      </c>
      <c r="D96" s="153">
        <v>-7.1219619999999999</v>
      </c>
      <c r="E96" s="153">
        <v>0</v>
      </c>
      <c r="F96" s="153">
        <v>3</v>
      </c>
      <c r="G96" s="153">
        <v>2</v>
      </c>
      <c r="H96" s="62"/>
    </row>
    <row r="97" spans="1:8" x14ac:dyDescent="0.3">
      <c r="A97">
        <v>85</v>
      </c>
      <c r="B97" s="153">
        <v>1000000</v>
      </c>
      <c r="C97" s="153">
        <v>86.582210000000003</v>
      </c>
      <c r="D97" s="153">
        <v>-7.1387770000000002</v>
      </c>
      <c r="E97" s="153">
        <v>0</v>
      </c>
      <c r="F97" s="153">
        <v>3</v>
      </c>
      <c r="G97" s="153">
        <v>2</v>
      </c>
      <c r="H97" s="62"/>
    </row>
    <row r="98" spans="1:8" x14ac:dyDescent="0.3">
      <c r="A98">
        <v>86</v>
      </c>
      <c r="B98" s="153">
        <v>1000000</v>
      </c>
      <c r="C98" s="153">
        <v>86.614289999999997</v>
      </c>
      <c r="D98" s="153">
        <v>-7.1221550000000002</v>
      </c>
      <c r="E98" s="153">
        <v>0</v>
      </c>
      <c r="F98" s="153">
        <v>3</v>
      </c>
      <c r="G98" s="153">
        <v>2</v>
      </c>
      <c r="H98" s="62"/>
    </row>
    <row r="99" spans="1:8" x14ac:dyDescent="0.3">
      <c r="A99">
        <v>87</v>
      </c>
      <c r="B99" s="153">
        <v>1000000</v>
      </c>
      <c r="C99" s="153">
        <v>86.579530000000005</v>
      </c>
      <c r="D99" s="153">
        <v>-7.1307119999999999</v>
      </c>
      <c r="E99" s="153">
        <v>0</v>
      </c>
      <c r="F99" s="153">
        <v>3</v>
      </c>
      <c r="G99" s="153">
        <v>2</v>
      </c>
      <c r="H99" s="62"/>
    </row>
    <row r="100" spans="1:8" x14ac:dyDescent="0.3">
      <c r="A100">
        <v>88</v>
      </c>
      <c r="B100" s="153">
        <v>1000000</v>
      </c>
      <c r="C100" s="153">
        <v>86.577719999999999</v>
      </c>
      <c r="D100" s="153">
        <v>-7.1254590000000002</v>
      </c>
      <c r="E100" s="153">
        <v>0</v>
      </c>
      <c r="F100" s="153">
        <v>3</v>
      </c>
      <c r="G100" s="153">
        <v>2</v>
      </c>
      <c r="H100" s="62"/>
    </row>
    <row r="101" spans="1:8" x14ac:dyDescent="0.3">
      <c r="A101">
        <v>89</v>
      </c>
      <c r="B101" s="153">
        <v>1000000</v>
      </c>
      <c r="C101" s="153">
        <v>86.593149999999994</v>
      </c>
      <c r="D101" s="153">
        <v>-7.156517</v>
      </c>
      <c r="E101" s="153">
        <v>0</v>
      </c>
      <c r="F101" s="153">
        <v>3</v>
      </c>
      <c r="G101" s="153">
        <v>2</v>
      </c>
      <c r="H101" s="62"/>
    </row>
    <row r="102" spans="1:8" x14ac:dyDescent="0.3">
      <c r="A102">
        <v>90</v>
      </c>
      <c r="B102" s="153">
        <v>1000000</v>
      </c>
      <c r="C102" s="153">
        <v>86.635840000000002</v>
      </c>
      <c r="D102" s="153">
        <v>-7.1249130000000003</v>
      </c>
      <c r="E102" s="153">
        <v>0</v>
      </c>
      <c r="F102" s="153">
        <v>3</v>
      </c>
      <c r="G102" s="153">
        <v>2</v>
      </c>
      <c r="H102" s="62"/>
    </row>
    <row r="103" spans="1:8" x14ac:dyDescent="0.3">
      <c r="A103" s="152">
        <v>91</v>
      </c>
      <c r="B103" s="153">
        <v>1000000</v>
      </c>
      <c r="C103" s="153">
        <v>86.657259999999994</v>
      </c>
      <c r="D103" s="153">
        <v>-7.1402469999999996</v>
      </c>
      <c r="E103" s="153">
        <v>0</v>
      </c>
      <c r="F103" s="153">
        <v>3</v>
      </c>
      <c r="G103" s="153">
        <v>2</v>
      </c>
      <c r="H103" s="62"/>
    </row>
    <row r="104" spans="1:8" x14ac:dyDescent="0.3">
      <c r="A104" s="152">
        <v>92</v>
      </c>
      <c r="B104" s="62">
        <v>1000000</v>
      </c>
      <c r="C104" s="62">
        <v>86.578559999999996</v>
      </c>
      <c r="D104" s="62">
        <v>-7.1550190000000002</v>
      </c>
      <c r="E104" s="62">
        <v>0</v>
      </c>
      <c r="F104" s="62">
        <v>3</v>
      </c>
      <c r="G104" s="62">
        <v>2</v>
      </c>
      <c r="H104" s="62"/>
    </row>
    <row r="105" spans="1:8" x14ac:dyDescent="0.3">
      <c r="A105" s="152">
        <v>93</v>
      </c>
      <c r="B105" s="62">
        <v>1000000</v>
      </c>
      <c r="C105" s="62">
        <v>86.572689999999994</v>
      </c>
      <c r="D105" s="62">
        <v>-7.1371019999999996</v>
      </c>
      <c r="E105" s="62">
        <v>0</v>
      </c>
      <c r="F105" s="62">
        <v>3</v>
      </c>
      <c r="G105" s="62">
        <v>2</v>
      </c>
      <c r="H105" s="62"/>
    </row>
    <row r="106" spans="1:8" x14ac:dyDescent="0.3">
      <c r="A106" s="152">
        <v>94</v>
      </c>
      <c r="B106" s="62">
        <v>1000000</v>
      </c>
      <c r="C106" s="62">
        <v>86.540329999999997</v>
      </c>
      <c r="D106" s="62">
        <v>-7.0912689999999996</v>
      </c>
      <c r="E106" s="62">
        <v>0</v>
      </c>
      <c r="F106" s="62">
        <v>3</v>
      </c>
      <c r="G106" s="62">
        <v>2</v>
      </c>
      <c r="H106" s="62"/>
    </row>
    <row r="107" spans="1:8" x14ac:dyDescent="0.3">
      <c r="A107" s="152">
        <v>95</v>
      </c>
      <c r="B107" s="62">
        <v>1000000</v>
      </c>
      <c r="C107" s="62">
        <v>86.543660000000003</v>
      </c>
      <c r="D107" s="62">
        <v>-7.1109479999999996</v>
      </c>
      <c r="E107" s="62">
        <v>0</v>
      </c>
      <c r="F107" s="62">
        <v>3</v>
      </c>
      <c r="G107" s="62">
        <v>2</v>
      </c>
      <c r="H107" s="62"/>
    </row>
    <row r="108" spans="1:8" x14ac:dyDescent="0.3">
      <c r="A108" s="152">
        <v>96</v>
      </c>
      <c r="B108" s="62">
        <v>1000000</v>
      </c>
      <c r="C108" s="62">
        <v>86.490719999999996</v>
      </c>
      <c r="D108" s="62">
        <v>-7.144946</v>
      </c>
      <c r="E108" s="62">
        <v>0</v>
      </c>
      <c r="F108" s="62">
        <v>3</v>
      </c>
      <c r="G108" s="62">
        <v>2</v>
      </c>
      <c r="H108" s="62"/>
    </row>
    <row r="109" spans="1:8" x14ac:dyDescent="0.3">
      <c r="A109" s="152">
        <v>97</v>
      </c>
      <c r="B109" s="62">
        <v>1000000</v>
      </c>
      <c r="C109" s="62">
        <v>86.492329999999995</v>
      </c>
      <c r="D109" s="62">
        <v>-7.113156</v>
      </c>
      <c r="E109" s="62">
        <v>0</v>
      </c>
      <c r="F109" s="62">
        <v>3</v>
      </c>
      <c r="G109" s="62">
        <v>2</v>
      </c>
      <c r="H109" s="62"/>
    </row>
    <row r="110" spans="1:8" x14ac:dyDescent="0.3">
      <c r="A110" s="152">
        <v>98</v>
      </c>
      <c r="B110" s="62">
        <v>1000000</v>
      </c>
      <c r="C110" s="62">
        <v>86.533230000000003</v>
      </c>
      <c r="D110" s="62">
        <v>-7.1330470000000004</v>
      </c>
      <c r="E110" s="62">
        <v>0</v>
      </c>
      <c r="F110" s="62">
        <v>3</v>
      </c>
      <c r="G110" s="62">
        <v>2</v>
      </c>
      <c r="H110" s="62"/>
    </row>
    <row r="111" spans="1:8" x14ac:dyDescent="0.3">
      <c r="A111" s="152">
        <v>99</v>
      </c>
      <c r="B111" s="62">
        <v>1000000</v>
      </c>
      <c r="C111" s="62">
        <v>86.618189999999998</v>
      </c>
      <c r="D111" s="62">
        <v>-7.1456730000000004</v>
      </c>
      <c r="E111" s="62">
        <v>0</v>
      </c>
      <c r="F111" s="62">
        <v>3</v>
      </c>
      <c r="G111" s="62">
        <v>2</v>
      </c>
      <c r="H111" s="62"/>
    </row>
    <row r="112" spans="1:8" x14ac:dyDescent="0.3">
      <c r="A112" s="152">
        <v>100</v>
      </c>
      <c r="B112" s="62">
        <v>1000000</v>
      </c>
      <c r="C112" s="62">
        <v>86.528819999999996</v>
      </c>
      <c r="D112" s="62">
        <v>-7.1520409999999996</v>
      </c>
      <c r="E112" s="62">
        <v>0</v>
      </c>
      <c r="F112" s="62">
        <v>3</v>
      </c>
      <c r="G112" s="62">
        <v>2</v>
      </c>
      <c r="H112" s="62"/>
    </row>
    <row r="113" spans="1:8" x14ac:dyDescent="0.3">
      <c r="A113">
        <v>101</v>
      </c>
      <c r="B113" s="62">
        <v>1000000</v>
      </c>
      <c r="C113" s="62">
        <v>86.600189999999998</v>
      </c>
      <c r="D113" s="62">
        <v>-7.1511740000000001</v>
      </c>
      <c r="E113" s="62">
        <v>0</v>
      </c>
      <c r="F113" s="62">
        <v>3</v>
      </c>
      <c r="G113" s="62">
        <v>2</v>
      </c>
      <c r="H113" s="62"/>
    </row>
    <row r="114" spans="1:8" x14ac:dyDescent="0.3">
      <c r="A114">
        <v>102</v>
      </c>
      <c r="B114" s="62">
        <v>1000000</v>
      </c>
      <c r="C114" s="62">
        <v>86.562150000000003</v>
      </c>
      <c r="D114" s="62">
        <v>-7.1556680000000004</v>
      </c>
      <c r="E114" s="62">
        <v>0</v>
      </c>
      <c r="F114" s="62">
        <v>3</v>
      </c>
      <c r="G114" s="62">
        <v>2</v>
      </c>
    </row>
    <row r="115" spans="1:8" x14ac:dyDescent="0.3">
      <c r="A115">
        <v>103</v>
      </c>
      <c r="B115" s="62">
        <v>1000000</v>
      </c>
      <c r="C115" s="62">
        <v>86.510459999999995</v>
      </c>
      <c r="D115" s="62">
        <v>-7.1571420000000003</v>
      </c>
      <c r="E115" s="62">
        <v>0</v>
      </c>
      <c r="F115" s="62">
        <v>3</v>
      </c>
      <c r="G115" s="62">
        <v>2</v>
      </c>
    </row>
    <row r="116" spans="1:8" x14ac:dyDescent="0.3">
      <c r="A116">
        <v>104</v>
      </c>
      <c r="B116" s="62">
        <v>1000000</v>
      </c>
      <c r="C116" s="62">
        <v>86.546539999999993</v>
      </c>
      <c r="D116" s="62">
        <v>-7.1191959999999996</v>
      </c>
      <c r="E116" s="62">
        <v>0</v>
      </c>
      <c r="F116" s="62">
        <v>3</v>
      </c>
      <c r="G116" s="62">
        <v>2</v>
      </c>
    </row>
    <row r="117" spans="1:8" x14ac:dyDescent="0.3">
      <c r="A117">
        <v>105</v>
      </c>
      <c r="B117" s="62">
        <v>1000000</v>
      </c>
      <c r="C117" s="62">
        <v>86.555719999999994</v>
      </c>
      <c r="D117" s="62">
        <v>-7.1780499999999998</v>
      </c>
      <c r="E117" s="62">
        <v>0</v>
      </c>
      <c r="F117" s="62">
        <v>3</v>
      </c>
      <c r="G117" s="62">
        <v>2</v>
      </c>
    </row>
    <row r="118" spans="1:8" x14ac:dyDescent="0.3">
      <c r="A118">
        <v>106</v>
      </c>
      <c r="B118" s="62">
        <v>1000000</v>
      </c>
      <c r="C118" s="62">
        <v>86.525649999999999</v>
      </c>
      <c r="D118" s="62">
        <v>-7.1444700000000001</v>
      </c>
      <c r="E118" s="62">
        <v>0</v>
      </c>
      <c r="F118" s="62">
        <v>3</v>
      </c>
      <c r="G118" s="62">
        <v>2</v>
      </c>
    </row>
    <row r="119" spans="1:8" x14ac:dyDescent="0.3">
      <c r="A119">
        <v>107</v>
      </c>
      <c r="B119" s="62">
        <v>1000000</v>
      </c>
      <c r="C119" s="62">
        <v>86.567030000000003</v>
      </c>
      <c r="D119" s="62">
        <v>-7.1403369999999997</v>
      </c>
      <c r="E119" s="62">
        <v>0</v>
      </c>
      <c r="F119" s="62">
        <v>3</v>
      </c>
      <c r="G119" s="62">
        <v>2</v>
      </c>
    </row>
    <row r="120" spans="1:8" x14ac:dyDescent="0.3">
      <c r="A120">
        <v>108</v>
      </c>
      <c r="B120" s="62">
        <v>1000000</v>
      </c>
      <c r="C120" s="62">
        <v>86.552319999999995</v>
      </c>
      <c r="D120" s="62">
        <v>-7.1672370000000001</v>
      </c>
      <c r="E120" s="62">
        <v>0</v>
      </c>
      <c r="F120" s="62">
        <v>3</v>
      </c>
      <c r="G120" s="62">
        <v>2</v>
      </c>
    </row>
    <row r="121" spans="1:8" x14ac:dyDescent="0.3">
      <c r="A121">
        <v>109</v>
      </c>
      <c r="B121" s="62">
        <v>1000000</v>
      </c>
      <c r="C121" s="62">
        <v>86.560580000000002</v>
      </c>
      <c r="D121" s="62">
        <v>-7.1594600000000002</v>
      </c>
      <c r="E121" s="62">
        <v>0</v>
      </c>
      <c r="F121" s="62">
        <v>3</v>
      </c>
      <c r="G121" s="62">
        <v>2</v>
      </c>
    </row>
    <row r="122" spans="1:8" x14ac:dyDescent="0.3">
      <c r="A122">
        <v>110</v>
      </c>
      <c r="B122" s="62">
        <v>1000000</v>
      </c>
      <c r="C122" s="62">
        <v>86.530469999999994</v>
      </c>
      <c r="D122" s="62">
        <v>-7.1580029999999999</v>
      </c>
      <c r="E122" s="62">
        <v>0</v>
      </c>
      <c r="F122" s="62">
        <v>3</v>
      </c>
      <c r="G122" s="62">
        <v>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ImportImpedanceData">
                <anchor moveWithCells="1" sizeWithCells="1">
                  <from>
                    <xdr:col>0</xdr:col>
                    <xdr:colOff>60960</xdr:colOff>
                    <xdr:row>0</xdr:row>
                    <xdr:rowOff>266700</xdr:rowOff>
                  </from>
                  <to>
                    <xdr:col>6</xdr:col>
                    <xdr:colOff>487680</xdr:colOff>
                    <xdr:row>0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D9239-C434-488B-AFBF-29DF5051A3F7}">
  <sheetPr codeName="Sheet15"/>
  <dimension ref="A1:N122"/>
  <sheetViews>
    <sheetView workbookViewId="0">
      <selection activeCell="J18" sqref="J18"/>
    </sheetView>
  </sheetViews>
  <sheetFormatPr defaultRowHeight="14.4" x14ac:dyDescent="0.3"/>
  <cols>
    <col min="2" max="2" width="9.33203125" bestFit="1" customWidth="1"/>
    <col min="3" max="3" width="8.5546875" bestFit="1" customWidth="1"/>
    <col min="4" max="4" width="13.77734375" bestFit="1" customWidth="1"/>
    <col min="5" max="5" width="20" bestFit="1" customWidth="1"/>
    <col min="6" max="6" width="10.88671875" bestFit="1" customWidth="1"/>
    <col min="7" max="7" width="12.109375" bestFit="1" customWidth="1"/>
    <col min="8" max="8" width="35.5546875" style="162" bestFit="1" customWidth="1"/>
    <col min="9" max="9" width="7" style="155" bestFit="1" customWidth="1"/>
    <col min="10" max="10" width="9.21875" style="155" customWidth="1"/>
    <col min="12" max="12" width="10.109375" customWidth="1"/>
  </cols>
  <sheetData>
    <row r="1" spans="1:14" ht="74.400000000000006" customHeight="1" x14ac:dyDescent="0.3">
      <c r="A1" s="4"/>
      <c r="B1" s="4"/>
      <c r="C1" s="4"/>
      <c r="D1" s="4"/>
      <c r="E1" s="4"/>
      <c r="F1" s="4"/>
      <c r="G1" s="4"/>
      <c r="I1" s="156"/>
      <c r="J1" s="154"/>
    </row>
    <row r="2" spans="1:14" x14ac:dyDescent="0.3">
      <c r="H2" s="162" t="s">
        <v>284</v>
      </c>
      <c r="I2" s="154"/>
      <c r="J2" s="154"/>
    </row>
    <row r="3" spans="1:14" ht="15" hidden="1" thickBot="1" x14ac:dyDescent="0.35">
      <c r="H3" s="162" t="s">
        <v>285</v>
      </c>
      <c r="I3" s="154">
        <v>0.28939999999999999</v>
      </c>
      <c r="J3" s="154"/>
    </row>
    <row r="4" spans="1:14" ht="15" hidden="1" thickBot="1" x14ac:dyDescent="0.35">
      <c r="H4" s="162" t="s">
        <v>286</v>
      </c>
      <c r="I4" s="154"/>
      <c r="J4" s="154"/>
    </row>
    <row r="5" spans="1:14" ht="15" hidden="1" thickBot="1" x14ac:dyDescent="0.35">
      <c r="H5" s="162" t="s">
        <v>287</v>
      </c>
      <c r="I5" s="154"/>
      <c r="J5" s="154"/>
    </row>
    <row r="6" spans="1:14" ht="15" hidden="1" thickBot="1" x14ac:dyDescent="0.35">
      <c r="H6" s="162" t="s">
        <v>288</v>
      </c>
      <c r="I6" s="154"/>
      <c r="J6" s="154"/>
    </row>
    <row r="7" spans="1:14" ht="15" hidden="1" thickBot="1" x14ac:dyDescent="0.35">
      <c r="H7" s="162" t="s">
        <v>289</v>
      </c>
      <c r="I7" s="154"/>
      <c r="J7" s="154"/>
    </row>
    <row r="8" spans="1:14" ht="15" hidden="1" thickBot="1" x14ac:dyDescent="0.35">
      <c r="H8" s="162" t="s">
        <v>290</v>
      </c>
      <c r="I8" s="154"/>
      <c r="J8" s="154"/>
    </row>
    <row r="9" spans="1:14" ht="15" hidden="1" thickBot="1" x14ac:dyDescent="0.35">
      <c r="H9" s="162" t="s">
        <v>291</v>
      </c>
      <c r="I9" s="154"/>
      <c r="J9" s="154"/>
    </row>
    <row r="10" spans="1:14" ht="15" hidden="1" thickBot="1" x14ac:dyDescent="0.35">
      <c r="I10" s="154"/>
      <c r="J10" s="154"/>
    </row>
    <row r="11" spans="1:14" x14ac:dyDescent="0.3">
      <c r="A11" t="s">
        <v>215</v>
      </c>
      <c r="B11" t="s">
        <v>216</v>
      </c>
      <c r="C11" t="s">
        <v>217</v>
      </c>
      <c r="D11" t="s">
        <v>218</v>
      </c>
      <c r="E11" t="s">
        <v>219</v>
      </c>
      <c r="F11" t="s">
        <v>220</v>
      </c>
      <c r="G11" t="s">
        <v>221</v>
      </c>
      <c r="H11" s="155"/>
      <c r="K11" s="157" t="s">
        <v>222</v>
      </c>
      <c r="L11" s="157" t="s">
        <v>228</v>
      </c>
      <c r="M11" s="157" t="s">
        <v>292</v>
      </c>
      <c r="N11" s="157" t="s">
        <v>293</v>
      </c>
    </row>
    <row r="12" spans="1:14" x14ac:dyDescent="0.3">
      <c r="B12" t="s">
        <v>225</v>
      </c>
      <c r="C12" t="s">
        <v>226</v>
      </c>
      <c r="D12" t="s">
        <v>226</v>
      </c>
      <c r="H12" s="155"/>
      <c r="K12" s="157">
        <v>0</v>
      </c>
      <c r="L12" s="154">
        <f>AVERAGE(C13:C22)</f>
        <v>99.938783000000001</v>
      </c>
      <c r="M12" s="154">
        <v>1</v>
      </c>
      <c r="N12" s="157">
        <v>1</v>
      </c>
    </row>
    <row r="13" spans="1:14" x14ac:dyDescent="0.3">
      <c r="A13">
        <v>1</v>
      </c>
      <c r="B13" s="62">
        <v>49.999650000000003</v>
      </c>
      <c r="C13" s="62">
        <v>99.936909999999997</v>
      </c>
      <c r="D13" s="62">
        <v>-1.838564E-3</v>
      </c>
      <c r="E13" s="62">
        <v>0</v>
      </c>
      <c r="F13" s="62">
        <v>0</v>
      </c>
      <c r="G13" s="62">
        <v>2</v>
      </c>
      <c r="K13" s="157">
        <v>1</v>
      </c>
      <c r="L13" s="159">
        <f>AVERAGE(C23:C32)</f>
        <v>100.11951999999999</v>
      </c>
      <c r="M13" s="159">
        <f>L13/$L$12*Calibrate!C82</f>
        <v>2.0036169541908468</v>
      </c>
      <c r="N13" s="154">
        <v>1</v>
      </c>
    </row>
    <row r="14" spans="1:14" x14ac:dyDescent="0.3">
      <c r="A14">
        <v>2</v>
      </c>
      <c r="B14" s="62">
        <v>49.999650000000003</v>
      </c>
      <c r="C14" s="62">
        <v>99.937920000000005</v>
      </c>
      <c r="D14" s="62">
        <v>-1.612126E-3</v>
      </c>
      <c r="E14" s="62">
        <v>0</v>
      </c>
      <c r="F14" s="62">
        <v>0</v>
      </c>
      <c r="G14" s="62">
        <v>2</v>
      </c>
      <c r="H14" s="155"/>
      <c r="K14" s="157">
        <v>2</v>
      </c>
      <c r="L14" s="154">
        <f>AVERAGE(C33:C42)</f>
        <v>100.11957</v>
      </c>
      <c r="M14" s="154">
        <f>L14/$L$12*Calibrate!C83</f>
        <v>5.0090448870084803</v>
      </c>
      <c r="N14" s="159">
        <v>1</v>
      </c>
    </row>
    <row r="15" spans="1:14" x14ac:dyDescent="0.3">
      <c r="A15">
        <v>3</v>
      </c>
      <c r="B15" s="62">
        <v>49.999650000000003</v>
      </c>
      <c r="C15" s="62">
        <v>99.940089999999998</v>
      </c>
      <c r="D15" s="62">
        <v>-4.7537790000000001E-4</v>
      </c>
      <c r="E15" s="62">
        <v>0</v>
      </c>
      <c r="F15" s="62">
        <v>0</v>
      </c>
      <c r="G15" s="62">
        <v>2</v>
      </c>
      <c r="H15" s="155"/>
      <c r="K15" s="156">
        <v>3</v>
      </c>
      <c r="L15" s="159">
        <f>AVERAGE(C43:C52)</f>
        <v>100.12267</v>
      </c>
      <c r="M15" s="159">
        <f>L15/$L$12*Calibrate!C84</f>
        <v>10.018399963905903</v>
      </c>
      <c r="N15" s="154">
        <v>1</v>
      </c>
    </row>
    <row r="16" spans="1:14" x14ac:dyDescent="0.3">
      <c r="A16">
        <v>4</v>
      </c>
      <c r="B16" s="62">
        <v>49.999650000000003</v>
      </c>
      <c r="C16" s="62">
        <v>99.938509999999994</v>
      </c>
      <c r="D16" s="62">
        <v>7.0922599999999998E-4</v>
      </c>
      <c r="E16" s="62">
        <v>0</v>
      </c>
      <c r="F16" s="62">
        <v>0</v>
      </c>
      <c r="G16" s="62">
        <v>2</v>
      </c>
      <c r="H16" s="155"/>
      <c r="K16" s="156">
        <v>4</v>
      </c>
      <c r="L16" s="154">
        <f>AVERAGE(C53:C62)</f>
        <v>100.12139000000001</v>
      </c>
      <c r="M16" s="154">
        <f>L16/$L$12*Calibrate!C85</f>
        <v>10.018271885500148</v>
      </c>
      <c r="N16" s="159">
        <v>1</v>
      </c>
    </row>
    <row r="17" spans="1:14" x14ac:dyDescent="0.3">
      <c r="A17">
        <v>5</v>
      </c>
      <c r="B17" s="62">
        <v>49.999650000000003</v>
      </c>
      <c r="C17" s="62">
        <v>99.940209999999993</v>
      </c>
      <c r="D17" s="62">
        <v>-7.4741920000000005E-5</v>
      </c>
      <c r="E17" s="62">
        <v>0</v>
      </c>
      <c r="F17" s="62">
        <v>0</v>
      </c>
      <c r="G17" s="62">
        <v>2</v>
      </c>
      <c r="H17" s="155"/>
      <c r="K17" s="156">
        <v>5</v>
      </c>
      <c r="L17" s="159">
        <f>AVERAGE(C63:C72)</f>
        <v>100.12202999999998</v>
      </c>
      <c r="M17" s="159">
        <f>L17/$L$12*Calibrate!C86</f>
        <v>10.018335924703024</v>
      </c>
      <c r="N17" s="154">
        <v>1</v>
      </c>
    </row>
    <row r="18" spans="1:14" x14ac:dyDescent="0.3">
      <c r="A18">
        <v>6</v>
      </c>
      <c r="B18" s="62">
        <v>49.999650000000003</v>
      </c>
      <c r="C18" s="62">
        <v>99.941320000000005</v>
      </c>
      <c r="D18" s="62">
        <v>-1.9731929999999998E-3</v>
      </c>
      <c r="E18" s="62">
        <v>0</v>
      </c>
      <c r="F18" s="62">
        <v>0</v>
      </c>
      <c r="G18" s="62">
        <v>2</v>
      </c>
      <c r="H18" s="155"/>
      <c r="K18" s="156">
        <v>6</v>
      </c>
      <c r="L18" s="154">
        <f>AVERAGE(C73:C82)</f>
        <v>100.11868999999999</v>
      </c>
      <c r="M18" s="154">
        <v>1</v>
      </c>
      <c r="N18" s="159">
        <f>$L$12/L18*Calibrate!C87</f>
        <v>1.9964061255695618</v>
      </c>
    </row>
    <row r="19" spans="1:14" x14ac:dyDescent="0.3">
      <c r="A19">
        <v>7</v>
      </c>
      <c r="B19" s="62">
        <v>49.999650000000003</v>
      </c>
      <c r="C19" s="62">
        <v>99.937079999999995</v>
      </c>
      <c r="D19" s="62">
        <v>-2.9185410000000002E-3</v>
      </c>
      <c r="E19" s="62">
        <v>0</v>
      </c>
      <c r="F19" s="62">
        <v>0</v>
      </c>
      <c r="G19" s="62">
        <v>2</v>
      </c>
      <c r="H19" s="155"/>
      <c r="K19" s="156">
        <v>7</v>
      </c>
      <c r="L19" s="159">
        <f>AVERAGE(C83:C92)</f>
        <v>100.11797000000001</v>
      </c>
      <c r="M19" s="159">
        <v>1</v>
      </c>
      <c r="N19" s="154">
        <f>$L$12/L19*Calibrate!C88</f>
        <v>4.9910512068912301</v>
      </c>
    </row>
    <row r="20" spans="1:14" x14ac:dyDescent="0.3">
      <c r="A20">
        <v>8</v>
      </c>
      <c r="B20" s="62">
        <v>49.999650000000003</v>
      </c>
      <c r="C20" s="62">
        <v>99.938019999999995</v>
      </c>
      <c r="D20" s="62">
        <v>1.0038930000000001E-3</v>
      </c>
      <c r="E20" s="62">
        <v>0</v>
      </c>
      <c r="F20" s="62">
        <v>0</v>
      </c>
      <c r="G20" s="62">
        <v>2</v>
      </c>
      <c r="H20" s="155"/>
      <c r="K20" s="156">
        <v>8</v>
      </c>
      <c r="L20" s="154">
        <f>AVERAGE(C93:C102)</f>
        <v>100.1224</v>
      </c>
      <c r="M20" s="154">
        <v>1</v>
      </c>
      <c r="N20" s="159">
        <f>$L$12/L20*Calibrate!C89</f>
        <v>9.9816607472453729</v>
      </c>
    </row>
    <row r="21" spans="1:14" x14ac:dyDescent="0.3">
      <c r="A21">
        <v>9</v>
      </c>
      <c r="B21" s="62">
        <v>49.999650000000003</v>
      </c>
      <c r="C21" s="62">
        <v>99.937420000000003</v>
      </c>
      <c r="D21" s="62">
        <v>-2.2346240000000002E-3</v>
      </c>
      <c r="E21" s="62">
        <v>0</v>
      </c>
      <c r="F21" s="62">
        <v>0</v>
      </c>
      <c r="G21" s="62">
        <v>2</v>
      </c>
      <c r="H21" s="155"/>
      <c r="K21" s="156">
        <v>9</v>
      </c>
      <c r="L21" s="159">
        <f>AVERAGE(C103:C112)</f>
        <v>100.12169</v>
      </c>
      <c r="M21" s="159">
        <v>1</v>
      </c>
      <c r="N21" s="154">
        <f>$L$12/L21*Calibrate!C90</f>
        <v>9.9817315309000474</v>
      </c>
    </row>
    <row r="22" spans="1:14" x14ac:dyDescent="0.3">
      <c r="A22">
        <v>10</v>
      </c>
      <c r="B22" s="62">
        <v>49.999650000000003</v>
      </c>
      <c r="C22" s="62">
        <v>99.940349999999995</v>
      </c>
      <c r="D22" s="62">
        <v>-1.7466160000000001E-3</v>
      </c>
      <c r="E22" s="62">
        <v>0</v>
      </c>
      <c r="F22" s="62">
        <v>0</v>
      </c>
      <c r="G22" s="62">
        <v>2</v>
      </c>
      <c r="H22" s="155"/>
      <c r="K22" s="156">
        <v>10</v>
      </c>
      <c r="L22" s="154">
        <f>AVERAGE(C113:C122)</f>
        <v>100.12001999999998</v>
      </c>
      <c r="M22" s="154">
        <v>1</v>
      </c>
      <c r="N22" s="159">
        <f>$L$12/L22*Calibrate!C91</f>
        <v>9.9818980259892101</v>
      </c>
    </row>
    <row r="23" spans="1:14" x14ac:dyDescent="0.3">
      <c r="A23" s="158">
        <v>11</v>
      </c>
      <c r="B23" s="163">
        <v>49.999650000000003</v>
      </c>
      <c r="C23" s="163">
        <v>100.1181</v>
      </c>
      <c r="D23" s="163">
        <v>-1.6261590000000001E-3</v>
      </c>
      <c r="E23" s="163">
        <v>0</v>
      </c>
      <c r="F23" s="163">
        <v>3</v>
      </c>
      <c r="G23" s="163">
        <v>2</v>
      </c>
    </row>
    <row r="24" spans="1:14" x14ac:dyDescent="0.3">
      <c r="A24" s="158">
        <v>12</v>
      </c>
      <c r="B24" s="163">
        <v>49.999650000000003</v>
      </c>
      <c r="C24" s="163">
        <v>100.122</v>
      </c>
      <c r="D24" s="163">
        <v>-6.3889779999999998E-5</v>
      </c>
      <c r="E24" s="163">
        <v>0</v>
      </c>
      <c r="F24" s="163">
        <v>3</v>
      </c>
      <c r="G24" s="163">
        <v>2</v>
      </c>
      <c r="H24" s="155"/>
    </row>
    <row r="25" spans="1:14" x14ac:dyDescent="0.3">
      <c r="A25" s="158">
        <v>13</v>
      </c>
      <c r="B25" s="163">
        <v>49.999650000000003</v>
      </c>
      <c r="C25" s="163">
        <v>100.1208</v>
      </c>
      <c r="D25" s="163">
        <v>-3.1495329999999999E-3</v>
      </c>
      <c r="E25" s="163">
        <v>0</v>
      </c>
      <c r="F25" s="163">
        <v>3</v>
      </c>
      <c r="G25" s="163">
        <v>2</v>
      </c>
      <c r="H25" s="155"/>
    </row>
    <row r="26" spans="1:14" x14ac:dyDescent="0.3">
      <c r="A26" s="158">
        <v>14</v>
      </c>
      <c r="B26" s="163">
        <v>49.999650000000003</v>
      </c>
      <c r="C26" s="163">
        <v>100.1195</v>
      </c>
      <c r="D26" s="163">
        <v>-1.2948730000000001E-4</v>
      </c>
      <c r="E26" s="163">
        <v>0</v>
      </c>
      <c r="F26" s="163">
        <v>3</v>
      </c>
      <c r="G26" s="163">
        <v>2</v>
      </c>
      <c r="H26" s="155"/>
    </row>
    <row r="27" spans="1:14" x14ac:dyDescent="0.3">
      <c r="A27" s="158">
        <v>15</v>
      </c>
      <c r="B27" s="163">
        <v>49.999650000000003</v>
      </c>
      <c r="C27" s="163">
        <v>100.1161</v>
      </c>
      <c r="D27" s="163">
        <v>-1.3584649999999999E-4</v>
      </c>
      <c r="E27" s="163">
        <v>0</v>
      </c>
      <c r="F27" s="163">
        <v>3</v>
      </c>
      <c r="G27" s="163">
        <v>2</v>
      </c>
      <c r="H27" s="155"/>
    </row>
    <row r="28" spans="1:14" x14ac:dyDescent="0.3">
      <c r="A28" s="158">
        <v>16</v>
      </c>
      <c r="B28" s="163">
        <v>49.999650000000003</v>
      </c>
      <c r="C28" s="163">
        <v>100.1223</v>
      </c>
      <c r="D28" s="163">
        <v>1.579064E-3</v>
      </c>
      <c r="E28" s="163">
        <v>0</v>
      </c>
      <c r="F28" s="163">
        <v>3</v>
      </c>
      <c r="G28" s="163">
        <v>2</v>
      </c>
      <c r="H28" s="155"/>
    </row>
    <row r="29" spans="1:14" x14ac:dyDescent="0.3">
      <c r="A29" s="158">
        <v>17</v>
      </c>
      <c r="B29" s="163">
        <v>49.999650000000003</v>
      </c>
      <c r="C29" s="163">
        <v>100.1229</v>
      </c>
      <c r="D29" s="163">
        <v>-2.1328150000000001E-3</v>
      </c>
      <c r="E29" s="163">
        <v>0</v>
      </c>
      <c r="F29" s="163">
        <v>3</v>
      </c>
      <c r="G29" s="163">
        <v>2</v>
      </c>
      <c r="H29" s="155"/>
    </row>
    <row r="30" spans="1:14" x14ac:dyDescent="0.3">
      <c r="A30" s="158">
        <v>18</v>
      </c>
      <c r="B30" s="163">
        <v>49.999650000000003</v>
      </c>
      <c r="C30" s="163">
        <v>100.11839999999999</v>
      </c>
      <c r="D30" s="163">
        <v>3.8045510000000001E-4</v>
      </c>
      <c r="E30" s="163">
        <v>0</v>
      </c>
      <c r="F30" s="163">
        <v>3</v>
      </c>
      <c r="G30" s="163">
        <v>2</v>
      </c>
      <c r="H30" s="155"/>
    </row>
    <row r="31" spans="1:14" x14ac:dyDescent="0.3">
      <c r="A31" s="158">
        <v>19</v>
      </c>
      <c r="B31" s="163">
        <v>49.999650000000003</v>
      </c>
      <c r="C31" s="163">
        <v>100.1152</v>
      </c>
      <c r="D31" s="163">
        <v>-3.154713E-4</v>
      </c>
      <c r="E31" s="163">
        <v>0</v>
      </c>
      <c r="F31" s="163">
        <v>3</v>
      </c>
      <c r="G31" s="163">
        <v>2</v>
      </c>
      <c r="H31" s="155"/>
    </row>
    <row r="32" spans="1:14" x14ac:dyDescent="0.3">
      <c r="A32" s="158">
        <v>20</v>
      </c>
      <c r="B32" s="163">
        <v>49.999650000000003</v>
      </c>
      <c r="C32" s="163">
        <v>100.1199</v>
      </c>
      <c r="D32" s="163">
        <v>1.167303E-3</v>
      </c>
      <c r="E32" s="163">
        <v>0</v>
      </c>
      <c r="F32" s="163">
        <v>3</v>
      </c>
      <c r="G32" s="163">
        <v>2</v>
      </c>
      <c r="H32" s="155"/>
    </row>
    <row r="33" spans="1:8" x14ac:dyDescent="0.3">
      <c r="A33">
        <v>21</v>
      </c>
      <c r="B33" s="62">
        <v>49.999650000000003</v>
      </c>
      <c r="C33" s="62">
        <v>100.1225</v>
      </c>
      <c r="D33" s="62">
        <v>-2.601997E-3</v>
      </c>
      <c r="E33" s="62">
        <v>0</v>
      </c>
      <c r="F33" s="62">
        <v>3</v>
      </c>
      <c r="G33" s="62">
        <v>2</v>
      </c>
    </row>
    <row r="34" spans="1:8" x14ac:dyDescent="0.3">
      <c r="A34">
        <v>22</v>
      </c>
      <c r="B34" s="62">
        <v>49.999650000000003</v>
      </c>
      <c r="C34" s="62">
        <v>100.1204</v>
      </c>
      <c r="D34" s="62">
        <v>7.9362350000000001E-5</v>
      </c>
      <c r="E34" s="62">
        <v>0</v>
      </c>
      <c r="F34" s="62">
        <v>3</v>
      </c>
      <c r="G34" s="62">
        <v>2</v>
      </c>
      <c r="H34" s="155"/>
    </row>
    <row r="35" spans="1:8" x14ac:dyDescent="0.3">
      <c r="A35">
        <v>23</v>
      </c>
      <c r="B35" s="62">
        <v>49.999650000000003</v>
      </c>
      <c r="C35" s="62">
        <v>100.1178</v>
      </c>
      <c r="D35" s="62">
        <v>4.1402570000000002E-4</v>
      </c>
      <c r="E35" s="62">
        <v>0</v>
      </c>
      <c r="F35" s="62">
        <v>3</v>
      </c>
      <c r="G35" s="62">
        <v>2</v>
      </c>
      <c r="H35" s="155"/>
    </row>
    <row r="36" spans="1:8" x14ac:dyDescent="0.3">
      <c r="A36">
        <v>24</v>
      </c>
      <c r="B36" s="62">
        <v>49.999650000000003</v>
      </c>
      <c r="C36" s="62">
        <v>100.1207</v>
      </c>
      <c r="D36" s="62">
        <v>-1.293881E-3</v>
      </c>
      <c r="E36" s="62">
        <v>0</v>
      </c>
      <c r="F36" s="62">
        <v>3</v>
      </c>
      <c r="G36" s="62">
        <v>2</v>
      </c>
      <c r="H36" s="155"/>
    </row>
    <row r="37" spans="1:8" x14ac:dyDescent="0.3">
      <c r="A37">
        <v>25</v>
      </c>
      <c r="B37" s="62">
        <v>49.999650000000003</v>
      </c>
      <c r="C37" s="62">
        <v>100.11490000000001</v>
      </c>
      <c r="D37" s="62">
        <v>-1.6124749999999999E-3</v>
      </c>
      <c r="E37" s="62">
        <v>0</v>
      </c>
      <c r="F37" s="62">
        <v>3</v>
      </c>
      <c r="G37" s="62">
        <v>2</v>
      </c>
      <c r="H37" s="155"/>
    </row>
    <row r="38" spans="1:8" x14ac:dyDescent="0.3">
      <c r="A38">
        <v>26</v>
      </c>
      <c r="B38" s="62">
        <v>49.999650000000003</v>
      </c>
      <c r="C38" s="62">
        <v>100.1236</v>
      </c>
      <c r="D38" s="62">
        <v>-1.647871E-3</v>
      </c>
      <c r="E38" s="62">
        <v>0</v>
      </c>
      <c r="F38" s="62">
        <v>3</v>
      </c>
      <c r="G38" s="62">
        <v>2</v>
      </c>
      <c r="H38" s="155"/>
    </row>
    <row r="39" spans="1:8" x14ac:dyDescent="0.3">
      <c r="A39">
        <v>27</v>
      </c>
      <c r="B39" s="62">
        <v>49.999650000000003</v>
      </c>
      <c r="C39" s="62">
        <v>100.11799999999999</v>
      </c>
      <c r="D39" s="62">
        <v>-5.4036609999999995E-4</v>
      </c>
      <c r="E39" s="62">
        <v>0</v>
      </c>
      <c r="F39" s="62">
        <v>3</v>
      </c>
      <c r="G39" s="62">
        <v>2</v>
      </c>
      <c r="H39" s="155"/>
    </row>
    <row r="40" spans="1:8" x14ac:dyDescent="0.3">
      <c r="A40">
        <v>28</v>
      </c>
      <c r="B40" s="62">
        <v>49.999650000000003</v>
      </c>
      <c r="C40" s="62">
        <v>100.1161</v>
      </c>
      <c r="D40" s="62">
        <v>-3.146233E-3</v>
      </c>
      <c r="E40" s="62">
        <v>0</v>
      </c>
      <c r="F40" s="62">
        <v>3</v>
      </c>
      <c r="G40" s="62">
        <v>2</v>
      </c>
      <c r="H40" s="155"/>
    </row>
    <row r="41" spans="1:8" x14ac:dyDescent="0.3">
      <c r="A41">
        <v>29</v>
      </c>
      <c r="B41" s="62">
        <v>49.999650000000003</v>
      </c>
      <c r="C41" s="62">
        <v>100.1208</v>
      </c>
      <c r="D41" s="62">
        <v>-3.7661809999999998E-4</v>
      </c>
      <c r="E41" s="62">
        <v>0</v>
      </c>
      <c r="F41" s="62">
        <v>3</v>
      </c>
      <c r="G41" s="62">
        <v>2</v>
      </c>
      <c r="H41" s="155"/>
    </row>
    <row r="42" spans="1:8" x14ac:dyDescent="0.3">
      <c r="A42">
        <v>30</v>
      </c>
      <c r="B42" s="62">
        <v>49.999650000000003</v>
      </c>
      <c r="C42" s="62">
        <v>100.12090000000001</v>
      </c>
      <c r="D42" s="62">
        <v>-8.8469989999999995E-4</v>
      </c>
      <c r="E42" s="62">
        <v>0</v>
      </c>
      <c r="F42" s="62">
        <v>3</v>
      </c>
      <c r="G42" s="62">
        <v>2</v>
      </c>
      <c r="H42" s="155"/>
    </row>
    <row r="43" spans="1:8" x14ac:dyDescent="0.3">
      <c r="A43" s="158">
        <v>31</v>
      </c>
      <c r="B43" s="163">
        <v>49.999650000000003</v>
      </c>
      <c r="C43" s="163">
        <v>100.1215</v>
      </c>
      <c r="D43" s="163">
        <v>-2.452133E-3</v>
      </c>
      <c r="E43" s="163">
        <v>0</v>
      </c>
      <c r="F43" s="163">
        <v>3</v>
      </c>
      <c r="G43" s="163">
        <v>2</v>
      </c>
    </row>
    <row r="44" spans="1:8" x14ac:dyDescent="0.3">
      <c r="A44" s="158">
        <v>32</v>
      </c>
      <c r="B44" s="163">
        <v>49.999650000000003</v>
      </c>
      <c r="C44" s="163">
        <v>100.1221</v>
      </c>
      <c r="D44" s="163">
        <v>-8.9376639999999997E-4</v>
      </c>
      <c r="E44" s="163">
        <v>0</v>
      </c>
      <c r="F44" s="163">
        <v>3</v>
      </c>
      <c r="G44" s="163">
        <v>2</v>
      </c>
      <c r="H44" s="155"/>
    </row>
    <row r="45" spans="1:8" x14ac:dyDescent="0.3">
      <c r="A45" s="158">
        <v>33</v>
      </c>
      <c r="B45" s="163">
        <v>49.999650000000003</v>
      </c>
      <c r="C45" s="163">
        <v>100.1219</v>
      </c>
      <c r="D45" s="163">
        <v>-6.6513249999999998E-4</v>
      </c>
      <c r="E45" s="163">
        <v>0</v>
      </c>
      <c r="F45" s="163">
        <v>3</v>
      </c>
      <c r="G45" s="163">
        <v>2</v>
      </c>
      <c r="H45" s="155"/>
    </row>
    <row r="46" spans="1:8" x14ac:dyDescent="0.3">
      <c r="A46" s="158">
        <v>34</v>
      </c>
      <c r="B46" s="163">
        <v>49.999650000000003</v>
      </c>
      <c r="C46" s="163">
        <v>100.1182</v>
      </c>
      <c r="D46" s="163">
        <v>-1.805297E-3</v>
      </c>
      <c r="E46" s="163">
        <v>0</v>
      </c>
      <c r="F46" s="163">
        <v>3</v>
      </c>
      <c r="G46" s="163">
        <v>2</v>
      </c>
      <c r="H46" s="155"/>
    </row>
    <row r="47" spans="1:8" x14ac:dyDescent="0.3">
      <c r="A47" s="158">
        <v>35</v>
      </c>
      <c r="B47" s="163">
        <v>49.999650000000003</v>
      </c>
      <c r="C47" s="163">
        <v>100.1246</v>
      </c>
      <c r="D47" s="163">
        <v>8.0918159999999995E-4</v>
      </c>
      <c r="E47" s="163">
        <v>0</v>
      </c>
      <c r="F47" s="163">
        <v>3</v>
      </c>
      <c r="G47" s="163">
        <v>2</v>
      </c>
      <c r="H47" s="155"/>
    </row>
    <row r="48" spans="1:8" x14ac:dyDescent="0.3">
      <c r="A48" s="158">
        <v>36</v>
      </c>
      <c r="B48" s="163">
        <v>49.999650000000003</v>
      </c>
      <c r="C48" s="163">
        <v>100.1207</v>
      </c>
      <c r="D48" s="163">
        <v>4.2571429999999999E-4</v>
      </c>
      <c r="E48" s="163">
        <v>0</v>
      </c>
      <c r="F48" s="163">
        <v>3</v>
      </c>
      <c r="G48" s="163">
        <v>2</v>
      </c>
      <c r="H48" s="155"/>
    </row>
    <row r="49" spans="1:8" x14ac:dyDescent="0.3">
      <c r="A49" s="158">
        <v>37</v>
      </c>
      <c r="B49" s="163">
        <v>49.999650000000003</v>
      </c>
      <c r="C49" s="163">
        <v>100.1254</v>
      </c>
      <c r="D49" s="163">
        <v>-1.6953809999999999E-3</v>
      </c>
      <c r="E49" s="163">
        <v>0</v>
      </c>
      <c r="F49" s="163">
        <v>3</v>
      </c>
      <c r="G49" s="163">
        <v>2</v>
      </c>
      <c r="H49" s="155"/>
    </row>
    <row r="50" spans="1:8" x14ac:dyDescent="0.3">
      <c r="A50" s="158">
        <v>38</v>
      </c>
      <c r="B50" s="163">
        <v>49.999650000000003</v>
      </c>
      <c r="C50" s="163">
        <v>100.12050000000001</v>
      </c>
      <c r="D50" s="163">
        <v>-3.8168379999999999E-3</v>
      </c>
      <c r="E50" s="163">
        <v>0</v>
      </c>
      <c r="F50" s="163">
        <v>3</v>
      </c>
      <c r="G50" s="163">
        <v>2</v>
      </c>
      <c r="H50" s="155"/>
    </row>
    <row r="51" spans="1:8" x14ac:dyDescent="0.3">
      <c r="A51" s="158">
        <v>39</v>
      </c>
      <c r="B51" s="163">
        <v>49.999650000000003</v>
      </c>
      <c r="C51" s="163">
        <v>100.12260000000001</v>
      </c>
      <c r="D51" s="163">
        <v>1.533406E-3</v>
      </c>
      <c r="E51" s="163">
        <v>0</v>
      </c>
      <c r="F51" s="163">
        <v>3</v>
      </c>
      <c r="G51" s="163">
        <v>2</v>
      </c>
      <c r="H51" s="155"/>
    </row>
    <row r="52" spans="1:8" x14ac:dyDescent="0.3">
      <c r="A52" s="158">
        <v>40</v>
      </c>
      <c r="B52" s="163">
        <v>49.999650000000003</v>
      </c>
      <c r="C52" s="163">
        <v>100.1292</v>
      </c>
      <c r="D52" s="163">
        <v>-2.2516410000000001E-4</v>
      </c>
      <c r="E52" s="163">
        <v>0</v>
      </c>
      <c r="F52" s="163">
        <v>3</v>
      </c>
      <c r="G52" s="163">
        <v>2</v>
      </c>
      <c r="H52" s="155"/>
    </row>
    <row r="53" spans="1:8" x14ac:dyDescent="0.3">
      <c r="A53">
        <v>41</v>
      </c>
      <c r="B53" s="62">
        <v>49.999650000000003</v>
      </c>
      <c r="C53" s="62">
        <v>100.1228</v>
      </c>
      <c r="D53" s="62">
        <v>-1.532823E-3</v>
      </c>
      <c r="E53" s="62">
        <v>0</v>
      </c>
      <c r="F53" s="62">
        <v>3</v>
      </c>
      <c r="G53" s="62">
        <v>2</v>
      </c>
    </row>
    <row r="54" spans="1:8" x14ac:dyDescent="0.3">
      <c r="A54">
        <v>42</v>
      </c>
      <c r="B54" s="62">
        <v>49.999650000000003</v>
      </c>
      <c r="C54" s="62">
        <v>100.1255</v>
      </c>
      <c r="D54" s="62">
        <v>5.6760580000000005E-4</v>
      </c>
      <c r="E54" s="62">
        <v>0</v>
      </c>
      <c r="F54" s="62">
        <v>3</v>
      </c>
      <c r="G54" s="62">
        <v>2</v>
      </c>
      <c r="H54" s="155"/>
    </row>
    <row r="55" spans="1:8" x14ac:dyDescent="0.3">
      <c r="A55">
        <v>43</v>
      </c>
      <c r="B55" s="62">
        <v>49.999650000000003</v>
      </c>
      <c r="C55" s="62">
        <v>100.12009999999999</v>
      </c>
      <c r="D55" s="62">
        <v>-3.7227750000000002E-3</v>
      </c>
      <c r="E55" s="62">
        <v>0</v>
      </c>
      <c r="F55" s="62">
        <v>3</v>
      </c>
      <c r="G55" s="62">
        <v>2</v>
      </c>
      <c r="H55" s="155"/>
    </row>
    <row r="56" spans="1:8" x14ac:dyDescent="0.3">
      <c r="A56">
        <v>44</v>
      </c>
      <c r="B56" s="62">
        <v>49.999650000000003</v>
      </c>
      <c r="C56" s="62">
        <v>100.1193</v>
      </c>
      <c r="D56" s="62">
        <v>-2.0277270000000001E-4</v>
      </c>
      <c r="E56" s="62">
        <v>0</v>
      </c>
      <c r="F56" s="62">
        <v>3</v>
      </c>
      <c r="G56" s="62">
        <v>2</v>
      </c>
      <c r="H56" s="155"/>
    </row>
    <row r="57" spans="1:8" x14ac:dyDescent="0.3">
      <c r="A57">
        <v>45</v>
      </c>
      <c r="B57" s="62">
        <v>49.999650000000003</v>
      </c>
      <c r="C57" s="62">
        <v>100.12</v>
      </c>
      <c r="D57" s="62">
        <v>-2.004591E-3</v>
      </c>
      <c r="E57" s="62">
        <v>0</v>
      </c>
      <c r="F57" s="62">
        <v>3</v>
      </c>
      <c r="G57" s="62">
        <v>2</v>
      </c>
      <c r="H57" s="155"/>
    </row>
    <row r="58" spans="1:8" x14ac:dyDescent="0.3">
      <c r="A58">
        <v>46</v>
      </c>
      <c r="B58" s="62">
        <v>49.999650000000003</v>
      </c>
      <c r="C58" s="62">
        <v>100.119</v>
      </c>
      <c r="D58" s="62">
        <v>9.6410029999999996E-4</v>
      </c>
      <c r="E58" s="62">
        <v>0</v>
      </c>
      <c r="F58" s="62">
        <v>3</v>
      </c>
      <c r="G58" s="62">
        <v>2</v>
      </c>
      <c r="H58" s="155"/>
    </row>
    <row r="59" spans="1:8" x14ac:dyDescent="0.3">
      <c r="A59">
        <v>47</v>
      </c>
      <c r="B59" s="62">
        <v>49.999650000000003</v>
      </c>
      <c r="C59" s="62">
        <v>100.1208</v>
      </c>
      <c r="D59" s="62">
        <v>-1.0822150000000001E-3</v>
      </c>
      <c r="E59" s="62">
        <v>0</v>
      </c>
      <c r="F59" s="62">
        <v>3</v>
      </c>
      <c r="G59" s="62">
        <v>2</v>
      </c>
      <c r="H59" s="155"/>
    </row>
    <row r="60" spans="1:8" x14ac:dyDescent="0.3">
      <c r="A60">
        <v>48</v>
      </c>
      <c r="B60" s="62">
        <v>49.999650000000003</v>
      </c>
      <c r="C60" s="62">
        <v>100.12350000000001</v>
      </c>
      <c r="D60" s="62">
        <v>3.0580519999999999E-3</v>
      </c>
      <c r="E60" s="62">
        <v>0</v>
      </c>
      <c r="F60" s="62">
        <v>3</v>
      </c>
      <c r="G60" s="62">
        <v>2</v>
      </c>
      <c r="H60" s="155"/>
    </row>
    <row r="61" spans="1:8" x14ac:dyDescent="0.3">
      <c r="A61">
        <v>49</v>
      </c>
      <c r="B61" s="62">
        <v>49.999650000000003</v>
      </c>
      <c r="C61" s="62">
        <v>100.1251</v>
      </c>
      <c r="D61" s="62">
        <v>3.7996459999999998E-4</v>
      </c>
      <c r="E61" s="62">
        <v>0</v>
      </c>
      <c r="F61" s="62">
        <v>3</v>
      </c>
      <c r="G61" s="62">
        <v>2</v>
      </c>
      <c r="H61" s="155"/>
    </row>
    <row r="62" spans="1:8" x14ac:dyDescent="0.3">
      <c r="A62">
        <v>50</v>
      </c>
      <c r="B62" s="62">
        <v>49.999650000000003</v>
      </c>
      <c r="C62" s="62">
        <v>100.1178</v>
      </c>
      <c r="D62" s="62">
        <v>-7.2690899999999997E-6</v>
      </c>
      <c r="E62" s="62">
        <v>0</v>
      </c>
      <c r="F62" s="62">
        <v>3</v>
      </c>
      <c r="G62" s="62">
        <v>2</v>
      </c>
      <c r="H62" s="155"/>
    </row>
    <row r="63" spans="1:8" x14ac:dyDescent="0.3">
      <c r="A63" s="158">
        <v>51</v>
      </c>
      <c r="B63" s="163">
        <v>49.999650000000003</v>
      </c>
      <c r="C63" s="163">
        <v>100.1219</v>
      </c>
      <c r="D63" s="163">
        <v>-1.3266440000000001E-3</v>
      </c>
      <c r="E63" s="163">
        <v>0</v>
      </c>
      <c r="F63" s="163">
        <v>3</v>
      </c>
      <c r="G63" s="163">
        <v>2</v>
      </c>
    </row>
    <row r="64" spans="1:8" x14ac:dyDescent="0.3">
      <c r="A64" s="158">
        <v>52</v>
      </c>
      <c r="B64" s="163">
        <v>49.999650000000003</v>
      </c>
      <c r="C64" s="163">
        <v>100.12390000000001</v>
      </c>
      <c r="D64" s="163">
        <v>9.2692190000000002E-4</v>
      </c>
      <c r="E64" s="163">
        <v>0</v>
      </c>
      <c r="F64" s="163">
        <v>3</v>
      </c>
      <c r="G64" s="163">
        <v>2</v>
      </c>
      <c r="H64" s="155"/>
    </row>
    <row r="65" spans="1:8" x14ac:dyDescent="0.3">
      <c r="A65" s="158">
        <v>53</v>
      </c>
      <c r="B65" s="163">
        <v>49.999650000000003</v>
      </c>
      <c r="C65" s="163">
        <v>100.1236</v>
      </c>
      <c r="D65" s="163">
        <v>-1.748411E-4</v>
      </c>
      <c r="E65" s="163">
        <v>0</v>
      </c>
      <c r="F65" s="163">
        <v>3</v>
      </c>
      <c r="G65" s="163">
        <v>2</v>
      </c>
      <c r="H65" s="155"/>
    </row>
    <row r="66" spans="1:8" x14ac:dyDescent="0.3">
      <c r="A66" s="158">
        <v>54</v>
      </c>
      <c r="B66" s="163">
        <v>49.999650000000003</v>
      </c>
      <c r="C66" s="163">
        <v>100.1189</v>
      </c>
      <c r="D66" s="163">
        <v>9.3767030000000003E-4</v>
      </c>
      <c r="E66" s="163">
        <v>0</v>
      </c>
      <c r="F66" s="163">
        <v>3</v>
      </c>
      <c r="G66" s="163">
        <v>2</v>
      </c>
      <c r="H66" s="155"/>
    </row>
    <row r="67" spans="1:8" x14ac:dyDescent="0.3">
      <c r="A67" s="158">
        <v>55</v>
      </c>
      <c r="B67" s="163">
        <v>49.999650000000003</v>
      </c>
      <c r="C67" s="163">
        <v>100.1224</v>
      </c>
      <c r="D67" s="163">
        <v>-1.286262E-3</v>
      </c>
      <c r="E67" s="163">
        <v>0</v>
      </c>
      <c r="F67" s="163">
        <v>3</v>
      </c>
      <c r="G67" s="163">
        <v>2</v>
      </c>
      <c r="H67" s="155"/>
    </row>
    <row r="68" spans="1:8" x14ac:dyDescent="0.3">
      <c r="A68" s="158">
        <v>56</v>
      </c>
      <c r="B68" s="163">
        <v>49.999650000000003</v>
      </c>
      <c r="C68" s="163">
        <v>100.1242</v>
      </c>
      <c r="D68" s="163">
        <v>1.7394540000000001E-3</v>
      </c>
      <c r="E68" s="163">
        <v>0</v>
      </c>
      <c r="F68" s="163">
        <v>3</v>
      </c>
      <c r="G68" s="163">
        <v>2</v>
      </c>
      <c r="H68" s="155"/>
    </row>
    <row r="69" spans="1:8" x14ac:dyDescent="0.3">
      <c r="A69" s="158">
        <v>57</v>
      </c>
      <c r="B69" s="163">
        <v>49.999650000000003</v>
      </c>
      <c r="C69" s="163">
        <v>100.12009999999999</v>
      </c>
      <c r="D69" s="163">
        <v>5.0038610000000005E-4</v>
      </c>
      <c r="E69" s="163">
        <v>0</v>
      </c>
      <c r="F69" s="163">
        <v>3</v>
      </c>
      <c r="G69" s="163">
        <v>2</v>
      </c>
      <c r="H69" s="155"/>
    </row>
    <row r="70" spans="1:8" x14ac:dyDescent="0.3">
      <c r="A70" s="158">
        <v>58</v>
      </c>
      <c r="B70" s="163">
        <v>49.999650000000003</v>
      </c>
      <c r="C70" s="163">
        <v>100.1229</v>
      </c>
      <c r="D70" s="163">
        <v>-6.9595650000000002E-4</v>
      </c>
      <c r="E70" s="163">
        <v>0</v>
      </c>
      <c r="F70" s="163">
        <v>3</v>
      </c>
      <c r="G70" s="163">
        <v>2</v>
      </c>
      <c r="H70" s="155"/>
    </row>
    <row r="71" spans="1:8" x14ac:dyDescent="0.3">
      <c r="A71" s="158">
        <v>59</v>
      </c>
      <c r="B71" s="163">
        <v>49.999650000000003</v>
      </c>
      <c r="C71" s="163">
        <v>100.1215</v>
      </c>
      <c r="D71" s="163">
        <v>-2.0071220000000001E-3</v>
      </c>
      <c r="E71" s="163">
        <v>0</v>
      </c>
      <c r="F71" s="163">
        <v>3</v>
      </c>
      <c r="G71" s="163">
        <v>2</v>
      </c>
      <c r="H71" s="155"/>
    </row>
    <row r="72" spans="1:8" x14ac:dyDescent="0.3">
      <c r="A72" s="158">
        <v>60</v>
      </c>
      <c r="B72" s="163">
        <v>49.999650000000003</v>
      </c>
      <c r="C72" s="163">
        <v>100.12090000000001</v>
      </c>
      <c r="D72" s="163">
        <v>-7.3842139999999998E-4</v>
      </c>
      <c r="E72" s="163">
        <v>0</v>
      </c>
      <c r="F72" s="163">
        <v>3</v>
      </c>
      <c r="G72" s="163">
        <v>2</v>
      </c>
      <c r="H72" s="155"/>
    </row>
    <row r="73" spans="1:8" x14ac:dyDescent="0.3">
      <c r="A73">
        <v>61</v>
      </c>
      <c r="B73" s="62">
        <v>49.999650000000003</v>
      </c>
      <c r="C73" s="62">
        <v>100.1194</v>
      </c>
      <c r="D73" s="62">
        <v>-3.8620180000000003E-4</v>
      </c>
      <c r="E73" s="62">
        <v>0</v>
      </c>
      <c r="F73" s="62">
        <v>3</v>
      </c>
      <c r="G73" s="62">
        <v>2</v>
      </c>
    </row>
    <row r="74" spans="1:8" x14ac:dyDescent="0.3">
      <c r="A74">
        <v>62</v>
      </c>
      <c r="B74" s="62">
        <v>49.999650000000003</v>
      </c>
      <c r="C74" s="62">
        <v>100.1135</v>
      </c>
      <c r="D74" s="62">
        <v>-2.4682190000000002E-4</v>
      </c>
      <c r="E74" s="62">
        <v>0</v>
      </c>
      <c r="F74" s="62">
        <v>3</v>
      </c>
      <c r="G74" s="62">
        <v>2</v>
      </c>
      <c r="H74" s="155"/>
    </row>
    <row r="75" spans="1:8" x14ac:dyDescent="0.3">
      <c r="A75">
        <v>63</v>
      </c>
      <c r="B75" s="62">
        <v>49.999650000000003</v>
      </c>
      <c r="C75" s="62">
        <v>100.1161</v>
      </c>
      <c r="D75" s="62">
        <v>-3.9565709999999998E-4</v>
      </c>
      <c r="E75" s="62">
        <v>0</v>
      </c>
      <c r="F75" s="62">
        <v>3</v>
      </c>
      <c r="G75" s="62">
        <v>2</v>
      </c>
      <c r="H75" s="155"/>
    </row>
    <row r="76" spans="1:8" x14ac:dyDescent="0.3">
      <c r="A76">
        <v>64</v>
      </c>
      <c r="B76" s="62">
        <v>49.999650000000003</v>
      </c>
      <c r="C76" s="62">
        <v>100.1217</v>
      </c>
      <c r="D76" s="62">
        <v>-1.421006E-3</v>
      </c>
      <c r="E76" s="62">
        <v>0</v>
      </c>
      <c r="F76" s="62">
        <v>3</v>
      </c>
      <c r="G76" s="62">
        <v>2</v>
      </c>
      <c r="H76" s="155"/>
    </row>
    <row r="77" spans="1:8" x14ac:dyDescent="0.3">
      <c r="A77">
        <v>65</v>
      </c>
      <c r="B77" s="62">
        <v>49.999650000000003</v>
      </c>
      <c r="C77" s="62">
        <v>100.11960000000001</v>
      </c>
      <c r="D77" s="62">
        <v>-2.787557E-3</v>
      </c>
      <c r="E77" s="62">
        <v>0</v>
      </c>
      <c r="F77" s="62">
        <v>3</v>
      </c>
      <c r="G77" s="62">
        <v>2</v>
      </c>
      <c r="H77" s="155"/>
    </row>
    <row r="78" spans="1:8" x14ac:dyDescent="0.3">
      <c r="A78">
        <v>66</v>
      </c>
      <c r="B78" s="62">
        <v>49.999650000000003</v>
      </c>
      <c r="C78" s="62">
        <v>100.12130000000001</v>
      </c>
      <c r="D78" s="62">
        <v>4.354615E-4</v>
      </c>
      <c r="E78" s="62">
        <v>0</v>
      </c>
      <c r="F78" s="62">
        <v>3</v>
      </c>
      <c r="G78" s="62">
        <v>2</v>
      </c>
      <c r="H78" s="155"/>
    </row>
    <row r="79" spans="1:8" x14ac:dyDescent="0.3">
      <c r="A79">
        <v>67</v>
      </c>
      <c r="B79" s="62">
        <v>49.999650000000003</v>
      </c>
      <c r="C79" s="62">
        <v>100.1164</v>
      </c>
      <c r="D79" s="62">
        <v>-1.965367E-3</v>
      </c>
      <c r="E79" s="62">
        <v>0</v>
      </c>
      <c r="F79" s="62">
        <v>3</v>
      </c>
      <c r="G79" s="62">
        <v>2</v>
      </c>
      <c r="H79" s="155"/>
    </row>
    <row r="80" spans="1:8" x14ac:dyDescent="0.3">
      <c r="A80">
        <v>68</v>
      </c>
      <c r="B80" s="62">
        <v>49.999650000000003</v>
      </c>
      <c r="C80" s="62">
        <v>100.12260000000001</v>
      </c>
      <c r="D80" s="62">
        <v>-8.7004460000000004E-4</v>
      </c>
      <c r="E80" s="62">
        <v>0</v>
      </c>
      <c r="F80" s="62">
        <v>3</v>
      </c>
      <c r="G80" s="62">
        <v>2</v>
      </c>
      <c r="H80" s="155"/>
    </row>
    <row r="81" spans="1:8" x14ac:dyDescent="0.3">
      <c r="A81">
        <v>69</v>
      </c>
      <c r="B81" s="62">
        <v>49.999650000000003</v>
      </c>
      <c r="C81" s="62">
        <v>100.11969999999999</v>
      </c>
      <c r="D81" s="62">
        <v>-2.350675E-3</v>
      </c>
      <c r="E81" s="62">
        <v>0</v>
      </c>
      <c r="F81" s="62">
        <v>3</v>
      </c>
      <c r="G81" s="62">
        <v>2</v>
      </c>
      <c r="H81" s="155"/>
    </row>
    <row r="82" spans="1:8" x14ac:dyDescent="0.3">
      <c r="A82">
        <v>70</v>
      </c>
      <c r="B82" s="62">
        <v>49.999650000000003</v>
      </c>
      <c r="C82" s="62">
        <v>100.11660000000001</v>
      </c>
      <c r="D82" s="62">
        <v>-2.812265E-3</v>
      </c>
      <c r="E82" s="62">
        <v>0</v>
      </c>
      <c r="F82" s="62">
        <v>3</v>
      </c>
      <c r="G82" s="62">
        <v>2</v>
      </c>
      <c r="H82" s="155"/>
    </row>
    <row r="83" spans="1:8" x14ac:dyDescent="0.3">
      <c r="A83" s="158">
        <v>71</v>
      </c>
      <c r="B83" s="163">
        <v>49.999650000000003</v>
      </c>
      <c r="C83" s="163">
        <v>100.1189</v>
      </c>
      <c r="D83" s="163">
        <v>1.433176E-3</v>
      </c>
      <c r="E83" s="163">
        <v>0</v>
      </c>
      <c r="F83" s="163">
        <v>3</v>
      </c>
      <c r="G83" s="163">
        <v>2</v>
      </c>
    </row>
    <row r="84" spans="1:8" x14ac:dyDescent="0.3">
      <c r="A84" s="158">
        <v>72</v>
      </c>
      <c r="B84" s="163">
        <v>49.999650000000003</v>
      </c>
      <c r="C84" s="163">
        <v>100.1177</v>
      </c>
      <c r="D84" s="163">
        <v>-1.21061E-3</v>
      </c>
      <c r="E84" s="163">
        <v>0</v>
      </c>
      <c r="F84" s="163">
        <v>3</v>
      </c>
      <c r="G84" s="163">
        <v>2</v>
      </c>
      <c r="H84" s="155"/>
    </row>
    <row r="85" spans="1:8" x14ac:dyDescent="0.3">
      <c r="A85" s="158">
        <v>73</v>
      </c>
      <c r="B85" s="163">
        <v>49.999650000000003</v>
      </c>
      <c r="C85" s="163">
        <v>100.1195</v>
      </c>
      <c r="D85" s="163">
        <v>-4.3778890000000003E-3</v>
      </c>
      <c r="E85" s="163">
        <v>0</v>
      </c>
      <c r="F85" s="163">
        <v>3</v>
      </c>
      <c r="G85" s="163">
        <v>2</v>
      </c>
      <c r="H85" s="155"/>
    </row>
    <row r="86" spans="1:8" x14ac:dyDescent="0.3">
      <c r="A86" s="158">
        <v>74</v>
      </c>
      <c r="B86" s="163">
        <v>49.999650000000003</v>
      </c>
      <c r="C86" s="163">
        <v>100.1202</v>
      </c>
      <c r="D86" s="163">
        <v>-3.0842019999999999E-3</v>
      </c>
      <c r="E86" s="163">
        <v>0</v>
      </c>
      <c r="F86" s="163">
        <v>3</v>
      </c>
      <c r="G86" s="163">
        <v>2</v>
      </c>
      <c r="H86" s="155"/>
    </row>
    <row r="87" spans="1:8" x14ac:dyDescent="0.3">
      <c r="A87" s="158">
        <v>75</v>
      </c>
      <c r="B87" s="163">
        <v>49.999650000000003</v>
      </c>
      <c r="C87" s="163">
        <v>100.1165</v>
      </c>
      <c r="D87" s="163">
        <v>-2.6171359999999999E-3</v>
      </c>
      <c r="E87" s="163">
        <v>0</v>
      </c>
      <c r="F87" s="163">
        <v>3</v>
      </c>
      <c r="G87" s="163">
        <v>2</v>
      </c>
      <c r="H87" s="155"/>
    </row>
    <row r="88" spans="1:8" x14ac:dyDescent="0.3">
      <c r="A88" s="158">
        <v>76</v>
      </c>
      <c r="B88" s="163">
        <v>49.999650000000003</v>
      </c>
      <c r="C88" s="163">
        <v>100.1194</v>
      </c>
      <c r="D88" s="163">
        <v>-5.8991559999999998E-4</v>
      </c>
      <c r="E88" s="163">
        <v>0</v>
      </c>
      <c r="F88" s="163">
        <v>3</v>
      </c>
      <c r="G88" s="163">
        <v>2</v>
      </c>
      <c r="H88" s="155"/>
    </row>
    <row r="89" spans="1:8" x14ac:dyDescent="0.3">
      <c r="A89" s="158">
        <v>77</v>
      </c>
      <c r="B89" s="163">
        <v>49.999650000000003</v>
      </c>
      <c r="C89" s="163">
        <v>100.1117</v>
      </c>
      <c r="D89" s="163">
        <v>3.5664820000000001E-4</v>
      </c>
      <c r="E89" s="163">
        <v>0</v>
      </c>
      <c r="F89" s="163">
        <v>3</v>
      </c>
      <c r="G89" s="163">
        <v>2</v>
      </c>
      <c r="H89" s="155"/>
    </row>
    <row r="90" spans="1:8" x14ac:dyDescent="0.3">
      <c r="A90" s="158">
        <v>78</v>
      </c>
      <c r="B90" s="163">
        <v>49.999650000000003</v>
      </c>
      <c r="C90" s="163">
        <v>100.1144</v>
      </c>
      <c r="D90" s="163">
        <v>-4.0253279999999999E-4</v>
      </c>
      <c r="E90" s="163">
        <v>0</v>
      </c>
      <c r="F90" s="163">
        <v>3</v>
      </c>
      <c r="G90" s="163">
        <v>2</v>
      </c>
      <c r="H90" s="155"/>
    </row>
    <row r="91" spans="1:8" x14ac:dyDescent="0.3">
      <c r="A91" s="158">
        <v>79</v>
      </c>
      <c r="B91" s="163">
        <v>49.999650000000003</v>
      </c>
      <c r="C91" s="163">
        <v>100.12269999999999</v>
      </c>
      <c r="D91" s="163">
        <v>9.0018710000000003E-4</v>
      </c>
      <c r="E91" s="163">
        <v>0</v>
      </c>
      <c r="F91" s="163">
        <v>3</v>
      </c>
      <c r="G91" s="163">
        <v>2</v>
      </c>
      <c r="H91" s="155"/>
    </row>
    <row r="92" spans="1:8" x14ac:dyDescent="0.3">
      <c r="A92" s="158">
        <v>80</v>
      </c>
      <c r="B92" s="163">
        <v>49.999650000000003</v>
      </c>
      <c r="C92" s="163">
        <v>100.1187</v>
      </c>
      <c r="D92" s="163">
        <v>-8.3581810000000003E-4</v>
      </c>
      <c r="E92" s="163">
        <v>0</v>
      </c>
      <c r="F92" s="163">
        <v>3</v>
      </c>
      <c r="G92" s="163">
        <v>2</v>
      </c>
      <c r="H92" s="155"/>
    </row>
    <row r="93" spans="1:8" x14ac:dyDescent="0.3">
      <c r="A93">
        <v>81</v>
      </c>
      <c r="B93" s="62">
        <v>49.999650000000003</v>
      </c>
      <c r="C93" s="62">
        <v>100.1199</v>
      </c>
      <c r="D93" s="62">
        <v>3.13395E-5</v>
      </c>
      <c r="E93" s="62">
        <v>0</v>
      </c>
      <c r="F93" s="62">
        <v>3</v>
      </c>
      <c r="G93" s="62">
        <v>2</v>
      </c>
    </row>
    <row r="94" spans="1:8" x14ac:dyDescent="0.3">
      <c r="A94">
        <v>82</v>
      </c>
      <c r="B94" s="62">
        <v>49.999650000000003</v>
      </c>
      <c r="C94" s="62">
        <v>100.12439999999999</v>
      </c>
      <c r="D94" s="62">
        <v>-6.327091E-4</v>
      </c>
      <c r="E94" s="62">
        <v>0</v>
      </c>
      <c r="F94" s="62">
        <v>3</v>
      </c>
      <c r="G94" s="62">
        <v>2</v>
      </c>
      <c r="H94" s="155"/>
    </row>
    <row r="95" spans="1:8" x14ac:dyDescent="0.3">
      <c r="A95">
        <v>83</v>
      </c>
      <c r="B95" s="62">
        <v>49.999650000000003</v>
      </c>
      <c r="C95" s="62">
        <v>100.1258</v>
      </c>
      <c r="D95" s="62">
        <v>-1.621293E-3</v>
      </c>
      <c r="E95" s="62">
        <v>0</v>
      </c>
      <c r="F95" s="62">
        <v>3</v>
      </c>
      <c r="G95" s="62">
        <v>2</v>
      </c>
      <c r="H95" s="155"/>
    </row>
    <row r="96" spans="1:8" x14ac:dyDescent="0.3">
      <c r="A96">
        <v>84</v>
      </c>
      <c r="B96" s="62">
        <v>49.999650000000003</v>
      </c>
      <c r="C96" s="62">
        <v>100.12390000000001</v>
      </c>
      <c r="D96" s="62">
        <v>-1.2659039999999999E-4</v>
      </c>
      <c r="E96" s="62">
        <v>0</v>
      </c>
      <c r="F96" s="62">
        <v>3</v>
      </c>
      <c r="G96" s="62">
        <v>2</v>
      </c>
      <c r="H96" s="155"/>
    </row>
    <row r="97" spans="1:8" x14ac:dyDescent="0.3">
      <c r="A97">
        <v>85</v>
      </c>
      <c r="B97" s="62">
        <v>49.999650000000003</v>
      </c>
      <c r="C97" s="62">
        <v>100.11750000000001</v>
      </c>
      <c r="D97" s="62">
        <v>-7.3035720000000001E-4</v>
      </c>
      <c r="E97" s="62">
        <v>0</v>
      </c>
      <c r="F97" s="62">
        <v>3</v>
      </c>
      <c r="G97" s="62">
        <v>2</v>
      </c>
      <c r="H97" s="155"/>
    </row>
    <row r="98" spans="1:8" x14ac:dyDescent="0.3">
      <c r="A98">
        <v>86</v>
      </c>
      <c r="B98" s="62">
        <v>49.999650000000003</v>
      </c>
      <c r="C98" s="62">
        <v>100.1219</v>
      </c>
      <c r="D98" s="62">
        <v>1.4081510000000001E-4</v>
      </c>
      <c r="E98" s="62">
        <v>0</v>
      </c>
      <c r="F98" s="62">
        <v>3</v>
      </c>
      <c r="G98" s="62">
        <v>2</v>
      </c>
      <c r="H98" s="155"/>
    </row>
    <row r="99" spans="1:8" x14ac:dyDescent="0.3">
      <c r="A99">
        <v>87</v>
      </c>
      <c r="B99" s="62">
        <v>49.999650000000003</v>
      </c>
      <c r="C99" s="62">
        <v>100.12139999999999</v>
      </c>
      <c r="D99" s="62">
        <v>-6.8741469999999997E-3</v>
      </c>
      <c r="E99" s="62">
        <v>0</v>
      </c>
      <c r="F99" s="62">
        <v>3</v>
      </c>
      <c r="G99" s="62">
        <v>2</v>
      </c>
      <c r="H99" s="155"/>
    </row>
    <row r="100" spans="1:8" x14ac:dyDescent="0.3">
      <c r="A100">
        <v>88</v>
      </c>
      <c r="B100" s="62">
        <v>49.999650000000003</v>
      </c>
      <c r="C100" s="62">
        <v>100.1247</v>
      </c>
      <c r="D100" s="62">
        <v>-7.9916890000000004E-4</v>
      </c>
      <c r="E100" s="62">
        <v>0</v>
      </c>
      <c r="F100" s="62">
        <v>3</v>
      </c>
      <c r="G100" s="62">
        <v>2</v>
      </c>
      <c r="H100" s="155"/>
    </row>
    <row r="101" spans="1:8" x14ac:dyDescent="0.3">
      <c r="A101">
        <v>89</v>
      </c>
      <c r="B101" s="62">
        <v>49.999650000000003</v>
      </c>
      <c r="C101" s="62">
        <v>100.1212</v>
      </c>
      <c r="D101" s="62">
        <v>-3.7969620000000002E-4</v>
      </c>
      <c r="E101" s="62">
        <v>0</v>
      </c>
      <c r="F101" s="62">
        <v>3</v>
      </c>
      <c r="G101" s="62">
        <v>2</v>
      </c>
      <c r="H101" s="155"/>
    </row>
    <row r="102" spans="1:8" x14ac:dyDescent="0.3">
      <c r="A102">
        <v>90</v>
      </c>
      <c r="B102" s="62">
        <v>49.999650000000003</v>
      </c>
      <c r="C102" s="62">
        <v>100.1233</v>
      </c>
      <c r="D102" s="62">
        <v>-1.3499660000000001E-4</v>
      </c>
      <c r="E102" s="62">
        <v>0</v>
      </c>
      <c r="F102" s="62">
        <v>3</v>
      </c>
      <c r="G102" s="62">
        <v>2</v>
      </c>
      <c r="H102" s="155"/>
    </row>
    <row r="103" spans="1:8" x14ac:dyDescent="0.3">
      <c r="A103" s="158">
        <v>91</v>
      </c>
      <c r="B103" s="163">
        <v>49.999650000000003</v>
      </c>
      <c r="C103" s="163">
        <v>100.1206</v>
      </c>
      <c r="D103" s="163">
        <v>-9.3278780000000008E-6</v>
      </c>
      <c r="E103" s="163">
        <v>0</v>
      </c>
      <c r="F103" s="163">
        <v>3</v>
      </c>
      <c r="G103" s="163">
        <v>2</v>
      </c>
    </row>
    <row r="104" spans="1:8" x14ac:dyDescent="0.3">
      <c r="A104" s="158">
        <v>92</v>
      </c>
      <c r="B104" s="163">
        <v>49.999650000000003</v>
      </c>
      <c r="C104" s="163">
        <v>100.12430000000001</v>
      </c>
      <c r="D104" s="163">
        <v>1.2856860000000001E-3</v>
      </c>
      <c r="E104" s="163">
        <v>0</v>
      </c>
      <c r="F104" s="163">
        <v>3</v>
      </c>
      <c r="G104" s="163">
        <v>2</v>
      </c>
      <c r="H104" s="155"/>
    </row>
    <row r="105" spans="1:8" x14ac:dyDescent="0.3">
      <c r="A105" s="158">
        <v>93</v>
      </c>
      <c r="B105" s="163">
        <v>49.999650000000003</v>
      </c>
      <c r="C105" s="163">
        <v>100.1241</v>
      </c>
      <c r="D105" s="163">
        <v>-2.5262700000000002E-3</v>
      </c>
      <c r="E105" s="163">
        <v>0</v>
      </c>
      <c r="F105" s="163">
        <v>3</v>
      </c>
      <c r="G105" s="163">
        <v>2</v>
      </c>
      <c r="H105" s="155"/>
    </row>
    <row r="106" spans="1:8" x14ac:dyDescent="0.3">
      <c r="A106" s="158">
        <v>94</v>
      </c>
      <c r="B106" s="163">
        <v>49.999650000000003</v>
      </c>
      <c r="C106" s="163">
        <v>100.12009999999999</v>
      </c>
      <c r="D106" s="163">
        <v>-6.3178539999999997E-4</v>
      </c>
      <c r="E106" s="163">
        <v>0</v>
      </c>
      <c r="F106" s="163">
        <v>3</v>
      </c>
      <c r="G106" s="163">
        <v>2</v>
      </c>
      <c r="H106" s="155"/>
    </row>
    <row r="107" spans="1:8" x14ac:dyDescent="0.3">
      <c r="A107" s="158">
        <v>95</v>
      </c>
      <c r="B107" s="163">
        <v>49.999650000000003</v>
      </c>
      <c r="C107" s="163">
        <v>100.1186</v>
      </c>
      <c r="D107" s="163">
        <v>-4.8113769999999999E-4</v>
      </c>
      <c r="E107" s="163">
        <v>0</v>
      </c>
      <c r="F107" s="163">
        <v>3</v>
      </c>
      <c r="G107" s="163">
        <v>2</v>
      </c>
      <c r="H107" s="155"/>
    </row>
    <row r="108" spans="1:8" x14ac:dyDescent="0.3">
      <c r="A108" s="158">
        <v>96</v>
      </c>
      <c r="B108" s="163">
        <v>49.999650000000003</v>
      </c>
      <c r="C108" s="163">
        <v>100.1223</v>
      </c>
      <c r="D108" s="163">
        <v>-2.585024E-3</v>
      </c>
      <c r="E108" s="163">
        <v>0</v>
      </c>
      <c r="F108" s="163">
        <v>3</v>
      </c>
      <c r="G108" s="163">
        <v>2</v>
      </c>
      <c r="H108" s="155"/>
    </row>
    <row r="109" spans="1:8" x14ac:dyDescent="0.3">
      <c r="A109" s="158">
        <v>97</v>
      </c>
      <c r="B109" s="163">
        <v>49.999650000000003</v>
      </c>
      <c r="C109" s="163">
        <v>100.1241</v>
      </c>
      <c r="D109" s="163">
        <v>-1.235093E-3</v>
      </c>
      <c r="E109" s="163">
        <v>0</v>
      </c>
      <c r="F109" s="163">
        <v>3</v>
      </c>
      <c r="G109" s="163">
        <v>2</v>
      </c>
      <c r="H109" s="155"/>
    </row>
    <row r="110" spans="1:8" x14ac:dyDescent="0.3">
      <c r="A110" s="158">
        <v>98</v>
      </c>
      <c r="B110" s="163">
        <v>49.999650000000003</v>
      </c>
      <c r="C110" s="163">
        <v>100.12439999999999</v>
      </c>
      <c r="D110" s="163">
        <v>-1.7071009999999999E-3</v>
      </c>
      <c r="E110" s="163">
        <v>0</v>
      </c>
      <c r="F110" s="163">
        <v>3</v>
      </c>
      <c r="G110" s="163">
        <v>2</v>
      </c>
      <c r="H110" s="155"/>
    </row>
    <row r="111" spans="1:8" x14ac:dyDescent="0.3">
      <c r="A111" s="158">
        <v>99</v>
      </c>
      <c r="B111" s="163">
        <v>49.999650000000003</v>
      </c>
      <c r="C111" s="163">
        <v>100.11879999999999</v>
      </c>
      <c r="D111" s="163">
        <v>-7.6133750000000001E-4</v>
      </c>
      <c r="E111" s="163">
        <v>0</v>
      </c>
      <c r="F111" s="163">
        <v>3</v>
      </c>
      <c r="G111" s="163">
        <v>2</v>
      </c>
      <c r="H111" s="155"/>
    </row>
    <row r="112" spans="1:8" x14ac:dyDescent="0.3">
      <c r="A112" s="158">
        <v>100</v>
      </c>
      <c r="B112" s="163">
        <v>49.999650000000003</v>
      </c>
      <c r="C112" s="163">
        <v>100.11960000000001</v>
      </c>
      <c r="D112" s="163">
        <v>2.752347E-3</v>
      </c>
      <c r="E112" s="163">
        <v>0</v>
      </c>
      <c r="F112" s="163">
        <v>3</v>
      </c>
      <c r="G112" s="163">
        <v>2</v>
      </c>
      <c r="H112" s="155"/>
    </row>
    <row r="113" spans="1:8" x14ac:dyDescent="0.3">
      <c r="A113">
        <v>101</v>
      </c>
      <c r="B113" s="62">
        <v>49.999650000000003</v>
      </c>
      <c r="C113" s="62">
        <v>100.12269999999999</v>
      </c>
      <c r="D113" s="62">
        <v>-1.6298800000000001E-4</v>
      </c>
      <c r="E113" s="62">
        <v>0</v>
      </c>
      <c r="F113" s="62">
        <v>3</v>
      </c>
      <c r="G113" s="62">
        <v>2</v>
      </c>
    </row>
    <row r="114" spans="1:8" x14ac:dyDescent="0.3">
      <c r="A114">
        <v>102</v>
      </c>
      <c r="B114" s="62">
        <v>49.999650000000003</v>
      </c>
      <c r="C114" s="62">
        <v>100.1176</v>
      </c>
      <c r="D114" s="62">
        <v>5.5890089999999996E-4</v>
      </c>
      <c r="E114" s="62">
        <v>0</v>
      </c>
      <c r="F114" s="62">
        <v>3</v>
      </c>
      <c r="G114" s="62">
        <v>2</v>
      </c>
      <c r="H114" s="155"/>
    </row>
    <row r="115" spans="1:8" x14ac:dyDescent="0.3">
      <c r="A115">
        <v>103</v>
      </c>
      <c r="B115" s="62">
        <v>49.999650000000003</v>
      </c>
      <c r="C115" s="62">
        <v>100.1198</v>
      </c>
      <c r="D115" s="62">
        <v>2.0141150000000001E-4</v>
      </c>
      <c r="E115" s="62">
        <v>0</v>
      </c>
      <c r="F115" s="62">
        <v>3</v>
      </c>
      <c r="G115" s="62">
        <v>2</v>
      </c>
      <c r="H115" s="155"/>
    </row>
    <row r="116" spans="1:8" x14ac:dyDescent="0.3">
      <c r="A116">
        <v>104</v>
      </c>
      <c r="B116" s="62">
        <v>49.999650000000003</v>
      </c>
      <c r="C116" s="62">
        <v>100.12</v>
      </c>
      <c r="D116" s="62">
        <v>-1.733168E-3</v>
      </c>
      <c r="E116" s="62">
        <v>0</v>
      </c>
      <c r="F116" s="62">
        <v>3</v>
      </c>
      <c r="G116" s="62">
        <v>2</v>
      </c>
      <c r="H116" s="155"/>
    </row>
    <row r="117" spans="1:8" x14ac:dyDescent="0.3">
      <c r="A117">
        <v>105</v>
      </c>
      <c r="B117" s="62">
        <v>49.999650000000003</v>
      </c>
      <c r="C117" s="62">
        <v>100.1206</v>
      </c>
      <c r="D117" s="62">
        <v>3.2599820000000002E-7</v>
      </c>
      <c r="E117" s="62">
        <v>0</v>
      </c>
      <c r="F117" s="62">
        <v>3</v>
      </c>
      <c r="G117" s="62">
        <v>2</v>
      </c>
      <c r="H117" s="155"/>
    </row>
    <row r="118" spans="1:8" x14ac:dyDescent="0.3">
      <c r="A118">
        <v>106</v>
      </c>
      <c r="B118" s="62">
        <v>49.999650000000003</v>
      </c>
      <c r="C118" s="62">
        <v>100.121</v>
      </c>
      <c r="D118" s="62">
        <v>3.0344439999999999E-3</v>
      </c>
      <c r="E118" s="62">
        <v>0</v>
      </c>
      <c r="F118" s="62">
        <v>3</v>
      </c>
      <c r="G118" s="62">
        <v>2</v>
      </c>
      <c r="H118" s="155"/>
    </row>
    <row r="119" spans="1:8" x14ac:dyDescent="0.3">
      <c r="A119">
        <v>107</v>
      </c>
      <c r="B119" s="62">
        <v>49.999650000000003</v>
      </c>
      <c r="C119" s="62">
        <v>100.11839999999999</v>
      </c>
      <c r="D119" s="62">
        <v>1.678084E-3</v>
      </c>
      <c r="E119" s="62">
        <v>0</v>
      </c>
      <c r="F119" s="62">
        <v>3</v>
      </c>
      <c r="G119" s="62">
        <v>2</v>
      </c>
      <c r="H119" s="155"/>
    </row>
    <row r="120" spans="1:8" x14ac:dyDescent="0.3">
      <c r="A120">
        <v>108</v>
      </c>
      <c r="B120" s="62">
        <v>49.999650000000003</v>
      </c>
      <c r="C120" s="62">
        <v>100.1215</v>
      </c>
      <c r="D120" s="62">
        <v>-1.0651390000000001E-3</v>
      </c>
      <c r="E120" s="62">
        <v>0</v>
      </c>
      <c r="F120" s="62">
        <v>3</v>
      </c>
      <c r="G120" s="62">
        <v>2</v>
      </c>
      <c r="H120" s="155"/>
    </row>
    <row r="121" spans="1:8" x14ac:dyDescent="0.3">
      <c r="A121">
        <v>109</v>
      </c>
      <c r="B121" s="62">
        <v>49.999650000000003</v>
      </c>
      <c r="C121" s="62">
        <v>100.1164</v>
      </c>
      <c r="D121" s="62">
        <v>2.9727200000000001E-4</v>
      </c>
      <c r="E121" s="62">
        <v>0</v>
      </c>
      <c r="F121" s="62">
        <v>3</v>
      </c>
      <c r="G121" s="62">
        <v>2</v>
      </c>
      <c r="H121" s="155"/>
    </row>
    <row r="122" spans="1:8" x14ac:dyDescent="0.3">
      <c r="A122">
        <v>110</v>
      </c>
      <c r="B122" s="62">
        <v>49.999650000000003</v>
      </c>
      <c r="C122" s="62">
        <v>100.12220000000001</v>
      </c>
      <c r="D122" s="62">
        <v>-1.8221489999999999E-3</v>
      </c>
      <c r="E122" s="62">
        <v>0</v>
      </c>
      <c r="F122" s="62">
        <v>3</v>
      </c>
      <c r="G122" s="62">
        <v>2</v>
      </c>
      <c r="H122" s="155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ImportImpedanceData">
                <anchor moveWithCells="1" sizeWithCells="1">
                  <from>
                    <xdr:col>0</xdr:col>
                    <xdr:colOff>121920</xdr:colOff>
                    <xdr:row>0</xdr:row>
                    <xdr:rowOff>281940</xdr:rowOff>
                  </from>
                  <to>
                    <xdr:col>6</xdr:col>
                    <xdr:colOff>449580</xdr:colOff>
                    <xdr:row>0</xdr:row>
                    <xdr:rowOff>624840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700A0-6B26-45B8-8FE9-664FE4FB1A23}">
  <sheetPr codeName="Sheet17"/>
  <dimension ref="A1:AI892"/>
  <sheetViews>
    <sheetView topLeftCell="F8" workbookViewId="0">
      <selection activeCell="K13" sqref="K13"/>
    </sheetView>
  </sheetViews>
  <sheetFormatPr defaultRowHeight="14.4" x14ac:dyDescent="0.3"/>
  <cols>
    <col min="1" max="1" width="8.88671875" style="160"/>
    <col min="2" max="2" width="9.33203125" style="160" bestFit="1" customWidth="1"/>
    <col min="3" max="3" width="8.5546875" style="160" bestFit="1" customWidth="1"/>
    <col min="4" max="4" width="13.77734375" style="160" bestFit="1" customWidth="1"/>
    <col min="5" max="5" width="20" style="160" bestFit="1" customWidth="1"/>
    <col min="6" max="6" width="10.88671875" style="160" bestFit="1" customWidth="1"/>
    <col min="7" max="7" width="12.109375" style="160" bestFit="1" customWidth="1"/>
    <col min="8" max="8" width="35.5546875" style="160" bestFit="1" customWidth="1"/>
    <col min="9" max="9" width="7" style="160" bestFit="1" customWidth="1"/>
    <col min="10" max="11" width="8.88671875" style="160"/>
    <col min="12" max="12" width="16.6640625" style="160" customWidth="1"/>
    <col min="13" max="14" width="8.88671875" style="160"/>
    <col min="15" max="15" width="11.6640625" style="160" bestFit="1" customWidth="1"/>
    <col min="16" max="16" width="12.33203125" style="160" customWidth="1"/>
    <col min="17" max="20" width="11.5546875" style="160" customWidth="1"/>
    <col min="21" max="21" width="8.88671875" style="160"/>
    <col min="22" max="22" width="12" style="160" bestFit="1" customWidth="1"/>
    <col min="23" max="24" width="8.88671875" style="160"/>
    <col min="25" max="25" width="12" style="160" bestFit="1" customWidth="1"/>
    <col min="26" max="29" width="8.88671875" style="160"/>
    <col min="30" max="30" width="12" style="160" bestFit="1" customWidth="1"/>
    <col min="31" max="32" width="8.88671875" style="160"/>
    <col min="33" max="33" width="12.88671875" style="160" customWidth="1"/>
    <col min="34" max="34" width="12" style="160" bestFit="1" customWidth="1"/>
    <col min="35" max="35" width="12.6640625" style="160" bestFit="1" customWidth="1"/>
    <col min="36" max="16384" width="8.88671875" style="160"/>
  </cols>
  <sheetData>
    <row r="1" spans="1:35" ht="49.8" customHeight="1" x14ac:dyDescent="0.3">
      <c r="A1" s="161"/>
      <c r="B1" s="161"/>
      <c r="C1" s="161"/>
      <c r="D1" s="161"/>
      <c r="E1" s="161"/>
      <c r="F1" s="161"/>
      <c r="G1" s="161"/>
    </row>
    <row r="2" spans="1:35" x14ac:dyDescent="0.3">
      <c r="H2" s="160" t="s">
        <v>284</v>
      </c>
    </row>
    <row r="3" spans="1:35" x14ac:dyDescent="0.3">
      <c r="H3" s="160" t="s">
        <v>285</v>
      </c>
      <c r="I3" s="160">
        <v>0.28939999999999999</v>
      </c>
    </row>
    <row r="4" spans="1:35" x14ac:dyDescent="0.3">
      <c r="H4" s="160" t="s">
        <v>286</v>
      </c>
    </row>
    <row r="5" spans="1:35" hidden="1" x14ac:dyDescent="0.3">
      <c r="H5" s="160" t="s">
        <v>287</v>
      </c>
    </row>
    <row r="6" spans="1:35" hidden="1" x14ac:dyDescent="0.3">
      <c r="H6" s="160" t="s">
        <v>288</v>
      </c>
    </row>
    <row r="7" spans="1:35" hidden="1" x14ac:dyDescent="0.3">
      <c r="H7" s="160" t="s">
        <v>289</v>
      </c>
    </row>
    <row r="8" spans="1:35" x14ac:dyDescent="0.3">
      <c r="H8" s="160" t="s">
        <v>290</v>
      </c>
      <c r="Q8" s="160" t="s">
        <v>307</v>
      </c>
      <c r="R8" s="160">
        <f>AVERAGE(O13:O92)</f>
        <v>525124.95874999953</v>
      </c>
      <c r="X8" s="160" t="s">
        <v>310</v>
      </c>
      <c r="Y8" s="160">
        <f>SUM(R13:R92)/80-R8^2</f>
        <v>95906358065.31543</v>
      </c>
    </row>
    <row r="9" spans="1:35" x14ac:dyDescent="0.3">
      <c r="H9" s="160" t="s">
        <v>291</v>
      </c>
      <c r="Q9" s="160" t="s">
        <v>309</v>
      </c>
      <c r="R9" s="160">
        <f>AVERAGE(R13:R92)</f>
        <v>371662580367.50415</v>
      </c>
      <c r="X9" s="160" t="s">
        <v>311</v>
      </c>
      <c r="Y9" s="160">
        <f>SUM(S13:S92)/80-R8*R10</f>
        <v>-5.221787141636014E-4</v>
      </c>
    </row>
    <row r="10" spans="1:35" x14ac:dyDescent="0.3">
      <c r="Q10" s="160" t="s">
        <v>308</v>
      </c>
      <c r="R10" s="160">
        <f>AVERAGE(Q13:Q92)</f>
        <v>1.0018278972867796</v>
      </c>
      <c r="X10" s="160" t="s">
        <v>312</v>
      </c>
      <c r="Y10" s="160">
        <f>SUM(T13:T92)/80 - R8*R9</f>
        <v>1.0077411453259133E+17</v>
      </c>
    </row>
    <row r="11" spans="1:35" x14ac:dyDescent="0.3">
      <c r="A11" s="160" t="s">
        <v>227</v>
      </c>
      <c r="B11" s="160" t="s">
        <v>216</v>
      </c>
      <c r="C11" s="160" t="s">
        <v>217</v>
      </c>
      <c r="D11" s="160" t="s">
        <v>218</v>
      </c>
      <c r="E11" s="160" t="s">
        <v>219</v>
      </c>
      <c r="F11" s="160" t="s">
        <v>220</v>
      </c>
      <c r="G11" s="160" t="s">
        <v>221</v>
      </c>
      <c r="K11" s="164" t="s">
        <v>229</v>
      </c>
      <c r="N11" s="160">
        <v>0</v>
      </c>
      <c r="X11" s="160" t="s">
        <v>313</v>
      </c>
      <c r="Y11" s="160">
        <f>SUM(U13:U92)/80 - R9*R9</f>
        <v>1.1295869204256274E+23</v>
      </c>
      <c r="AA11" s="164" t="s">
        <v>299</v>
      </c>
      <c r="AF11" s="164" t="s">
        <v>315</v>
      </c>
    </row>
    <row r="12" spans="1:35" ht="28.8" x14ac:dyDescent="0.3">
      <c r="B12" s="160" t="s">
        <v>225</v>
      </c>
      <c r="C12" s="160" t="s">
        <v>226</v>
      </c>
      <c r="D12" s="160" t="s">
        <v>226</v>
      </c>
      <c r="K12" s="166" t="s">
        <v>300</v>
      </c>
      <c r="L12" s="166" t="s">
        <v>320</v>
      </c>
      <c r="M12" s="166" t="s">
        <v>228</v>
      </c>
      <c r="N12" s="166" t="s">
        <v>230</v>
      </c>
      <c r="O12" s="166" t="s">
        <v>294</v>
      </c>
      <c r="P12" s="166" t="s">
        <v>295</v>
      </c>
      <c r="Q12" s="166" t="s">
        <v>301</v>
      </c>
      <c r="R12" s="166" t="s">
        <v>302</v>
      </c>
      <c r="S12" s="166" t="s">
        <v>303</v>
      </c>
      <c r="T12" s="166" t="s">
        <v>304</v>
      </c>
      <c r="U12" s="166" t="s">
        <v>305</v>
      </c>
      <c r="V12" s="166" t="s">
        <v>306</v>
      </c>
      <c r="W12" s="165"/>
      <c r="X12" s="165" t="s">
        <v>314</v>
      </c>
      <c r="Y12" s="165">
        <f>SUM(V13:V92)/80 - R9*R10</f>
        <v>-495.78240966796875</v>
      </c>
      <c r="Z12" s="165"/>
      <c r="AA12" s="166" t="s">
        <v>229</v>
      </c>
      <c r="AB12" s="167" t="s">
        <v>296</v>
      </c>
      <c r="AC12" s="167" t="s">
        <v>297</v>
      </c>
      <c r="AD12" s="167" t="s">
        <v>298</v>
      </c>
      <c r="AE12" s="165"/>
      <c r="AF12" s="166" t="s">
        <v>229</v>
      </c>
      <c r="AG12" s="167" t="s">
        <v>296</v>
      </c>
      <c r="AH12" s="167" t="s">
        <v>297</v>
      </c>
      <c r="AI12" s="167" t="s">
        <v>298</v>
      </c>
    </row>
    <row r="13" spans="1:35" ht="15" thickBot="1" x14ac:dyDescent="0.35">
      <c r="A13" s="160">
        <v>1</v>
      </c>
      <c r="B13" s="62">
        <v>1000000</v>
      </c>
      <c r="C13" s="62">
        <v>100.16719999999999</v>
      </c>
      <c r="D13" s="62">
        <v>1.304891</v>
      </c>
      <c r="E13" s="62">
        <v>0</v>
      </c>
      <c r="F13" s="62">
        <v>0</v>
      </c>
      <c r="G13" s="62">
        <v>2</v>
      </c>
      <c r="K13" s="160">
        <f>'DC gain'!$L$12</f>
        <v>99.938783000000001</v>
      </c>
      <c r="L13" s="160">
        <f>M83</f>
        <v>100.12146</v>
      </c>
      <c r="M13" s="160">
        <f>AVERAGE(C13:C22)</f>
        <v>100.15528000000002</v>
      </c>
      <c r="N13" s="160">
        <f>(N11)*80+1</f>
        <v>1</v>
      </c>
      <c r="O13" s="160">
        <f t="shared" ref="O13:O44" si="0">VLOOKUP(N13,$A$13:$G$892,2)</f>
        <v>1000000</v>
      </c>
      <c r="P13" s="160">
        <f>VLOOKUP($N$11,$AA$13:$AD$23,2)*O13^2 +VLOOKUP($N$11,$AA$13:$AD$23,3)*O13+VLOOKUP($N$11,$AA$13:$AD$23,4)</f>
        <v>1</v>
      </c>
      <c r="Q13" s="160">
        <f>IF($N$11&lt;6,M13/VLOOKUP(N13,$A$13:$G$892,3)*P13*$L$13/$K$13,VLOOKUP(N13,$A$13:$G$892,3)/M13*P13*$K$13/$L$13)</f>
        <v>1.0017086704278473</v>
      </c>
      <c r="R13" s="160">
        <f>O13*O13</f>
        <v>1000000000000</v>
      </c>
      <c r="S13" s="160">
        <f>O13*Q13</f>
        <v>1001708.6704278473</v>
      </c>
      <c r="T13" s="160">
        <f>O13^3</f>
        <v>1E+18</v>
      </c>
      <c r="U13" s="160">
        <f>O13^4</f>
        <v>9.9999999999999998E+23</v>
      </c>
      <c r="V13" s="160">
        <f>R13*Q13</f>
        <v>1001708670427.8473</v>
      </c>
      <c r="AA13" s="160">
        <v>0</v>
      </c>
      <c r="AB13" s="160">
        <v>0</v>
      </c>
      <c r="AC13" s="160">
        <v>0</v>
      </c>
      <c r="AD13" s="160">
        <v>1</v>
      </c>
      <c r="AG13" s="160">
        <f>(Y12*Y8-Y9*Y10)/(Y8*Y11-Y10*Y10)</f>
        <v>7.4825269980839787E-21</v>
      </c>
      <c r="AH13" s="160">
        <f>(Y9*Y11-Y12*Y10)/(Y8*Y11-Y10*Y10)</f>
        <v>-1.3306977478933885E-14</v>
      </c>
      <c r="AI13" s="160">
        <f>R10-AH13*R8-AG13*R9</f>
        <v>1.0018279014936304</v>
      </c>
    </row>
    <row r="14" spans="1:35" x14ac:dyDescent="0.3">
      <c r="A14" s="160">
        <v>2</v>
      </c>
      <c r="B14" s="62">
        <v>1000000</v>
      </c>
      <c r="C14" s="62">
        <v>100.1443</v>
      </c>
      <c r="D14" s="62">
        <v>1.3193550000000001</v>
      </c>
      <c r="E14" s="62">
        <v>0</v>
      </c>
      <c r="F14" s="62">
        <v>0</v>
      </c>
      <c r="G14" s="62">
        <v>2</v>
      </c>
      <c r="M14" s="160">
        <f>M13</f>
        <v>100.15528000000002</v>
      </c>
      <c r="N14" s="160">
        <f t="shared" ref="N14:N45" si="1">N13+1</f>
        <v>2</v>
      </c>
      <c r="O14" s="160">
        <f t="shared" si="0"/>
        <v>1000000</v>
      </c>
      <c r="P14" s="160">
        <f t="shared" ref="P14:P77" si="2">VLOOKUP($N$11,$AA$13:$AD$23,2)*O14^2 +VLOOKUP($N$11,$AA$13:$AD$23,3)*O14+VLOOKUP($N$11,$AA$13:$AD$23,4)</f>
        <v>1</v>
      </c>
      <c r="Q14" s="160">
        <f t="shared" ref="Q14:Q77" si="3">IF($N$11&lt;6,M14/VLOOKUP(N14,$A$13:$G$892,3)*P14*$L$13/$K$13,VLOOKUP(N14,$A$13:$G$892,3)/M14*P14*$K$13/$L$13)</f>
        <v>1.0019377311787119</v>
      </c>
      <c r="R14" s="160">
        <f t="shared" ref="R14:R77" si="4">O14*O14</f>
        <v>1000000000000</v>
      </c>
      <c r="S14" s="160">
        <f t="shared" ref="S14:S77" si="5">O14*Q14</f>
        <v>1001937.7311787119</v>
      </c>
      <c r="T14" s="160">
        <f t="shared" ref="T14:T77" si="6">O14^3</f>
        <v>1E+18</v>
      </c>
      <c r="U14" s="160">
        <f t="shared" ref="U14:U77" si="7">O14^4</f>
        <v>9.9999999999999998E+23</v>
      </c>
      <c r="V14" s="160">
        <f t="shared" ref="V14:V77" si="8">R14*Q14</f>
        <v>1001937731178.7119</v>
      </c>
      <c r="AA14" s="160">
        <v>1</v>
      </c>
      <c r="AB14" s="160">
        <f>Calibrate!C92</f>
        <v>0</v>
      </c>
      <c r="AC14" s="160">
        <f>Calibrate!C102</f>
        <v>0</v>
      </c>
      <c r="AD14" s="160">
        <f>Calibrate!C112</f>
        <v>2</v>
      </c>
      <c r="AF14" s="160">
        <v>1</v>
      </c>
      <c r="AG14" s="168">
        <f t="dataTable" ref="AG14:AI23" dt2D="0" dtr="0" r1="N11"/>
        <v>-3.5200193539386642E-14</v>
      </c>
      <c r="AH14" s="169">
        <v>-1.3664076911046291E-8</v>
      </c>
      <c r="AI14" s="170">
        <v>2.008809934098398</v>
      </c>
    </row>
    <row r="15" spans="1:35" x14ac:dyDescent="0.3">
      <c r="A15" s="160">
        <v>3</v>
      </c>
      <c r="B15" s="62">
        <v>1000000</v>
      </c>
      <c r="C15" s="62">
        <v>100.14490000000001</v>
      </c>
      <c r="D15" s="62">
        <v>1.2952950000000001</v>
      </c>
      <c r="E15" s="62">
        <v>0</v>
      </c>
      <c r="F15" s="62">
        <v>0</v>
      </c>
      <c r="G15" s="62">
        <v>2</v>
      </c>
      <c r="M15" s="160">
        <f t="shared" ref="M15:M22" si="9">M14</f>
        <v>100.15528000000002</v>
      </c>
      <c r="N15" s="160">
        <f t="shared" si="1"/>
        <v>3</v>
      </c>
      <c r="O15" s="160">
        <f t="shared" si="0"/>
        <v>1000000</v>
      </c>
      <c r="P15" s="160">
        <f t="shared" si="2"/>
        <v>1</v>
      </c>
      <c r="Q15" s="160">
        <f t="shared" si="3"/>
        <v>1.0019317282505673</v>
      </c>
      <c r="R15" s="160">
        <f t="shared" si="4"/>
        <v>1000000000000</v>
      </c>
      <c r="S15" s="160">
        <f t="shared" si="5"/>
        <v>1001931.7282505673</v>
      </c>
      <c r="T15" s="160">
        <f t="shared" si="6"/>
        <v>1E+18</v>
      </c>
      <c r="U15" s="160">
        <f t="shared" si="7"/>
        <v>9.9999999999999998E+23</v>
      </c>
      <c r="V15" s="160">
        <f t="shared" si="8"/>
        <v>1001931728250.5673</v>
      </c>
      <c r="AA15" s="160">
        <v>2</v>
      </c>
      <c r="AB15" s="160">
        <f>Calibrate!C93</f>
        <v>0</v>
      </c>
      <c r="AC15" s="160">
        <f>Calibrate!C103</f>
        <v>0</v>
      </c>
      <c r="AD15" s="160">
        <f>Calibrate!C113</f>
        <v>5</v>
      </c>
      <c r="AF15" s="160">
        <v>2</v>
      </c>
      <c r="AG15" s="171">
        <v>-6.4115245467985724E-14</v>
      </c>
      <c r="AH15" s="172">
        <v>-1.3065146467740486E-8</v>
      </c>
      <c r="AI15" s="173">
        <v>5.0266413430014039</v>
      </c>
    </row>
    <row r="16" spans="1:35" x14ac:dyDescent="0.3">
      <c r="A16" s="160">
        <v>4</v>
      </c>
      <c r="B16" s="62">
        <v>1000000</v>
      </c>
      <c r="C16" s="62">
        <v>100.157</v>
      </c>
      <c r="D16" s="62">
        <v>1.2973060000000001</v>
      </c>
      <c r="E16" s="62">
        <v>0</v>
      </c>
      <c r="F16" s="62">
        <v>0</v>
      </c>
      <c r="G16" s="62">
        <v>2</v>
      </c>
      <c r="M16" s="160">
        <f t="shared" si="9"/>
        <v>100.15528000000002</v>
      </c>
      <c r="N16" s="160">
        <f t="shared" si="1"/>
        <v>4</v>
      </c>
      <c r="O16" s="160">
        <f t="shared" si="0"/>
        <v>1000000</v>
      </c>
      <c r="P16" s="160">
        <f t="shared" si="2"/>
        <v>1</v>
      </c>
      <c r="Q16" s="160">
        <f t="shared" si="3"/>
        <v>1.0018106845500589</v>
      </c>
      <c r="R16" s="160">
        <f t="shared" si="4"/>
        <v>1000000000000</v>
      </c>
      <c r="S16" s="160">
        <f t="shared" si="5"/>
        <v>1001810.6845500589</v>
      </c>
      <c r="T16" s="160">
        <f t="shared" si="6"/>
        <v>1E+18</v>
      </c>
      <c r="U16" s="160">
        <f t="shared" si="7"/>
        <v>9.9999999999999998E+23</v>
      </c>
      <c r="V16" s="160">
        <f t="shared" si="8"/>
        <v>1001810684550.059</v>
      </c>
      <c r="AA16" s="160">
        <v>3</v>
      </c>
      <c r="AB16" s="160">
        <f>Calibrate!C94</f>
        <v>0</v>
      </c>
      <c r="AC16" s="160">
        <f>Calibrate!C104</f>
        <v>0</v>
      </c>
      <c r="AD16" s="160">
        <f>Calibrate!C114</f>
        <v>10</v>
      </c>
      <c r="AF16" s="160">
        <v>3</v>
      </c>
      <c r="AG16" s="171">
        <v>-4.616939560453469E-14</v>
      </c>
      <c r="AH16" s="172">
        <v>-2.2977401711026994E-8</v>
      </c>
      <c r="AI16" s="173">
        <v>10.053454580236158</v>
      </c>
    </row>
    <row r="17" spans="1:35" x14ac:dyDescent="0.3">
      <c r="A17" s="160">
        <v>5</v>
      </c>
      <c r="B17" s="62">
        <v>1000000</v>
      </c>
      <c r="C17" s="62">
        <v>100.15560000000001</v>
      </c>
      <c r="D17" s="62">
        <v>1.2945800000000001</v>
      </c>
      <c r="E17" s="62">
        <v>0</v>
      </c>
      <c r="F17" s="62">
        <v>0</v>
      </c>
      <c r="G17" s="62">
        <v>2</v>
      </c>
      <c r="M17" s="160">
        <f t="shared" si="9"/>
        <v>100.15528000000002</v>
      </c>
      <c r="N17" s="160">
        <f t="shared" si="1"/>
        <v>5</v>
      </c>
      <c r="O17" s="160">
        <f t="shared" si="0"/>
        <v>1000000</v>
      </c>
      <c r="P17" s="160">
        <f t="shared" si="2"/>
        <v>1</v>
      </c>
      <c r="Q17" s="160">
        <f t="shared" si="3"/>
        <v>1.0018246881101032</v>
      </c>
      <c r="R17" s="160">
        <f t="shared" si="4"/>
        <v>1000000000000</v>
      </c>
      <c r="S17" s="160">
        <f t="shared" si="5"/>
        <v>1001824.6881101031</v>
      </c>
      <c r="T17" s="160">
        <f t="shared" si="6"/>
        <v>1E+18</v>
      </c>
      <c r="U17" s="160">
        <f t="shared" si="7"/>
        <v>9.9999999999999998E+23</v>
      </c>
      <c r="V17" s="160">
        <f t="shared" si="8"/>
        <v>1001824688110.1031</v>
      </c>
      <c r="AA17" s="160">
        <v>4</v>
      </c>
      <c r="AB17" s="160">
        <f>Calibrate!C95</f>
        <v>0</v>
      </c>
      <c r="AC17" s="160">
        <f>Calibrate!C105</f>
        <v>0</v>
      </c>
      <c r="AD17" s="160">
        <f>Calibrate!C115</f>
        <v>10</v>
      </c>
      <c r="AF17" s="160">
        <v>4</v>
      </c>
      <c r="AG17" s="171">
        <v>4.6219457920430466E-14</v>
      </c>
      <c r="AH17" s="172">
        <v>-1.3125634920521673E-8</v>
      </c>
      <c r="AI17" s="173">
        <v>9.9447018421538793</v>
      </c>
    </row>
    <row r="18" spans="1:35" x14ac:dyDescent="0.3">
      <c r="A18" s="160">
        <v>6</v>
      </c>
      <c r="B18" s="62">
        <v>1000000</v>
      </c>
      <c r="C18" s="62">
        <v>100.1647</v>
      </c>
      <c r="D18" s="62">
        <v>1.3063119999999999</v>
      </c>
      <c r="E18" s="62">
        <v>0</v>
      </c>
      <c r="F18" s="62">
        <v>0</v>
      </c>
      <c r="G18" s="62">
        <v>2</v>
      </c>
      <c r="M18" s="160">
        <f t="shared" si="9"/>
        <v>100.15528000000002</v>
      </c>
      <c r="N18" s="160">
        <f t="shared" si="1"/>
        <v>6</v>
      </c>
      <c r="O18" s="160">
        <f t="shared" si="0"/>
        <v>1000000</v>
      </c>
      <c r="P18" s="160">
        <f t="shared" si="2"/>
        <v>1</v>
      </c>
      <c r="Q18" s="160">
        <f t="shared" si="3"/>
        <v>1.0017336719670729</v>
      </c>
      <c r="R18" s="160">
        <f t="shared" si="4"/>
        <v>1000000000000</v>
      </c>
      <c r="S18" s="160">
        <f t="shared" si="5"/>
        <v>1001733.6719670729</v>
      </c>
      <c r="T18" s="160">
        <f t="shared" si="6"/>
        <v>1E+18</v>
      </c>
      <c r="U18" s="160">
        <f t="shared" si="7"/>
        <v>9.9999999999999998E+23</v>
      </c>
      <c r="V18" s="160">
        <f t="shared" si="8"/>
        <v>1001733671967.0729</v>
      </c>
      <c r="AA18" s="160">
        <v>5</v>
      </c>
      <c r="AB18" s="160">
        <f>Calibrate!C96</f>
        <v>0</v>
      </c>
      <c r="AC18" s="160">
        <f>Calibrate!C106</f>
        <v>0</v>
      </c>
      <c r="AD18" s="160">
        <f>Calibrate!C116</f>
        <v>10</v>
      </c>
      <c r="AF18" s="160">
        <v>5</v>
      </c>
      <c r="AG18" s="171">
        <v>3.9305335742242847E-14</v>
      </c>
      <c r="AH18" s="172">
        <v>-1.260913074309315E-8</v>
      </c>
      <c r="AI18" s="173">
        <v>9.9483923807192447</v>
      </c>
    </row>
    <row r="19" spans="1:35" x14ac:dyDescent="0.3">
      <c r="A19" s="160">
        <v>7</v>
      </c>
      <c r="B19" s="62">
        <v>1000000</v>
      </c>
      <c r="C19" s="62">
        <v>100.1742</v>
      </c>
      <c r="D19" s="62">
        <v>1.3163370000000001</v>
      </c>
      <c r="E19" s="62">
        <v>0</v>
      </c>
      <c r="F19" s="62">
        <v>0</v>
      </c>
      <c r="G19" s="62">
        <v>2</v>
      </c>
      <c r="M19" s="160">
        <f t="shared" si="9"/>
        <v>100.15528000000002</v>
      </c>
      <c r="N19" s="160">
        <f t="shared" si="1"/>
        <v>7</v>
      </c>
      <c r="O19" s="160">
        <f t="shared" si="0"/>
        <v>1000000</v>
      </c>
      <c r="P19" s="160">
        <f t="shared" si="2"/>
        <v>1</v>
      </c>
      <c r="Q19" s="160">
        <f t="shared" si="3"/>
        <v>1.00163867275686</v>
      </c>
      <c r="R19" s="160">
        <f t="shared" si="4"/>
        <v>1000000000000</v>
      </c>
      <c r="S19" s="160">
        <f t="shared" si="5"/>
        <v>1001638.67275686</v>
      </c>
      <c r="T19" s="160">
        <f t="shared" si="6"/>
        <v>1E+18</v>
      </c>
      <c r="U19" s="160">
        <f t="shared" si="7"/>
        <v>9.9999999999999998E+23</v>
      </c>
      <c r="V19" s="160">
        <f t="shared" si="8"/>
        <v>1001638672756.86</v>
      </c>
      <c r="AA19" s="160">
        <v>6</v>
      </c>
      <c r="AB19" s="160">
        <f>Calibrate!C97</f>
        <v>0</v>
      </c>
      <c r="AC19" s="160">
        <f>Calibrate!C107</f>
        <v>0</v>
      </c>
      <c r="AD19" s="160">
        <f>Calibrate!C117</f>
        <v>2</v>
      </c>
      <c r="AF19" s="160">
        <v>6</v>
      </c>
      <c r="AG19" s="171">
        <v>-2.9024839805226139E-14</v>
      </c>
      <c r="AH19" s="172">
        <v>-8.2611482961598103E-9</v>
      </c>
      <c r="AI19" s="173">
        <v>1.9995655673178454</v>
      </c>
    </row>
    <row r="20" spans="1:35" x14ac:dyDescent="0.3">
      <c r="A20" s="160">
        <v>8</v>
      </c>
      <c r="B20" s="62">
        <v>1000000</v>
      </c>
      <c r="C20" s="62">
        <v>100.1529</v>
      </c>
      <c r="D20" s="62">
        <v>1.3086930000000001</v>
      </c>
      <c r="E20" s="62">
        <v>0</v>
      </c>
      <c r="F20" s="62">
        <v>0</v>
      </c>
      <c r="G20" s="62">
        <v>2</v>
      </c>
      <c r="M20" s="160">
        <f t="shared" si="9"/>
        <v>100.15528000000002</v>
      </c>
      <c r="N20" s="160">
        <f t="shared" si="1"/>
        <v>8</v>
      </c>
      <c r="O20" s="160">
        <f t="shared" si="0"/>
        <v>1000000</v>
      </c>
      <c r="P20" s="160">
        <f t="shared" si="2"/>
        <v>1</v>
      </c>
      <c r="Q20" s="160">
        <f t="shared" si="3"/>
        <v>1.0018516960814938</v>
      </c>
      <c r="R20" s="160">
        <f t="shared" si="4"/>
        <v>1000000000000</v>
      </c>
      <c r="S20" s="160">
        <f t="shared" si="5"/>
        <v>1001851.6960814939</v>
      </c>
      <c r="T20" s="160">
        <f t="shared" si="6"/>
        <v>1E+18</v>
      </c>
      <c r="U20" s="160">
        <f t="shared" si="7"/>
        <v>9.9999999999999998E+23</v>
      </c>
      <c r="V20" s="160">
        <f t="shared" si="8"/>
        <v>1001851696081.4938</v>
      </c>
      <c r="AA20" s="160">
        <v>7</v>
      </c>
      <c r="AB20" s="160">
        <f>Calibrate!C98</f>
        <v>0</v>
      </c>
      <c r="AC20" s="160">
        <f>Calibrate!C108</f>
        <v>0</v>
      </c>
      <c r="AD20" s="160">
        <f>Calibrate!C118</f>
        <v>5</v>
      </c>
      <c r="AF20" s="160">
        <v>7</v>
      </c>
      <c r="AG20" s="171">
        <v>-3.3784643656540582E-14</v>
      </c>
      <c r="AH20" s="172">
        <v>-2.6752319723133116E-8</v>
      </c>
      <c r="AI20" s="173">
        <v>5.0003929215868981</v>
      </c>
    </row>
    <row r="21" spans="1:35" x14ac:dyDescent="0.3">
      <c r="A21" s="160">
        <v>9</v>
      </c>
      <c r="B21" s="62">
        <v>1000000</v>
      </c>
      <c r="C21" s="62">
        <v>100.14530000000001</v>
      </c>
      <c r="D21" s="62">
        <v>1.2916510000000001</v>
      </c>
      <c r="E21" s="62">
        <v>0</v>
      </c>
      <c r="F21" s="62">
        <v>0</v>
      </c>
      <c r="G21" s="62">
        <v>2</v>
      </c>
      <c r="M21" s="160">
        <f t="shared" si="9"/>
        <v>100.15528000000002</v>
      </c>
      <c r="N21" s="160">
        <f t="shared" si="1"/>
        <v>9</v>
      </c>
      <c r="O21" s="160">
        <f t="shared" si="0"/>
        <v>1000000</v>
      </c>
      <c r="P21" s="160">
        <f t="shared" si="2"/>
        <v>1</v>
      </c>
      <c r="Q21" s="160">
        <f t="shared" si="3"/>
        <v>1.001927726338433</v>
      </c>
      <c r="R21" s="160">
        <f t="shared" si="4"/>
        <v>1000000000000</v>
      </c>
      <c r="S21" s="160">
        <f t="shared" si="5"/>
        <v>1001927.726338433</v>
      </c>
      <c r="T21" s="160">
        <f t="shared" si="6"/>
        <v>1E+18</v>
      </c>
      <c r="U21" s="160">
        <f t="shared" si="7"/>
        <v>9.9999999999999998E+23</v>
      </c>
      <c r="V21" s="160">
        <f t="shared" si="8"/>
        <v>1001927726338.433</v>
      </c>
      <c r="AA21" s="160">
        <v>8</v>
      </c>
      <c r="AB21" s="160">
        <f>Calibrate!C99</f>
        <v>0</v>
      </c>
      <c r="AC21" s="160">
        <f>Calibrate!C109</f>
        <v>0</v>
      </c>
      <c r="AD21" s="160">
        <f>Calibrate!C119</f>
        <v>10</v>
      </c>
      <c r="AF21" s="160">
        <v>8</v>
      </c>
      <c r="AG21" s="171">
        <v>-2.3383228933216291E-14</v>
      </c>
      <c r="AH21" s="172">
        <v>-2.3438609594696926E-8</v>
      </c>
      <c r="AI21" s="173">
        <v>9.9908204682163362</v>
      </c>
    </row>
    <row r="22" spans="1:35" x14ac:dyDescent="0.3">
      <c r="A22" s="160">
        <v>10</v>
      </c>
      <c r="B22" s="62">
        <v>1000000</v>
      </c>
      <c r="C22" s="62">
        <v>100.1467</v>
      </c>
      <c r="D22" s="62">
        <v>1.3066960000000001</v>
      </c>
      <c r="E22" s="62">
        <v>0</v>
      </c>
      <c r="F22" s="62">
        <v>0</v>
      </c>
      <c r="G22" s="62">
        <v>2</v>
      </c>
      <c r="M22" s="160">
        <f t="shared" si="9"/>
        <v>100.15528000000002</v>
      </c>
      <c r="N22" s="160">
        <f t="shared" si="1"/>
        <v>10</v>
      </c>
      <c r="O22" s="160">
        <f t="shared" si="0"/>
        <v>1000000</v>
      </c>
      <c r="P22" s="160">
        <f t="shared" si="2"/>
        <v>1</v>
      </c>
      <c r="Q22" s="160">
        <f t="shared" si="3"/>
        <v>1.0019137198977126</v>
      </c>
      <c r="R22" s="160">
        <f t="shared" si="4"/>
        <v>1000000000000</v>
      </c>
      <c r="S22" s="160">
        <f t="shared" si="5"/>
        <v>1001913.7198977126</v>
      </c>
      <c r="T22" s="160">
        <f t="shared" si="6"/>
        <v>1E+18</v>
      </c>
      <c r="U22" s="160">
        <f t="shared" si="7"/>
        <v>9.9999999999999998E+23</v>
      </c>
      <c r="V22" s="160">
        <f t="shared" si="8"/>
        <v>1001913719897.7126</v>
      </c>
      <c r="AA22" s="160">
        <v>9</v>
      </c>
      <c r="AB22" s="160">
        <f>Calibrate!C100</f>
        <v>0</v>
      </c>
      <c r="AC22" s="160">
        <f>Calibrate!C110</f>
        <v>0</v>
      </c>
      <c r="AD22" s="160">
        <f>Calibrate!C120</f>
        <v>10</v>
      </c>
      <c r="AF22" s="160">
        <v>9</v>
      </c>
      <c r="AG22" s="171">
        <v>9.3883303973592848E-14</v>
      </c>
      <c r="AH22" s="172">
        <v>-4.8919785547838456E-8</v>
      </c>
      <c r="AI22" s="173">
        <v>9.8906606677835853</v>
      </c>
    </row>
    <row r="23" spans="1:35" ht="15" thickBot="1" x14ac:dyDescent="0.35">
      <c r="A23" s="160">
        <v>11</v>
      </c>
      <c r="B23" s="62">
        <v>859999.9</v>
      </c>
      <c r="C23" s="62">
        <v>99.548990000000003</v>
      </c>
      <c r="D23" s="62">
        <v>0.61980979999999997</v>
      </c>
      <c r="E23" s="62">
        <v>0</v>
      </c>
      <c r="F23" s="62">
        <v>0</v>
      </c>
      <c r="G23" s="62">
        <v>2</v>
      </c>
      <c r="M23" s="160">
        <f>AVERAGE(C23:C32)</f>
        <v>99.544115000000005</v>
      </c>
      <c r="N23" s="160">
        <f t="shared" si="1"/>
        <v>11</v>
      </c>
      <c r="O23" s="160">
        <f t="shared" si="0"/>
        <v>859999.9</v>
      </c>
      <c r="P23" s="160">
        <f t="shared" si="2"/>
        <v>1</v>
      </c>
      <c r="Q23" s="160">
        <f t="shared" si="3"/>
        <v>1.0017788286020031</v>
      </c>
      <c r="R23" s="160">
        <f t="shared" si="4"/>
        <v>739599828000.01001</v>
      </c>
      <c r="S23" s="160">
        <f t="shared" si="5"/>
        <v>861529.69241983979</v>
      </c>
      <c r="T23" s="160">
        <f t="shared" si="6"/>
        <v>6.3605577812002586E+17</v>
      </c>
      <c r="U23" s="160">
        <f t="shared" si="7"/>
        <v>5.4700790557764442E+23</v>
      </c>
      <c r="V23" s="160">
        <f t="shared" si="8"/>
        <v>740915449328.09302</v>
      </c>
      <c r="AA23" s="160">
        <v>10</v>
      </c>
      <c r="AB23" s="160">
        <f>Calibrate!C101</f>
        <v>0</v>
      </c>
      <c r="AC23" s="160">
        <f>Calibrate!C111</f>
        <v>0</v>
      </c>
      <c r="AD23" s="160">
        <f>Calibrate!C121</f>
        <v>10</v>
      </c>
      <c r="AF23" s="160">
        <v>10</v>
      </c>
      <c r="AG23" s="174">
        <v>7.8502654461263867E-14</v>
      </c>
      <c r="AH23" s="175">
        <v>-3.3097708306564023E-8</v>
      </c>
      <c r="AI23" s="176">
        <v>9.8887350720869645</v>
      </c>
    </row>
    <row r="24" spans="1:35" x14ac:dyDescent="0.3">
      <c r="A24" s="160">
        <v>12</v>
      </c>
      <c r="B24" s="62">
        <v>859999.9</v>
      </c>
      <c r="C24" s="62">
        <v>99.548509999999993</v>
      </c>
      <c r="D24" s="62">
        <v>0.63060970000000005</v>
      </c>
      <c r="E24" s="62">
        <v>0</v>
      </c>
      <c r="F24" s="62">
        <v>0</v>
      </c>
      <c r="G24" s="62">
        <v>2</v>
      </c>
      <c r="M24" s="160">
        <f>M23</f>
        <v>99.544115000000005</v>
      </c>
      <c r="N24" s="160">
        <f t="shared" si="1"/>
        <v>12</v>
      </c>
      <c r="O24" s="160">
        <f t="shared" si="0"/>
        <v>859999.9</v>
      </c>
      <c r="P24" s="160">
        <f t="shared" si="2"/>
        <v>1</v>
      </c>
      <c r="Q24" s="160">
        <f t="shared" si="3"/>
        <v>1.0017836589489137</v>
      </c>
      <c r="R24" s="160">
        <f t="shared" si="4"/>
        <v>739599828000.01001</v>
      </c>
      <c r="S24" s="160">
        <f t="shared" si="5"/>
        <v>861533.8465177</v>
      </c>
      <c r="T24" s="160">
        <f t="shared" si="6"/>
        <v>6.3605577812002586E+17</v>
      </c>
      <c r="U24" s="160">
        <f t="shared" si="7"/>
        <v>5.4700790557764442E+23</v>
      </c>
      <c r="V24" s="160">
        <f t="shared" si="8"/>
        <v>740919021851.83728</v>
      </c>
    </row>
    <row r="25" spans="1:35" x14ac:dyDescent="0.3">
      <c r="A25" s="160">
        <v>13</v>
      </c>
      <c r="B25" s="62">
        <v>859999.9</v>
      </c>
      <c r="C25" s="62">
        <v>99.536169999999998</v>
      </c>
      <c r="D25" s="62">
        <v>0.62248910000000002</v>
      </c>
      <c r="E25" s="62">
        <v>0</v>
      </c>
      <c r="F25" s="62">
        <v>0</v>
      </c>
      <c r="G25" s="62">
        <v>2</v>
      </c>
      <c r="M25" s="160">
        <f t="shared" ref="M25:M32" si="10">M24</f>
        <v>99.544115000000005</v>
      </c>
      <c r="N25" s="160">
        <f t="shared" si="1"/>
        <v>13</v>
      </c>
      <c r="O25" s="160">
        <f t="shared" si="0"/>
        <v>859999.9</v>
      </c>
      <c r="P25" s="160">
        <f t="shared" si="2"/>
        <v>1</v>
      </c>
      <c r="Q25" s="160">
        <f t="shared" si="3"/>
        <v>1.0019078551114888</v>
      </c>
      <c r="R25" s="160">
        <f t="shared" si="4"/>
        <v>739599828000.01001</v>
      </c>
      <c r="S25" s="160">
        <f t="shared" si="5"/>
        <v>861640.65520509495</v>
      </c>
      <c r="T25" s="160">
        <f t="shared" si="6"/>
        <v>6.3605577812002586E+17</v>
      </c>
      <c r="U25" s="160">
        <f t="shared" si="7"/>
        <v>5.4700790557764442E+23</v>
      </c>
      <c r="V25" s="160">
        <f t="shared" si="8"/>
        <v>741010877312.31604</v>
      </c>
    </row>
    <row r="26" spans="1:35" x14ac:dyDescent="0.3">
      <c r="A26" s="160">
        <v>14</v>
      </c>
      <c r="B26" s="62">
        <v>859999.9</v>
      </c>
      <c r="C26" s="62">
        <v>99.54</v>
      </c>
      <c r="D26" s="62">
        <v>0.62418799999999997</v>
      </c>
      <c r="E26" s="62">
        <v>0</v>
      </c>
      <c r="F26" s="62">
        <v>0</v>
      </c>
      <c r="G26" s="62">
        <v>2</v>
      </c>
      <c r="M26" s="160">
        <f t="shared" si="10"/>
        <v>99.544115000000005</v>
      </c>
      <c r="N26" s="160">
        <f t="shared" si="1"/>
        <v>14</v>
      </c>
      <c r="O26" s="160">
        <f t="shared" si="0"/>
        <v>859999.9</v>
      </c>
      <c r="P26" s="160">
        <f t="shared" si="2"/>
        <v>1</v>
      </c>
      <c r="Q26" s="160">
        <f t="shared" si="3"/>
        <v>1.0018693047087854</v>
      </c>
      <c r="R26" s="160">
        <f t="shared" si="4"/>
        <v>739599828000.01001</v>
      </c>
      <c r="S26" s="160">
        <f t="shared" si="5"/>
        <v>861607.50186262501</v>
      </c>
      <c r="T26" s="160">
        <f t="shared" si="6"/>
        <v>6.3605577812002586E+17</v>
      </c>
      <c r="U26" s="160">
        <f t="shared" si="7"/>
        <v>5.4700790557764442E+23</v>
      </c>
      <c r="V26" s="160">
        <f t="shared" si="8"/>
        <v>740982365441.1073</v>
      </c>
    </row>
    <row r="27" spans="1:35" x14ac:dyDescent="0.3">
      <c r="A27" s="160">
        <v>15</v>
      </c>
      <c r="B27" s="62">
        <v>859999.9</v>
      </c>
      <c r="C27" s="62">
        <v>99.54862</v>
      </c>
      <c r="D27" s="62">
        <v>0.62067369999999999</v>
      </c>
      <c r="E27" s="62">
        <v>0</v>
      </c>
      <c r="F27" s="62">
        <v>0</v>
      </c>
      <c r="G27" s="62">
        <v>2</v>
      </c>
      <c r="M27" s="160">
        <f t="shared" si="10"/>
        <v>99.544115000000005</v>
      </c>
      <c r="N27" s="160">
        <f t="shared" si="1"/>
        <v>15</v>
      </c>
      <c r="O27" s="160">
        <f t="shared" si="0"/>
        <v>859999.9</v>
      </c>
      <c r="P27" s="160">
        <f t="shared" si="2"/>
        <v>1</v>
      </c>
      <c r="Q27" s="160">
        <f t="shared" si="3"/>
        <v>1.0017825519902992</v>
      </c>
      <c r="R27" s="160">
        <f t="shared" si="4"/>
        <v>739599828000.01001</v>
      </c>
      <c r="S27" s="160">
        <f t="shared" si="5"/>
        <v>861532.89453340217</v>
      </c>
      <c r="T27" s="160">
        <f t="shared" si="6"/>
        <v>6.3605577812002586E+17</v>
      </c>
      <c r="U27" s="160">
        <f t="shared" si="7"/>
        <v>5.4700790557764442E+23</v>
      </c>
      <c r="V27" s="160">
        <f t="shared" si="8"/>
        <v>740918203145.4364</v>
      </c>
    </row>
    <row r="28" spans="1:35" x14ac:dyDescent="0.3">
      <c r="A28" s="160">
        <v>16</v>
      </c>
      <c r="B28" s="62">
        <v>859999.9</v>
      </c>
      <c r="C28" s="62">
        <v>99.537629999999993</v>
      </c>
      <c r="D28" s="62">
        <v>0.61981209999999998</v>
      </c>
      <c r="E28" s="62">
        <v>0</v>
      </c>
      <c r="F28" s="62">
        <v>0</v>
      </c>
      <c r="G28" s="62">
        <v>2</v>
      </c>
      <c r="M28" s="160">
        <f t="shared" si="10"/>
        <v>99.544115000000005</v>
      </c>
      <c r="N28" s="160">
        <f t="shared" si="1"/>
        <v>16</v>
      </c>
      <c r="O28" s="160">
        <f t="shared" si="0"/>
        <v>859999.9</v>
      </c>
      <c r="P28" s="160">
        <f t="shared" si="2"/>
        <v>1</v>
      </c>
      <c r="Q28" s="160">
        <f t="shared" si="3"/>
        <v>1.0018931593078169</v>
      </c>
      <c r="R28" s="160">
        <f t="shared" si="4"/>
        <v>739599828000.01001</v>
      </c>
      <c r="S28" s="160">
        <f t="shared" si="5"/>
        <v>861628.01681540662</v>
      </c>
      <c r="T28" s="160">
        <f t="shared" si="6"/>
        <v>6.3605577812002586E+17</v>
      </c>
      <c r="U28" s="160">
        <f t="shared" si="7"/>
        <v>5.4700790557764442E+23</v>
      </c>
      <c r="V28" s="160">
        <f t="shared" si="8"/>
        <v>741000008298.448</v>
      </c>
    </row>
    <row r="29" spans="1:35" x14ac:dyDescent="0.3">
      <c r="A29" s="160">
        <v>17</v>
      </c>
      <c r="B29" s="62">
        <v>859999.9</v>
      </c>
      <c r="C29" s="62">
        <v>99.542879999999997</v>
      </c>
      <c r="D29" s="62">
        <v>0.62230379999999996</v>
      </c>
      <c r="E29" s="62">
        <v>0</v>
      </c>
      <c r="F29" s="62">
        <v>0</v>
      </c>
      <c r="G29" s="62">
        <v>2</v>
      </c>
      <c r="M29" s="160">
        <f t="shared" si="10"/>
        <v>99.544115000000005</v>
      </c>
      <c r="N29" s="160">
        <f t="shared" si="1"/>
        <v>17</v>
      </c>
      <c r="O29" s="160">
        <f t="shared" si="0"/>
        <v>859999.9</v>
      </c>
      <c r="P29" s="160">
        <f t="shared" si="2"/>
        <v>1</v>
      </c>
      <c r="Q29" s="160">
        <f t="shared" si="3"/>
        <v>1.0018403183704603</v>
      </c>
      <c r="R29" s="160">
        <f t="shared" si="4"/>
        <v>739599828000.01001</v>
      </c>
      <c r="S29" s="160">
        <f t="shared" si="5"/>
        <v>861582.57361456403</v>
      </c>
      <c r="T29" s="160">
        <f t="shared" si="6"/>
        <v>6.3605577812002586E+17</v>
      </c>
      <c r="U29" s="160">
        <f t="shared" si="7"/>
        <v>5.4700790557764442E+23</v>
      </c>
      <c r="V29" s="160">
        <f t="shared" si="8"/>
        <v>740960927150.2677</v>
      </c>
    </row>
    <row r="30" spans="1:35" x14ac:dyDescent="0.3">
      <c r="A30" s="160">
        <v>18</v>
      </c>
      <c r="B30" s="62">
        <v>859999.9</v>
      </c>
      <c r="C30" s="62">
        <v>99.546490000000006</v>
      </c>
      <c r="D30" s="62">
        <v>0.61592789999999997</v>
      </c>
      <c r="E30" s="62">
        <v>0</v>
      </c>
      <c r="F30" s="62">
        <v>0</v>
      </c>
      <c r="G30" s="62">
        <v>2</v>
      </c>
      <c r="M30" s="160">
        <f t="shared" si="10"/>
        <v>99.544115000000005</v>
      </c>
      <c r="N30" s="160">
        <f t="shared" si="1"/>
        <v>18</v>
      </c>
      <c r="O30" s="160">
        <f t="shared" si="0"/>
        <v>859999.9</v>
      </c>
      <c r="P30" s="160">
        <f t="shared" si="2"/>
        <v>1</v>
      </c>
      <c r="Q30" s="160">
        <f t="shared" si="3"/>
        <v>1.0018039871693369</v>
      </c>
      <c r="R30" s="160">
        <f t="shared" si="4"/>
        <v>739599828000.01001</v>
      </c>
      <c r="S30" s="160">
        <f t="shared" si="5"/>
        <v>861551.3287852311</v>
      </c>
      <c r="T30" s="160">
        <f t="shared" si="6"/>
        <v>6.3605577812002586E+17</v>
      </c>
      <c r="U30" s="160">
        <f t="shared" si="7"/>
        <v>5.4700790557764442E+23</v>
      </c>
      <c r="V30" s="160">
        <f t="shared" si="8"/>
        <v>740934056600.16589</v>
      </c>
    </row>
    <row r="31" spans="1:35" x14ac:dyDescent="0.3">
      <c r="A31" s="160">
        <v>19</v>
      </c>
      <c r="B31" s="62">
        <v>859999.9</v>
      </c>
      <c r="C31" s="62">
        <v>99.534210000000002</v>
      </c>
      <c r="D31" s="62">
        <v>0.62398489999999995</v>
      </c>
      <c r="E31" s="62">
        <v>0</v>
      </c>
      <c r="F31" s="62">
        <v>0</v>
      </c>
      <c r="G31" s="62">
        <v>2</v>
      </c>
      <c r="M31" s="160">
        <f t="shared" si="10"/>
        <v>99.544115000000005</v>
      </c>
      <c r="N31" s="160">
        <f t="shared" si="1"/>
        <v>19</v>
      </c>
      <c r="O31" s="160">
        <f t="shared" si="0"/>
        <v>859999.9</v>
      </c>
      <c r="P31" s="160">
        <f t="shared" si="2"/>
        <v>1</v>
      </c>
      <c r="Q31" s="160">
        <f t="shared" si="3"/>
        <v>1.0019275844025135</v>
      </c>
      <c r="R31" s="160">
        <f t="shared" si="4"/>
        <v>739599828000.01001</v>
      </c>
      <c r="S31" s="160">
        <f t="shared" si="5"/>
        <v>861657.6223934032</v>
      </c>
      <c r="T31" s="160">
        <f t="shared" si="6"/>
        <v>6.3605577812002586E+17</v>
      </c>
      <c r="U31" s="160">
        <f t="shared" si="7"/>
        <v>5.4700790557764442E+23</v>
      </c>
      <c r="V31" s="160">
        <f t="shared" si="8"/>
        <v>741025469092.56445</v>
      </c>
    </row>
    <row r="32" spans="1:35" x14ac:dyDescent="0.3">
      <c r="A32" s="160">
        <v>20</v>
      </c>
      <c r="B32" s="62">
        <v>859999.9</v>
      </c>
      <c r="C32" s="62">
        <v>99.557649999999995</v>
      </c>
      <c r="D32" s="62">
        <v>0.63053959999999998</v>
      </c>
      <c r="E32" s="62">
        <v>0</v>
      </c>
      <c r="F32" s="62">
        <v>0</v>
      </c>
      <c r="G32" s="62">
        <v>2</v>
      </c>
      <c r="M32" s="160">
        <f t="shared" si="10"/>
        <v>99.544115000000005</v>
      </c>
      <c r="N32" s="160">
        <f t="shared" si="1"/>
        <v>20</v>
      </c>
      <c r="O32" s="160">
        <f t="shared" si="0"/>
        <v>859999.9</v>
      </c>
      <c r="P32" s="160">
        <f t="shared" si="2"/>
        <v>1</v>
      </c>
      <c r="Q32" s="160">
        <f t="shared" si="3"/>
        <v>1.0016916890938319</v>
      </c>
      <c r="R32" s="160">
        <f t="shared" si="4"/>
        <v>739599828000.01001</v>
      </c>
      <c r="S32" s="160">
        <f t="shared" si="5"/>
        <v>861454.75245152658</v>
      </c>
      <c r="T32" s="160">
        <f t="shared" si="6"/>
        <v>6.3605577812002586E+17</v>
      </c>
      <c r="U32" s="160">
        <f t="shared" si="7"/>
        <v>5.4700790557764442E+23</v>
      </c>
      <c r="V32" s="160">
        <f t="shared" si="8"/>
        <v>740851000962.83752</v>
      </c>
    </row>
    <row r="33" spans="1:22" x14ac:dyDescent="0.3">
      <c r="A33" s="160">
        <v>21</v>
      </c>
      <c r="B33" s="62">
        <v>730000</v>
      </c>
      <c r="C33" s="62">
        <v>99.262770000000003</v>
      </c>
      <c r="D33" s="62">
        <v>0.1163994</v>
      </c>
      <c r="E33" s="62">
        <v>0</v>
      </c>
      <c r="F33" s="62">
        <v>0</v>
      </c>
      <c r="G33" s="62">
        <v>2</v>
      </c>
      <c r="M33" s="160">
        <f>AVERAGE(C33:C42)</f>
        <v>99.252413000000004</v>
      </c>
      <c r="N33" s="160">
        <f t="shared" si="1"/>
        <v>21</v>
      </c>
      <c r="O33" s="160">
        <f t="shared" si="0"/>
        <v>730000</v>
      </c>
      <c r="P33" s="160">
        <f t="shared" si="2"/>
        <v>1</v>
      </c>
      <c r="Q33" s="160">
        <f t="shared" si="3"/>
        <v>1.0017233590382539</v>
      </c>
      <c r="R33" s="160">
        <f t="shared" si="4"/>
        <v>532900000000</v>
      </c>
      <c r="S33" s="160">
        <f t="shared" si="5"/>
        <v>731258.05209792533</v>
      </c>
      <c r="T33" s="160">
        <f t="shared" si="6"/>
        <v>3.89017E+17</v>
      </c>
      <c r="U33" s="160">
        <f t="shared" si="7"/>
        <v>2.8398240999999999E+23</v>
      </c>
      <c r="V33" s="160">
        <f t="shared" si="8"/>
        <v>533818378031.48553</v>
      </c>
    </row>
    <row r="34" spans="1:22" x14ac:dyDescent="0.3">
      <c r="A34" s="160">
        <v>22</v>
      </c>
      <c r="B34" s="62">
        <v>730000</v>
      </c>
      <c r="C34" s="62">
        <v>99.255650000000003</v>
      </c>
      <c r="D34" s="62">
        <v>0.1204953</v>
      </c>
      <c r="E34" s="62">
        <v>0</v>
      </c>
      <c r="F34" s="62">
        <v>0</v>
      </c>
      <c r="G34" s="62">
        <v>2</v>
      </c>
      <c r="M34" s="160">
        <f>M33</f>
        <v>99.252413000000004</v>
      </c>
      <c r="N34" s="160">
        <f t="shared" si="1"/>
        <v>22</v>
      </c>
      <c r="O34" s="160">
        <f t="shared" si="0"/>
        <v>730000</v>
      </c>
      <c r="P34" s="160">
        <f t="shared" si="2"/>
        <v>1</v>
      </c>
      <c r="Q34" s="160">
        <f t="shared" si="3"/>
        <v>1.0017952166132773</v>
      </c>
      <c r="R34" s="160">
        <f t="shared" si="4"/>
        <v>532900000000</v>
      </c>
      <c r="S34" s="160">
        <f t="shared" si="5"/>
        <v>731310.50812769239</v>
      </c>
      <c r="T34" s="160">
        <f t="shared" si="6"/>
        <v>3.89017E+17</v>
      </c>
      <c r="U34" s="160">
        <f t="shared" si="7"/>
        <v>2.8398240999999999E+23</v>
      </c>
      <c r="V34" s="160">
        <f t="shared" si="8"/>
        <v>533856670933.21545</v>
      </c>
    </row>
    <row r="35" spans="1:22" x14ac:dyDescent="0.3">
      <c r="A35" s="160">
        <v>23</v>
      </c>
      <c r="B35" s="62">
        <v>730000</v>
      </c>
      <c r="C35" s="62">
        <v>99.248999999999995</v>
      </c>
      <c r="D35" s="62">
        <v>0.1059171</v>
      </c>
      <c r="E35" s="62">
        <v>0</v>
      </c>
      <c r="F35" s="62">
        <v>0</v>
      </c>
      <c r="G35" s="62">
        <v>2</v>
      </c>
      <c r="M35" s="160">
        <f t="shared" ref="M35:M42" si="11">M34</f>
        <v>99.252413000000004</v>
      </c>
      <c r="N35" s="160">
        <f t="shared" si="1"/>
        <v>23</v>
      </c>
      <c r="O35" s="160">
        <f t="shared" si="0"/>
        <v>730000</v>
      </c>
      <c r="P35" s="160">
        <f t="shared" si="2"/>
        <v>1</v>
      </c>
      <c r="Q35" s="160">
        <f t="shared" si="3"/>
        <v>1.0018623400925111</v>
      </c>
      <c r="R35" s="160">
        <f t="shared" si="4"/>
        <v>532900000000</v>
      </c>
      <c r="S35" s="160">
        <f t="shared" si="5"/>
        <v>731359.50826753303</v>
      </c>
      <c r="T35" s="160">
        <f t="shared" si="6"/>
        <v>3.89017E+17</v>
      </c>
      <c r="U35" s="160">
        <f t="shared" si="7"/>
        <v>2.8398240999999999E+23</v>
      </c>
      <c r="V35" s="160">
        <f t="shared" si="8"/>
        <v>533892441035.29913</v>
      </c>
    </row>
    <row r="36" spans="1:22" x14ac:dyDescent="0.3">
      <c r="A36" s="160">
        <v>24</v>
      </c>
      <c r="B36" s="62">
        <v>730000</v>
      </c>
      <c r="C36" s="62">
        <v>99.252529999999993</v>
      </c>
      <c r="D36" s="62">
        <v>0.1115601</v>
      </c>
      <c r="E36" s="62">
        <v>0</v>
      </c>
      <c r="F36" s="62">
        <v>0</v>
      </c>
      <c r="G36" s="62">
        <v>2</v>
      </c>
      <c r="M36" s="160">
        <f t="shared" si="11"/>
        <v>99.252413000000004</v>
      </c>
      <c r="N36" s="160">
        <f t="shared" si="1"/>
        <v>24</v>
      </c>
      <c r="O36" s="160">
        <f t="shared" si="0"/>
        <v>730000</v>
      </c>
      <c r="P36" s="160">
        <f t="shared" si="2"/>
        <v>1</v>
      </c>
      <c r="Q36" s="160">
        <f t="shared" si="3"/>
        <v>1.0018267080127996</v>
      </c>
      <c r="R36" s="160">
        <f t="shared" si="4"/>
        <v>532900000000</v>
      </c>
      <c r="S36" s="160">
        <f t="shared" si="5"/>
        <v>731333.49684934376</v>
      </c>
      <c r="T36" s="160">
        <f t="shared" si="6"/>
        <v>3.89017E+17</v>
      </c>
      <c r="U36" s="160">
        <f t="shared" si="7"/>
        <v>2.8398240999999999E+23</v>
      </c>
      <c r="V36" s="160">
        <f t="shared" si="8"/>
        <v>533873452700.02094</v>
      </c>
    </row>
    <row r="37" spans="1:22" x14ac:dyDescent="0.3">
      <c r="A37" s="160">
        <v>25</v>
      </c>
      <c r="B37" s="62">
        <v>730000</v>
      </c>
      <c r="C37" s="62">
        <v>99.256640000000004</v>
      </c>
      <c r="D37" s="62">
        <v>0.1180436</v>
      </c>
      <c r="E37" s="62">
        <v>0</v>
      </c>
      <c r="F37" s="62">
        <v>0</v>
      </c>
      <c r="G37" s="62">
        <v>2</v>
      </c>
      <c r="M37" s="160">
        <f t="shared" si="11"/>
        <v>99.252413000000004</v>
      </c>
      <c r="N37" s="160">
        <f t="shared" si="1"/>
        <v>25</v>
      </c>
      <c r="O37" s="160">
        <f t="shared" si="0"/>
        <v>730000</v>
      </c>
      <c r="P37" s="160">
        <f t="shared" si="2"/>
        <v>1</v>
      </c>
      <c r="Q37" s="160">
        <f t="shared" si="3"/>
        <v>1.0017852245637333</v>
      </c>
      <c r="R37" s="160">
        <f t="shared" si="4"/>
        <v>532900000000</v>
      </c>
      <c r="S37" s="160">
        <f t="shared" si="5"/>
        <v>731303.21393152536</v>
      </c>
      <c r="T37" s="160">
        <f t="shared" si="6"/>
        <v>3.89017E+17</v>
      </c>
      <c r="U37" s="160">
        <f t="shared" si="7"/>
        <v>2.8398240999999999E+23</v>
      </c>
      <c r="V37" s="160">
        <f t="shared" si="8"/>
        <v>533851346170.01349</v>
      </c>
    </row>
    <row r="38" spans="1:22" x14ac:dyDescent="0.3">
      <c r="A38" s="160">
        <v>26</v>
      </c>
      <c r="B38" s="62">
        <v>730000</v>
      </c>
      <c r="C38" s="62">
        <v>99.252129999999994</v>
      </c>
      <c r="D38" s="62">
        <v>0.13034570000000001</v>
      </c>
      <c r="E38" s="62">
        <v>0</v>
      </c>
      <c r="F38" s="62">
        <v>0</v>
      </c>
      <c r="G38" s="62">
        <v>2</v>
      </c>
      <c r="M38" s="160">
        <f t="shared" si="11"/>
        <v>99.252413000000004</v>
      </c>
      <c r="N38" s="160">
        <f t="shared" si="1"/>
        <v>26</v>
      </c>
      <c r="O38" s="160">
        <f t="shared" si="0"/>
        <v>730000</v>
      </c>
      <c r="P38" s="160">
        <f t="shared" si="2"/>
        <v>1</v>
      </c>
      <c r="Q38" s="160">
        <f t="shared" si="3"/>
        <v>1.0018307455148985</v>
      </c>
      <c r="R38" s="160">
        <f t="shared" si="4"/>
        <v>532900000000</v>
      </c>
      <c r="S38" s="160">
        <f t="shared" si="5"/>
        <v>731336.44422587589</v>
      </c>
      <c r="T38" s="160">
        <f t="shared" si="6"/>
        <v>3.89017E+17</v>
      </c>
      <c r="U38" s="160">
        <f t="shared" si="7"/>
        <v>2.8398240999999999E+23</v>
      </c>
      <c r="V38" s="160">
        <f t="shared" si="8"/>
        <v>533875604284.8894</v>
      </c>
    </row>
    <row r="39" spans="1:22" x14ac:dyDescent="0.3">
      <c r="A39" s="160">
        <v>27</v>
      </c>
      <c r="B39" s="62">
        <v>730000</v>
      </c>
      <c r="C39" s="62">
        <v>99.257419999999996</v>
      </c>
      <c r="D39" s="62">
        <v>0.1227572</v>
      </c>
      <c r="E39" s="62">
        <v>0</v>
      </c>
      <c r="F39" s="62">
        <v>0</v>
      </c>
      <c r="G39" s="62">
        <v>2</v>
      </c>
      <c r="M39" s="160">
        <f t="shared" si="11"/>
        <v>99.252413000000004</v>
      </c>
      <c r="N39" s="160">
        <f t="shared" si="1"/>
        <v>27</v>
      </c>
      <c r="O39" s="160">
        <f t="shared" si="0"/>
        <v>730000</v>
      </c>
      <c r="P39" s="160">
        <f t="shared" si="2"/>
        <v>1</v>
      </c>
      <c r="Q39" s="160">
        <f t="shared" si="3"/>
        <v>1.0017773521802362</v>
      </c>
      <c r="R39" s="160">
        <f t="shared" si="4"/>
        <v>532900000000</v>
      </c>
      <c r="S39" s="160">
        <f t="shared" si="5"/>
        <v>731297.46709157247</v>
      </c>
      <c r="T39" s="160">
        <f t="shared" si="6"/>
        <v>3.89017E+17</v>
      </c>
      <c r="U39" s="160">
        <f t="shared" si="7"/>
        <v>2.8398240999999999E+23</v>
      </c>
      <c r="V39" s="160">
        <f t="shared" si="8"/>
        <v>533847150976.8479</v>
      </c>
    </row>
    <row r="40" spans="1:22" x14ac:dyDescent="0.3">
      <c r="A40" s="160">
        <v>28</v>
      </c>
      <c r="B40" s="62">
        <v>730000</v>
      </c>
      <c r="C40" s="62">
        <v>99.242540000000005</v>
      </c>
      <c r="D40" s="62">
        <v>0.12178949999999999</v>
      </c>
      <c r="E40" s="62">
        <v>0</v>
      </c>
      <c r="F40" s="62">
        <v>0</v>
      </c>
      <c r="G40" s="62">
        <v>2</v>
      </c>
      <c r="M40" s="160">
        <f t="shared" si="11"/>
        <v>99.252413000000004</v>
      </c>
      <c r="N40" s="160">
        <f t="shared" si="1"/>
        <v>28</v>
      </c>
      <c r="O40" s="160">
        <f t="shared" si="0"/>
        <v>730000</v>
      </c>
      <c r="P40" s="160">
        <f t="shared" si="2"/>
        <v>1</v>
      </c>
      <c r="Q40" s="160">
        <f t="shared" si="3"/>
        <v>1.0019275543717605</v>
      </c>
      <c r="R40" s="160">
        <f t="shared" si="4"/>
        <v>532900000000</v>
      </c>
      <c r="S40" s="160">
        <f t="shared" si="5"/>
        <v>731407.11469138518</v>
      </c>
      <c r="T40" s="160">
        <f t="shared" si="6"/>
        <v>3.89017E+17</v>
      </c>
      <c r="U40" s="160">
        <f t="shared" si="7"/>
        <v>2.8398240999999999E+23</v>
      </c>
      <c r="V40" s="160">
        <f t="shared" si="8"/>
        <v>533927193724.71118</v>
      </c>
    </row>
    <row r="41" spans="1:22" x14ac:dyDescent="0.3">
      <c r="A41" s="160">
        <v>29</v>
      </c>
      <c r="B41" s="62">
        <v>730000</v>
      </c>
      <c r="C41" s="62">
        <v>99.250460000000004</v>
      </c>
      <c r="D41" s="62">
        <v>0.12196419999999999</v>
      </c>
      <c r="E41" s="62">
        <v>0</v>
      </c>
      <c r="F41" s="62">
        <v>0</v>
      </c>
      <c r="G41" s="62">
        <v>2</v>
      </c>
      <c r="M41" s="160">
        <f t="shared" si="11"/>
        <v>99.252413000000004</v>
      </c>
      <c r="N41" s="160">
        <f t="shared" si="1"/>
        <v>29</v>
      </c>
      <c r="O41" s="160">
        <f t="shared" si="0"/>
        <v>730000</v>
      </c>
      <c r="P41" s="160">
        <f t="shared" si="2"/>
        <v>1</v>
      </c>
      <c r="Q41" s="160">
        <f t="shared" si="3"/>
        <v>1.0018476024377279</v>
      </c>
      <c r="R41" s="160">
        <f t="shared" si="4"/>
        <v>532900000000</v>
      </c>
      <c r="S41" s="160">
        <f t="shared" si="5"/>
        <v>731348.74977954128</v>
      </c>
      <c r="T41" s="160">
        <f t="shared" si="6"/>
        <v>3.89017E+17</v>
      </c>
      <c r="U41" s="160">
        <f t="shared" si="7"/>
        <v>2.8398240999999999E+23</v>
      </c>
      <c r="V41" s="160">
        <f t="shared" si="8"/>
        <v>533884587339.06519</v>
      </c>
    </row>
    <row r="42" spans="1:22" x14ac:dyDescent="0.3">
      <c r="A42" s="160">
        <v>30</v>
      </c>
      <c r="B42" s="62">
        <v>730000</v>
      </c>
      <c r="C42" s="62">
        <v>99.244990000000001</v>
      </c>
      <c r="D42" s="62">
        <v>0.11430510000000001</v>
      </c>
      <c r="E42" s="62">
        <v>0</v>
      </c>
      <c r="F42" s="62">
        <v>0</v>
      </c>
      <c r="G42" s="62">
        <v>2</v>
      </c>
      <c r="M42" s="160">
        <f t="shared" si="11"/>
        <v>99.252413000000004</v>
      </c>
      <c r="N42" s="160">
        <f t="shared" si="1"/>
        <v>30</v>
      </c>
      <c r="O42" s="160">
        <f t="shared" si="0"/>
        <v>730000</v>
      </c>
      <c r="P42" s="160">
        <f t="shared" si="2"/>
        <v>1</v>
      </c>
      <c r="Q42" s="160">
        <f t="shared" si="3"/>
        <v>1.0019028204027389</v>
      </c>
      <c r="R42" s="160">
        <f t="shared" si="4"/>
        <v>532900000000</v>
      </c>
      <c r="S42" s="160">
        <f t="shared" si="5"/>
        <v>731389.05889399943</v>
      </c>
      <c r="T42" s="160">
        <f t="shared" si="6"/>
        <v>3.89017E+17</v>
      </c>
      <c r="U42" s="160">
        <f t="shared" si="7"/>
        <v>2.8398240999999999E+23</v>
      </c>
      <c r="V42" s="160">
        <f t="shared" si="8"/>
        <v>533914012992.61957</v>
      </c>
    </row>
    <row r="43" spans="1:22" x14ac:dyDescent="0.3">
      <c r="A43" s="160">
        <v>31</v>
      </c>
      <c r="B43" s="62">
        <v>589999.9</v>
      </c>
      <c r="C43" s="62">
        <v>99.211749999999995</v>
      </c>
      <c r="D43" s="62">
        <v>-0.2668643</v>
      </c>
      <c r="E43" s="62">
        <v>0</v>
      </c>
      <c r="F43" s="62">
        <v>0</v>
      </c>
      <c r="G43" s="62">
        <v>2</v>
      </c>
      <c r="M43" s="160">
        <f>AVERAGE(C43:C52)</f>
        <v>99.213341</v>
      </c>
      <c r="N43" s="160">
        <f t="shared" si="1"/>
        <v>31</v>
      </c>
      <c r="O43" s="160">
        <f t="shared" si="0"/>
        <v>589999.9</v>
      </c>
      <c r="P43" s="160">
        <f t="shared" si="2"/>
        <v>1</v>
      </c>
      <c r="Q43" s="160">
        <f t="shared" si="3"/>
        <v>1.0018439546985458</v>
      </c>
      <c r="R43" s="160">
        <f t="shared" si="4"/>
        <v>348099882000.01001</v>
      </c>
      <c r="S43" s="160">
        <f t="shared" si="5"/>
        <v>591087.83308774664</v>
      </c>
      <c r="T43" s="160">
        <f t="shared" si="6"/>
        <v>2.0537889557001773E+17</v>
      </c>
      <c r="U43" s="160">
        <f t="shared" si="7"/>
        <v>1.211735278484209E+23</v>
      </c>
      <c r="V43" s="160">
        <f t="shared" si="8"/>
        <v>348741762412.98718</v>
      </c>
    </row>
    <row r="44" spans="1:22" x14ac:dyDescent="0.3">
      <c r="A44" s="160">
        <v>32</v>
      </c>
      <c r="B44" s="62">
        <v>589999.9</v>
      </c>
      <c r="C44" s="62">
        <v>99.214690000000004</v>
      </c>
      <c r="D44" s="62">
        <v>-0.26865879999999998</v>
      </c>
      <c r="E44" s="62">
        <v>0</v>
      </c>
      <c r="F44" s="62">
        <v>0</v>
      </c>
      <c r="G44" s="62">
        <v>2</v>
      </c>
      <c r="M44" s="160">
        <f>M43</f>
        <v>99.213341</v>
      </c>
      <c r="N44" s="160">
        <f t="shared" si="1"/>
        <v>32</v>
      </c>
      <c r="O44" s="160">
        <f t="shared" si="0"/>
        <v>589999.9</v>
      </c>
      <c r="P44" s="160">
        <f t="shared" si="2"/>
        <v>1</v>
      </c>
      <c r="Q44" s="160">
        <f t="shared" si="3"/>
        <v>1.0018142673485493</v>
      </c>
      <c r="R44" s="160">
        <f t="shared" si="4"/>
        <v>348099882000.01001</v>
      </c>
      <c r="S44" s="160">
        <f t="shared" si="5"/>
        <v>591070.31755421741</v>
      </c>
      <c r="T44" s="160">
        <f t="shared" si="6"/>
        <v>2.0537889557001773E+17</v>
      </c>
      <c r="U44" s="160">
        <f t="shared" si="7"/>
        <v>1.211735278484209E+23</v>
      </c>
      <c r="V44" s="160">
        <f t="shared" si="8"/>
        <v>348731428249.95648</v>
      </c>
    </row>
    <row r="45" spans="1:22" x14ac:dyDescent="0.3">
      <c r="A45" s="160">
        <v>33</v>
      </c>
      <c r="B45" s="62">
        <v>589999.9</v>
      </c>
      <c r="C45" s="62">
        <v>99.213899999999995</v>
      </c>
      <c r="D45" s="62">
        <v>-0.26857180000000003</v>
      </c>
      <c r="E45" s="62">
        <v>0</v>
      </c>
      <c r="F45" s="62">
        <v>0</v>
      </c>
      <c r="G45" s="62">
        <v>2</v>
      </c>
      <c r="M45" s="160">
        <f t="shared" ref="M45:M52" si="12">M44</f>
        <v>99.213341</v>
      </c>
      <c r="N45" s="160">
        <f t="shared" si="1"/>
        <v>33</v>
      </c>
      <c r="O45" s="160">
        <f t="shared" ref="O45:O76" si="13">VLOOKUP(N45,$A$13:$G$892,2)</f>
        <v>589999.9</v>
      </c>
      <c r="P45" s="160">
        <f t="shared" si="2"/>
        <v>1</v>
      </c>
      <c r="Q45" s="160">
        <f t="shared" si="3"/>
        <v>1.0018222443887748</v>
      </c>
      <c r="R45" s="160">
        <f t="shared" si="4"/>
        <v>348099882000.01001</v>
      </c>
      <c r="S45" s="160">
        <f t="shared" si="5"/>
        <v>591075.02400715265</v>
      </c>
      <c r="T45" s="160">
        <f t="shared" si="6"/>
        <v>2.0537889557001773E+17</v>
      </c>
      <c r="U45" s="160">
        <f t="shared" si="7"/>
        <v>1.211735278484209E+23</v>
      </c>
      <c r="V45" s="160">
        <f t="shared" si="8"/>
        <v>348734205056.71771</v>
      </c>
    </row>
    <row r="46" spans="1:22" x14ac:dyDescent="0.3">
      <c r="A46" s="160">
        <v>34</v>
      </c>
      <c r="B46" s="62">
        <v>589999.9</v>
      </c>
      <c r="C46" s="62">
        <v>99.206670000000003</v>
      </c>
      <c r="D46" s="62">
        <v>-0.26688050000000002</v>
      </c>
      <c r="E46" s="62">
        <v>0</v>
      </c>
      <c r="F46" s="62">
        <v>0</v>
      </c>
      <c r="G46" s="62">
        <v>2</v>
      </c>
      <c r="M46" s="160">
        <f t="shared" si="12"/>
        <v>99.213341</v>
      </c>
      <c r="N46" s="160">
        <f t="shared" ref="N46:N77" si="14">N45+1</f>
        <v>34</v>
      </c>
      <c r="O46" s="160">
        <f t="shared" si="13"/>
        <v>589999.9</v>
      </c>
      <c r="P46" s="160">
        <f t="shared" si="2"/>
        <v>1</v>
      </c>
      <c r="Q46" s="160">
        <f t="shared" si="3"/>
        <v>1.0018952553549416</v>
      </c>
      <c r="R46" s="160">
        <f t="shared" si="4"/>
        <v>348099882000.01001</v>
      </c>
      <c r="S46" s="160">
        <f t="shared" si="5"/>
        <v>591118.10046989005</v>
      </c>
      <c r="T46" s="160">
        <f t="shared" si="6"/>
        <v>2.0537889557001773E+17</v>
      </c>
      <c r="U46" s="160">
        <f t="shared" si="7"/>
        <v>1.211735278484209E+23</v>
      </c>
      <c r="V46" s="160">
        <f t="shared" si="8"/>
        <v>348759620165.42505</v>
      </c>
    </row>
    <row r="47" spans="1:22" x14ac:dyDescent="0.3">
      <c r="A47" s="160">
        <v>35</v>
      </c>
      <c r="B47" s="62">
        <v>589999.9</v>
      </c>
      <c r="C47" s="62">
        <v>99.213449999999995</v>
      </c>
      <c r="D47" s="62">
        <v>-0.26367659999999998</v>
      </c>
      <c r="E47" s="62">
        <v>0</v>
      </c>
      <c r="F47" s="62">
        <v>0</v>
      </c>
      <c r="G47" s="62">
        <v>2</v>
      </c>
      <c r="M47" s="160">
        <f t="shared" si="12"/>
        <v>99.213341</v>
      </c>
      <c r="N47" s="160">
        <f t="shared" si="14"/>
        <v>35</v>
      </c>
      <c r="O47" s="160">
        <f t="shared" si="13"/>
        <v>589999.9</v>
      </c>
      <c r="P47" s="160">
        <f t="shared" si="2"/>
        <v>1</v>
      </c>
      <c r="Q47" s="160">
        <f t="shared" si="3"/>
        <v>1.001826788329238</v>
      </c>
      <c r="R47" s="160">
        <f t="shared" si="4"/>
        <v>348099882000.01001</v>
      </c>
      <c r="S47" s="160">
        <f t="shared" si="5"/>
        <v>591077.70493157161</v>
      </c>
      <c r="T47" s="160">
        <f t="shared" si="6"/>
        <v>2.0537889557001773E+17</v>
      </c>
      <c r="U47" s="160">
        <f t="shared" si="7"/>
        <v>1.211735278484209E+23</v>
      </c>
      <c r="V47" s="160">
        <f t="shared" si="8"/>
        <v>348735786801.85675</v>
      </c>
    </row>
    <row r="48" spans="1:22" x14ac:dyDescent="0.3">
      <c r="A48" s="160">
        <v>36</v>
      </c>
      <c r="B48" s="62">
        <v>589999.9</v>
      </c>
      <c r="C48" s="62">
        <v>99.212670000000003</v>
      </c>
      <c r="D48" s="62">
        <v>-0.26141340000000002</v>
      </c>
      <c r="E48" s="62">
        <v>0</v>
      </c>
      <c r="F48" s="62">
        <v>0</v>
      </c>
      <c r="G48" s="62">
        <v>2</v>
      </c>
      <c r="M48" s="160">
        <f t="shared" si="12"/>
        <v>99.213341</v>
      </c>
      <c r="N48" s="160">
        <f t="shared" si="14"/>
        <v>36</v>
      </c>
      <c r="O48" s="160">
        <f t="shared" si="13"/>
        <v>589999.9</v>
      </c>
      <c r="P48" s="160">
        <f t="shared" si="2"/>
        <v>1</v>
      </c>
      <c r="Q48" s="160">
        <f t="shared" si="3"/>
        <v>1.0018346645903535</v>
      </c>
      <c r="R48" s="160">
        <f t="shared" si="4"/>
        <v>348099882000.01001</v>
      </c>
      <c r="S48" s="160">
        <f t="shared" si="5"/>
        <v>591082.35192484211</v>
      </c>
      <c r="T48" s="160">
        <f t="shared" si="6"/>
        <v>2.0537889557001773E+17</v>
      </c>
      <c r="U48" s="160">
        <f t="shared" si="7"/>
        <v>1.211735278484209E+23</v>
      </c>
      <c r="V48" s="160">
        <f t="shared" si="8"/>
        <v>348738528527.42169</v>
      </c>
    </row>
    <row r="49" spans="1:22" x14ac:dyDescent="0.3">
      <c r="A49" s="160">
        <v>37</v>
      </c>
      <c r="B49" s="62">
        <v>589999.9</v>
      </c>
      <c r="C49" s="62">
        <v>99.206710000000001</v>
      </c>
      <c r="D49" s="62">
        <v>-0.26940839999999999</v>
      </c>
      <c r="E49" s="62">
        <v>0</v>
      </c>
      <c r="F49" s="62">
        <v>0</v>
      </c>
      <c r="G49" s="62">
        <v>2</v>
      </c>
      <c r="M49" s="160">
        <f t="shared" si="12"/>
        <v>99.213341</v>
      </c>
      <c r="N49" s="160">
        <f t="shared" si="14"/>
        <v>37</v>
      </c>
      <c r="O49" s="160">
        <f t="shared" si="13"/>
        <v>589999.9</v>
      </c>
      <c r="P49" s="160">
        <f t="shared" si="2"/>
        <v>1</v>
      </c>
      <c r="Q49" s="160">
        <f t="shared" si="3"/>
        <v>1.0018948513922441</v>
      </c>
      <c r="R49" s="160">
        <f t="shared" si="4"/>
        <v>348099882000.01001</v>
      </c>
      <c r="S49" s="160">
        <f t="shared" si="5"/>
        <v>591117.86213193892</v>
      </c>
      <c r="T49" s="160">
        <f t="shared" si="6"/>
        <v>2.0537889557001773E+17</v>
      </c>
      <c r="U49" s="160">
        <f t="shared" si="7"/>
        <v>1.211735278484209E+23</v>
      </c>
      <c r="V49" s="160">
        <f t="shared" si="8"/>
        <v>348759479546.05774</v>
      </c>
    </row>
    <row r="50" spans="1:22" x14ac:dyDescent="0.3">
      <c r="A50" s="160">
        <v>38</v>
      </c>
      <c r="B50" s="62">
        <v>589999.9</v>
      </c>
      <c r="C50" s="62">
        <v>99.204790000000003</v>
      </c>
      <c r="D50" s="62">
        <v>-0.25968550000000001</v>
      </c>
      <c r="E50" s="62">
        <v>0</v>
      </c>
      <c r="F50" s="62">
        <v>0</v>
      </c>
      <c r="G50" s="62">
        <v>2</v>
      </c>
      <c r="M50" s="160">
        <f t="shared" si="12"/>
        <v>99.213341</v>
      </c>
      <c r="N50" s="160">
        <f t="shared" si="14"/>
        <v>38</v>
      </c>
      <c r="O50" s="160">
        <f t="shared" si="13"/>
        <v>589999.9</v>
      </c>
      <c r="P50" s="160">
        <f t="shared" si="2"/>
        <v>1</v>
      </c>
      <c r="Q50" s="160">
        <f t="shared" si="3"/>
        <v>1.0019142419691978</v>
      </c>
      <c r="R50" s="160">
        <f t="shared" si="4"/>
        <v>348099882000.01001</v>
      </c>
      <c r="S50" s="160">
        <f t="shared" si="5"/>
        <v>591129.30257040251</v>
      </c>
      <c r="T50" s="160">
        <f t="shared" si="6"/>
        <v>2.0537889557001773E+17</v>
      </c>
      <c r="U50" s="160">
        <f t="shared" si="7"/>
        <v>1.211735278484209E+23</v>
      </c>
      <c r="V50" s="160">
        <f t="shared" si="8"/>
        <v>348766229403.60724</v>
      </c>
    </row>
    <row r="51" spans="1:22" x14ac:dyDescent="0.3">
      <c r="A51" s="160">
        <v>39</v>
      </c>
      <c r="B51" s="62">
        <v>589999.9</v>
      </c>
      <c r="C51" s="62">
        <v>99.225970000000004</v>
      </c>
      <c r="D51" s="62">
        <v>-0.26229259999999999</v>
      </c>
      <c r="E51" s="62">
        <v>0</v>
      </c>
      <c r="F51" s="62">
        <v>0</v>
      </c>
      <c r="G51" s="62">
        <v>2</v>
      </c>
      <c r="M51" s="160">
        <f t="shared" si="12"/>
        <v>99.213341</v>
      </c>
      <c r="N51" s="160">
        <f t="shared" si="14"/>
        <v>39</v>
      </c>
      <c r="O51" s="160">
        <f t="shared" si="13"/>
        <v>589999.9</v>
      </c>
      <c r="P51" s="160">
        <f t="shared" si="2"/>
        <v>1</v>
      </c>
      <c r="Q51" s="160">
        <f t="shared" si="3"/>
        <v>1.0017003811861294</v>
      </c>
      <c r="R51" s="160">
        <f t="shared" si="4"/>
        <v>348099882000.01001</v>
      </c>
      <c r="S51" s="160">
        <f t="shared" si="5"/>
        <v>591003.12472977827</v>
      </c>
      <c r="T51" s="160">
        <f t="shared" si="6"/>
        <v>2.0537889557001773E+17</v>
      </c>
      <c r="U51" s="160">
        <f t="shared" si="7"/>
        <v>1.211735278484209E+23</v>
      </c>
      <c r="V51" s="160">
        <f t="shared" si="8"/>
        <v>348691784490.25665</v>
      </c>
    </row>
    <row r="52" spans="1:22" x14ac:dyDescent="0.3">
      <c r="A52" s="160">
        <v>40</v>
      </c>
      <c r="B52" s="62">
        <v>589999.9</v>
      </c>
      <c r="C52" s="62">
        <v>99.222809999999996</v>
      </c>
      <c r="D52" s="62">
        <v>-0.26379960000000002</v>
      </c>
      <c r="E52" s="62">
        <v>0</v>
      </c>
      <c r="F52" s="62">
        <v>0</v>
      </c>
      <c r="G52" s="62">
        <v>2</v>
      </c>
      <c r="M52" s="160">
        <f t="shared" si="12"/>
        <v>99.213341</v>
      </c>
      <c r="N52" s="160">
        <f t="shared" si="14"/>
        <v>40</v>
      </c>
      <c r="O52" s="160">
        <f t="shared" si="13"/>
        <v>589999.9</v>
      </c>
      <c r="P52" s="160">
        <f t="shared" si="2"/>
        <v>1</v>
      </c>
      <c r="Q52" s="160">
        <f t="shared" si="3"/>
        <v>1.0017322828547535</v>
      </c>
      <c r="R52" s="160">
        <f t="shared" si="4"/>
        <v>348099882000.01001</v>
      </c>
      <c r="S52" s="160">
        <f t="shared" si="5"/>
        <v>591021.94671107631</v>
      </c>
      <c r="T52" s="160">
        <f t="shared" si="6"/>
        <v>2.0537889557001773E+17</v>
      </c>
      <c r="U52" s="160">
        <f t="shared" si="7"/>
        <v>1.211735278484209E+23</v>
      </c>
      <c r="V52" s="160">
        <f t="shared" si="8"/>
        <v>348702889457.34033</v>
      </c>
    </row>
    <row r="53" spans="1:22" x14ac:dyDescent="0.3">
      <c r="A53" s="160">
        <v>41</v>
      </c>
      <c r="B53" s="62">
        <v>460000</v>
      </c>
      <c r="C53" s="62">
        <v>99.403139999999993</v>
      </c>
      <c r="D53" s="62">
        <v>-0.47704479999999999</v>
      </c>
      <c r="E53" s="62">
        <v>0</v>
      </c>
      <c r="F53" s="62">
        <v>0</v>
      </c>
      <c r="G53" s="62">
        <v>2</v>
      </c>
      <c r="M53" s="160">
        <f>AVERAGE(C53:C62)</f>
        <v>99.387019999999993</v>
      </c>
      <c r="N53" s="160">
        <f t="shared" si="14"/>
        <v>41</v>
      </c>
      <c r="O53" s="160">
        <f t="shared" si="13"/>
        <v>460000</v>
      </c>
      <c r="P53" s="160">
        <f t="shared" si="2"/>
        <v>1</v>
      </c>
      <c r="Q53" s="160">
        <f t="shared" si="3"/>
        <v>1.0016654246384309</v>
      </c>
      <c r="R53" s="160">
        <f t="shared" si="4"/>
        <v>211600000000</v>
      </c>
      <c r="S53" s="160">
        <f t="shared" si="5"/>
        <v>460766.09533367818</v>
      </c>
      <c r="T53" s="160">
        <f t="shared" si="6"/>
        <v>9.7336E+16</v>
      </c>
      <c r="U53" s="160">
        <f t="shared" si="7"/>
        <v>4.4774559999999999E+22</v>
      </c>
      <c r="V53" s="160">
        <f t="shared" si="8"/>
        <v>211952403853.49197</v>
      </c>
    </row>
    <row r="54" spans="1:22" x14ac:dyDescent="0.3">
      <c r="A54" s="160">
        <v>42</v>
      </c>
      <c r="B54" s="62">
        <v>460000</v>
      </c>
      <c r="C54" s="62">
        <v>99.376890000000003</v>
      </c>
      <c r="D54" s="62">
        <v>-0.46020840000000002</v>
      </c>
      <c r="E54" s="62">
        <v>0</v>
      </c>
      <c r="F54" s="62">
        <v>0</v>
      </c>
      <c r="G54" s="62">
        <v>2</v>
      </c>
      <c r="M54" s="160">
        <f>M53</f>
        <v>99.387019999999993</v>
      </c>
      <c r="N54" s="160">
        <f t="shared" si="14"/>
        <v>42</v>
      </c>
      <c r="O54" s="160">
        <f t="shared" si="13"/>
        <v>460000</v>
      </c>
      <c r="P54" s="160">
        <f t="shared" si="2"/>
        <v>1</v>
      </c>
      <c r="Q54" s="160">
        <f t="shared" si="3"/>
        <v>1.0019300104731932</v>
      </c>
      <c r="R54" s="160">
        <f t="shared" si="4"/>
        <v>211600000000</v>
      </c>
      <c r="S54" s="160">
        <f t="shared" si="5"/>
        <v>460887.80481766886</v>
      </c>
      <c r="T54" s="160">
        <f t="shared" si="6"/>
        <v>9.7336E+16</v>
      </c>
      <c r="U54" s="160">
        <f t="shared" si="7"/>
        <v>4.4774559999999999E+22</v>
      </c>
      <c r="V54" s="160">
        <f t="shared" si="8"/>
        <v>212008390216.12769</v>
      </c>
    </row>
    <row r="55" spans="1:22" x14ac:dyDescent="0.3">
      <c r="A55" s="160">
        <v>43</v>
      </c>
      <c r="B55" s="62">
        <v>460000</v>
      </c>
      <c r="C55" s="62">
        <v>99.377930000000006</v>
      </c>
      <c r="D55" s="62">
        <v>-0.47025650000000002</v>
      </c>
      <c r="E55" s="62">
        <v>0</v>
      </c>
      <c r="F55" s="62">
        <v>0</v>
      </c>
      <c r="G55" s="62">
        <v>2</v>
      </c>
      <c r="M55" s="160">
        <f t="shared" ref="M55:M62" si="15">M54</f>
        <v>99.387019999999993</v>
      </c>
      <c r="N55" s="160">
        <f t="shared" si="14"/>
        <v>43</v>
      </c>
      <c r="O55" s="160">
        <f t="shared" si="13"/>
        <v>460000</v>
      </c>
      <c r="P55" s="160">
        <f t="shared" si="2"/>
        <v>1</v>
      </c>
      <c r="Q55" s="160">
        <f t="shared" si="3"/>
        <v>1.0019195251751911</v>
      </c>
      <c r="R55" s="160">
        <f t="shared" si="4"/>
        <v>211600000000</v>
      </c>
      <c r="S55" s="160">
        <f t="shared" si="5"/>
        <v>460882.98158058792</v>
      </c>
      <c r="T55" s="160">
        <f t="shared" si="6"/>
        <v>9.7336E+16</v>
      </c>
      <c r="U55" s="160">
        <f t="shared" si="7"/>
        <v>4.4774559999999999E+22</v>
      </c>
      <c r="V55" s="160">
        <f t="shared" si="8"/>
        <v>212006171527.07043</v>
      </c>
    </row>
    <row r="56" spans="1:22" x14ac:dyDescent="0.3">
      <c r="A56" s="160">
        <v>44</v>
      </c>
      <c r="B56" s="62">
        <v>460000</v>
      </c>
      <c r="C56" s="62">
        <v>99.378990000000002</v>
      </c>
      <c r="D56" s="62">
        <v>-0.4645415</v>
      </c>
      <c r="E56" s="62">
        <v>0</v>
      </c>
      <c r="F56" s="62">
        <v>0</v>
      </c>
      <c r="G56" s="62">
        <v>2</v>
      </c>
      <c r="M56" s="160">
        <f t="shared" si="15"/>
        <v>99.387019999999993</v>
      </c>
      <c r="N56" s="160">
        <f t="shared" si="14"/>
        <v>44</v>
      </c>
      <c r="O56" s="160">
        <f t="shared" si="13"/>
        <v>460000</v>
      </c>
      <c r="P56" s="160">
        <f t="shared" si="2"/>
        <v>1</v>
      </c>
      <c r="Q56" s="160">
        <f t="shared" si="3"/>
        <v>1.0019088384626709</v>
      </c>
      <c r="R56" s="160">
        <f t="shared" si="4"/>
        <v>211600000000</v>
      </c>
      <c r="S56" s="160">
        <f t="shared" si="5"/>
        <v>460878.06569282862</v>
      </c>
      <c r="T56" s="160">
        <f t="shared" si="6"/>
        <v>9.7336E+16</v>
      </c>
      <c r="U56" s="160">
        <f t="shared" si="7"/>
        <v>4.4774559999999999E+22</v>
      </c>
      <c r="V56" s="160">
        <f t="shared" si="8"/>
        <v>212003910218.70114</v>
      </c>
    </row>
    <row r="57" spans="1:22" x14ac:dyDescent="0.3">
      <c r="A57" s="160">
        <v>45</v>
      </c>
      <c r="B57" s="62">
        <v>460000</v>
      </c>
      <c r="C57" s="62">
        <v>99.385900000000007</v>
      </c>
      <c r="D57" s="62">
        <v>-0.46124369999999998</v>
      </c>
      <c r="E57" s="62">
        <v>0</v>
      </c>
      <c r="F57" s="62">
        <v>0</v>
      </c>
      <c r="G57" s="62">
        <v>2</v>
      </c>
      <c r="M57" s="160">
        <f t="shared" si="15"/>
        <v>99.387019999999993</v>
      </c>
      <c r="N57" s="160">
        <f t="shared" si="14"/>
        <v>45</v>
      </c>
      <c r="O57" s="160">
        <f t="shared" si="13"/>
        <v>460000</v>
      </c>
      <c r="P57" s="160">
        <f t="shared" si="2"/>
        <v>1</v>
      </c>
      <c r="Q57" s="160">
        <f t="shared" si="3"/>
        <v>1.001839178781833</v>
      </c>
      <c r="R57" s="160">
        <f t="shared" si="4"/>
        <v>211600000000</v>
      </c>
      <c r="S57" s="160">
        <f t="shared" si="5"/>
        <v>460846.02223964321</v>
      </c>
      <c r="T57" s="160">
        <f t="shared" si="6"/>
        <v>9.7336E+16</v>
      </c>
      <c r="U57" s="160">
        <f t="shared" si="7"/>
        <v>4.4774559999999999E+22</v>
      </c>
      <c r="V57" s="160">
        <f t="shared" si="8"/>
        <v>211989170230.23587</v>
      </c>
    </row>
    <row r="58" spans="1:22" x14ac:dyDescent="0.3">
      <c r="A58" s="160">
        <v>46</v>
      </c>
      <c r="B58" s="62">
        <v>460000</v>
      </c>
      <c r="C58" s="62">
        <v>99.393770000000004</v>
      </c>
      <c r="D58" s="62">
        <v>-0.47256009999999998</v>
      </c>
      <c r="E58" s="62">
        <v>0</v>
      </c>
      <c r="F58" s="62">
        <v>0</v>
      </c>
      <c r="G58" s="62">
        <v>2</v>
      </c>
      <c r="M58" s="160">
        <f t="shared" si="15"/>
        <v>99.387019999999993</v>
      </c>
      <c r="N58" s="160">
        <f t="shared" si="14"/>
        <v>46</v>
      </c>
      <c r="O58" s="160">
        <f t="shared" si="13"/>
        <v>460000</v>
      </c>
      <c r="P58" s="160">
        <f t="shared" si="2"/>
        <v>1</v>
      </c>
      <c r="Q58" s="160">
        <f t="shared" si="3"/>
        <v>1.0017598531426404</v>
      </c>
      <c r="R58" s="160">
        <f t="shared" si="4"/>
        <v>211600000000</v>
      </c>
      <c r="S58" s="160">
        <f t="shared" si="5"/>
        <v>460809.53244561458</v>
      </c>
      <c r="T58" s="160">
        <f t="shared" si="6"/>
        <v>9.7336E+16</v>
      </c>
      <c r="U58" s="160">
        <f t="shared" si="7"/>
        <v>4.4774559999999999E+22</v>
      </c>
      <c r="V58" s="160">
        <f t="shared" si="8"/>
        <v>211972384924.9827</v>
      </c>
    </row>
    <row r="59" spans="1:22" x14ac:dyDescent="0.3">
      <c r="A59" s="160">
        <v>47</v>
      </c>
      <c r="B59" s="62">
        <v>460000</v>
      </c>
      <c r="C59" s="62">
        <v>99.394540000000006</v>
      </c>
      <c r="D59" s="62">
        <v>-0.46568120000000002</v>
      </c>
      <c r="E59" s="62">
        <v>0</v>
      </c>
      <c r="F59" s="62">
        <v>0</v>
      </c>
      <c r="G59" s="62">
        <v>2</v>
      </c>
      <c r="M59" s="160">
        <f t="shared" si="15"/>
        <v>99.387019999999993</v>
      </c>
      <c r="N59" s="160">
        <f t="shared" si="14"/>
        <v>47</v>
      </c>
      <c r="O59" s="160">
        <f t="shared" si="13"/>
        <v>460000</v>
      </c>
      <c r="P59" s="160">
        <f t="shared" si="2"/>
        <v>1</v>
      </c>
      <c r="Q59" s="160">
        <f t="shared" si="3"/>
        <v>1.0017520926048189</v>
      </c>
      <c r="R59" s="160">
        <f t="shared" si="4"/>
        <v>211600000000</v>
      </c>
      <c r="S59" s="160">
        <f t="shared" si="5"/>
        <v>460805.96259821672</v>
      </c>
      <c r="T59" s="160">
        <f t="shared" si="6"/>
        <v>9.7336E+16</v>
      </c>
      <c r="U59" s="160">
        <f t="shared" si="7"/>
        <v>4.4774559999999999E+22</v>
      </c>
      <c r="V59" s="160">
        <f t="shared" si="8"/>
        <v>211970742795.17969</v>
      </c>
    </row>
    <row r="60" spans="1:22" x14ac:dyDescent="0.3">
      <c r="A60" s="160">
        <v>48</v>
      </c>
      <c r="B60" s="62">
        <v>460000</v>
      </c>
      <c r="C60" s="62">
        <v>99.374420000000001</v>
      </c>
      <c r="D60" s="62">
        <v>-0.46273690000000001</v>
      </c>
      <c r="E60" s="62">
        <v>0</v>
      </c>
      <c r="F60" s="62">
        <v>0</v>
      </c>
      <c r="G60" s="62">
        <v>2</v>
      </c>
      <c r="M60" s="160">
        <f t="shared" si="15"/>
        <v>99.387019999999993</v>
      </c>
      <c r="N60" s="160">
        <f t="shared" si="14"/>
        <v>48</v>
      </c>
      <c r="O60" s="160">
        <f t="shared" si="13"/>
        <v>460000</v>
      </c>
      <c r="P60" s="160">
        <f t="shared" si="2"/>
        <v>1</v>
      </c>
      <c r="Q60" s="160">
        <f t="shared" si="3"/>
        <v>1.0019549139355317</v>
      </c>
      <c r="R60" s="160">
        <f t="shared" si="4"/>
        <v>211600000000</v>
      </c>
      <c r="S60" s="160">
        <f t="shared" si="5"/>
        <v>460899.26041034458</v>
      </c>
      <c r="T60" s="160">
        <f t="shared" si="6"/>
        <v>9.7336E+16</v>
      </c>
      <c r="U60" s="160">
        <f t="shared" si="7"/>
        <v>4.4774559999999999E+22</v>
      </c>
      <c r="V60" s="160">
        <f t="shared" si="8"/>
        <v>212013659788.75851</v>
      </c>
    </row>
    <row r="61" spans="1:22" x14ac:dyDescent="0.3">
      <c r="A61" s="160">
        <v>49</v>
      </c>
      <c r="B61" s="62">
        <v>460000</v>
      </c>
      <c r="C61" s="62">
        <v>99.399709999999999</v>
      </c>
      <c r="D61" s="62">
        <v>-0.46314169999999999</v>
      </c>
      <c r="E61" s="62">
        <v>0</v>
      </c>
      <c r="F61" s="62">
        <v>0</v>
      </c>
      <c r="G61" s="62">
        <v>2</v>
      </c>
      <c r="M61" s="160">
        <f t="shared" si="15"/>
        <v>99.387019999999993</v>
      </c>
      <c r="N61" s="160">
        <f t="shared" si="14"/>
        <v>49</v>
      </c>
      <c r="O61" s="160">
        <f t="shared" si="13"/>
        <v>460000</v>
      </c>
      <c r="P61" s="160">
        <f t="shared" si="2"/>
        <v>1</v>
      </c>
      <c r="Q61" s="160">
        <f t="shared" si="3"/>
        <v>1.001699989250405</v>
      </c>
      <c r="R61" s="160">
        <f t="shared" si="4"/>
        <v>211600000000</v>
      </c>
      <c r="S61" s="160">
        <f t="shared" si="5"/>
        <v>460781.99505518633</v>
      </c>
      <c r="T61" s="160">
        <f t="shared" si="6"/>
        <v>9.7336E+16</v>
      </c>
      <c r="U61" s="160">
        <f t="shared" si="7"/>
        <v>4.4774559999999999E+22</v>
      </c>
      <c r="V61" s="160">
        <f t="shared" si="8"/>
        <v>211959717725.38571</v>
      </c>
    </row>
    <row r="62" spans="1:22" x14ac:dyDescent="0.3">
      <c r="A62" s="160">
        <v>50</v>
      </c>
      <c r="B62" s="62">
        <v>460000</v>
      </c>
      <c r="C62" s="62">
        <v>99.384910000000005</v>
      </c>
      <c r="D62" s="62">
        <v>-0.46948790000000001</v>
      </c>
      <c r="E62" s="62">
        <v>0</v>
      </c>
      <c r="F62" s="62">
        <v>0</v>
      </c>
      <c r="G62" s="62">
        <v>2</v>
      </c>
      <c r="M62" s="160">
        <f t="shared" si="15"/>
        <v>99.387019999999993</v>
      </c>
      <c r="N62" s="160">
        <f t="shared" si="14"/>
        <v>50</v>
      </c>
      <c r="O62" s="160">
        <f t="shared" si="13"/>
        <v>460000</v>
      </c>
      <c r="P62" s="160">
        <f t="shared" si="2"/>
        <v>1</v>
      </c>
      <c r="Q62" s="160">
        <f t="shared" si="3"/>
        <v>1.0018491583731712</v>
      </c>
      <c r="R62" s="160">
        <f t="shared" si="4"/>
        <v>211600000000</v>
      </c>
      <c r="S62" s="160">
        <f t="shared" si="5"/>
        <v>460850.61285165878</v>
      </c>
      <c r="T62" s="160">
        <f t="shared" si="6"/>
        <v>9.7336E+16</v>
      </c>
      <c r="U62" s="160">
        <f t="shared" si="7"/>
        <v>4.4774559999999999E+22</v>
      </c>
      <c r="V62" s="160">
        <f t="shared" si="8"/>
        <v>211991281911.76303</v>
      </c>
    </row>
    <row r="63" spans="1:22" x14ac:dyDescent="0.3">
      <c r="A63" s="160">
        <v>51</v>
      </c>
      <c r="B63" s="62">
        <v>319999.90000000002</v>
      </c>
      <c r="C63" s="62">
        <v>99.734160000000003</v>
      </c>
      <c r="D63" s="62">
        <v>-0.48147180000000001</v>
      </c>
      <c r="E63" s="62">
        <v>0</v>
      </c>
      <c r="F63" s="62">
        <v>0</v>
      </c>
      <c r="G63" s="62">
        <v>2</v>
      </c>
      <c r="M63" s="160">
        <f>AVERAGE(C63:C72)</f>
        <v>99.741448000000005</v>
      </c>
      <c r="N63" s="160">
        <f t="shared" si="14"/>
        <v>51</v>
      </c>
      <c r="O63" s="160">
        <f t="shared" si="13"/>
        <v>319999.90000000002</v>
      </c>
      <c r="P63" s="160">
        <f t="shared" si="2"/>
        <v>1</v>
      </c>
      <c r="Q63" s="160">
        <f t="shared" si="3"/>
        <v>1.0019010968110462</v>
      </c>
      <c r="R63" s="160">
        <f t="shared" si="4"/>
        <v>102399936000.01001</v>
      </c>
      <c r="S63" s="160">
        <f t="shared" si="5"/>
        <v>320608.25078942516</v>
      </c>
      <c r="T63" s="160">
        <f t="shared" si="6"/>
        <v>3.2767969280009604E+16</v>
      </c>
      <c r="U63" s="160">
        <f t="shared" si="7"/>
        <v>1.0485746892806147E+22</v>
      </c>
      <c r="V63" s="160">
        <f t="shared" si="8"/>
        <v>102594608191.79097</v>
      </c>
    </row>
    <row r="64" spans="1:22" x14ac:dyDescent="0.3">
      <c r="A64" s="160">
        <v>52</v>
      </c>
      <c r="B64" s="62">
        <v>319999.90000000002</v>
      </c>
      <c r="C64" s="62">
        <v>99.750410000000002</v>
      </c>
      <c r="D64" s="62">
        <v>-0.4774137</v>
      </c>
      <c r="E64" s="62">
        <v>0</v>
      </c>
      <c r="F64" s="62">
        <v>0</v>
      </c>
      <c r="G64" s="62">
        <v>2</v>
      </c>
      <c r="M64" s="160">
        <f>M63</f>
        <v>99.741448000000005</v>
      </c>
      <c r="N64" s="160">
        <f t="shared" si="14"/>
        <v>52</v>
      </c>
      <c r="O64" s="160">
        <f t="shared" si="13"/>
        <v>319999.90000000002</v>
      </c>
      <c r="P64" s="160">
        <f t="shared" si="2"/>
        <v>1</v>
      </c>
      <c r="Q64" s="160">
        <f t="shared" si="3"/>
        <v>1.0017378805112516</v>
      </c>
      <c r="R64" s="160">
        <f t="shared" si="4"/>
        <v>102399936000.01001</v>
      </c>
      <c r="S64" s="160">
        <f t="shared" si="5"/>
        <v>320556.02158981247</v>
      </c>
      <c r="T64" s="160">
        <f t="shared" si="6"/>
        <v>3.2767969280009604E+16</v>
      </c>
      <c r="U64" s="160">
        <f t="shared" si="7"/>
        <v>1.0485746892806147E+22</v>
      </c>
      <c r="V64" s="160">
        <f t="shared" si="8"/>
        <v>102577894853.13783</v>
      </c>
    </row>
    <row r="65" spans="1:22" x14ac:dyDescent="0.3">
      <c r="A65" s="160">
        <v>53</v>
      </c>
      <c r="B65" s="62">
        <v>319999.90000000002</v>
      </c>
      <c r="C65" s="62">
        <v>99.729820000000004</v>
      </c>
      <c r="D65" s="62">
        <v>-0.4725782</v>
      </c>
      <c r="E65" s="62">
        <v>0</v>
      </c>
      <c r="F65" s="62">
        <v>0</v>
      </c>
      <c r="G65" s="62">
        <v>2</v>
      </c>
      <c r="M65" s="160">
        <f t="shared" ref="M65:M72" si="16">M64</f>
        <v>99.741448000000005</v>
      </c>
      <c r="N65" s="160">
        <f t="shared" si="14"/>
        <v>53</v>
      </c>
      <c r="O65" s="160">
        <f t="shared" si="13"/>
        <v>319999.90000000002</v>
      </c>
      <c r="P65" s="160">
        <f t="shared" si="2"/>
        <v>1</v>
      </c>
      <c r="Q65" s="160">
        <f t="shared" si="3"/>
        <v>1.0019446971179571</v>
      </c>
      <c r="R65" s="160">
        <f t="shared" si="4"/>
        <v>102399936000.01001</v>
      </c>
      <c r="S65" s="160">
        <f t="shared" si="5"/>
        <v>320622.20288327656</v>
      </c>
      <c r="T65" s="160">
        <f t="shared" si="6"/>
        <v>3.2767969280009604E+16</v>
      </c>
      <c r="U65" s="160">
        <f t="shared" si="7"/>
        <v>1.0485746892806147E+22</v>
      </c>
      <c r="V65" s="160">
        <f t="shared" si="8"/>
        <v>102599072860.42822</v>
      </c>
    </row>
    <row r="66" spans="1:22" x14ac:dyDescent="0.3">
      <c r="A66" s="160">
        <v>54</v>
      </c>
      <c r="B66" s="62">
        <v>319999.90000000002</v>
      </c>
      <c r="C66" s="62">
        <v>99.717010000000002</v>
      </c>
      <c r="D66" s="62">
        <v>-0.47038449999999998</v>
      </c>
      <c r="E66" s="62">
        <v>0</v>
      </c>
      <c r="F66" s="62">
        <v>0</v>
      </c>
      <c r="G66" s="62">
        <v>2</v>
      </c>
      <c r="M66" s="160">
        <f t="shared" si="16"/>
        <v>99.741448000000005</v>
      </c>
      <c r="N66" s="160">
        <f t="shared" si="14"/>
        <v>54</v>
      </c>
      <c r="O66" s="160">
        <f t="shared" si="13"/>
        <v>319999.90000000002</v>
      </c>
      <c r="P66" s="160">
        <f t="shared" si="2"/>
        <v>1</v>
      </c>
      <c r="Q66" s="160">
        <f t="shared" si="3"/>
        <v>1.0020734104795999</v>
      </c>
      <c r="R66" s="160">
        <f t="shared" si="4"/>
        <v>102399936000.01001</v>
      </c>
      <c r="S66" s="160">
        <f t="shared" si="5"/>
        <v>320663.39114613092</v>
      </c>
      <c r="T66" s="160">
        <f t="shared" si="6"/>
        <v>3.2767969280009604E+16</v>
      </c>
      <c r="U66" s="160">
        <f t="shared" si="7"/>
        <v>1.0485746892806147E+22</v>
      </c>
      <c r="V66" s="160">
        <f t="shared" si="8"/>
        <v>102612253100.42279</v>
      </c>
    </row>
    <row r="67" spans="1:22" x14ac:dyDescent="0.3">
      <c r="A67" s="160">
        <v>55</v>
      </c>
      <c r="B67" s="62">
        <v>319999.90000000002</v>
      </c>
      <c r="C67" s="62">
        <v>99.743250000000003</v>
      </c>
      <c r="D67" s="62">
        <v>-0.4758212</v>
      </c>
      <c r="E67" s="62">
        <v>0</v>
      </c>
      <c r="F67" s="62">
        <v>0</v>
      </c>
      <c r="G67" s="62">
        <v>2</v>
      </c>
      <c r="M67" s="160">
        <f t="shared" si="16"/>
        <v>99.741448000000005</v>
      </c>
      <c r="N67" s="160">
        <f t="shared" si="14"/>
        <v>55</v>
      </c>
      <c r="O67" s="160">
        <f t="shared" si="13"/>
        <v>319999.90000000002</v>
      </c>
      <c r="P67" s="160">
        <f t="shared" si="2"/>
        <v>1</v>
      </c>
      <c r="Q67" s="160">
        <f t="shared" si="3"/>
        <v>1.0018097895700047</v>
      </c>
      <c r="R67" s="160">
        <f t="shared" si="4"/>
        <v>102399936000.01001</v>
      </c>
      <c r="S67" s="160">
        <f t="shared" si="5"/>
        <v>320579.03248142253</v>
      </c>
      <c r="T67" s="160">
        <f t="shared" si="6"/>
        <v>3.2767969280009604E+16</v>
      </c>
      <c r="U67" s="160">
        <f t="shared" si="7"/>
        <v>1.0485746892806147E+22</v>
      </c>
      <c r="V67" s="160">
        <f t="shared" si="8"/>
        <v>102585258336.15198</v>
      </c>
    </row>
    <row r="68" spans="1:22" x14ac:dyDescent="0.3">
      <c r="A68" s="160">
        <v>56</v>
      </c>
      <c r="B68" s="62">
        <v>319999.90000000002</v>
      </c>
      <c r="C68" s="62">
        <v>99.749750000000006</v>
      </c>
      <c r="D68" s="62">
        <v>-0.48183409999999999</v>
      </c>
      <c r="E68" s="62">
        <v>0</v>
      </c>
      <c r="F68" s="62">
        <v>0</v>
      </c>
      <c r="G68" s="62">
        <v>2</v>
      </c>
      <c r="M68" s="160">
        <f t="shared" si="16"/>
        <v>99.741448000000005</v>
      </c>
      <c r="N68" s="160">
        <f t="shared" si="14"/>
        <v>56</v>
      </c>
      <c r="O68" s="160">
        <f t="shared" si="13"/>
        <v>319999.90000000002</v>
      </c>
      <c r="P68" s="160">
        <f t="shared" si="2"/>
        <v>1</v>
      </c>
      <c r="Q68" s="160">
        <f t="shared" si="3"/>
        <v>1.001744508567975</v>
      </c>
      <c r="R68" s="160">
        <f t="shared" si="4"/>
        <v>102399936000.01001</v>
      </c>
      <c r="S68" s="160">
        <f t="shared" si="5"/>
        <v>320558.14256730117</v>
      </c>
      <c r="T68" s="160">
        <f t="shared" si="6"/>
        <v>3.2767969280009604E+16</v>
      </c>
      <c r="U68" s="160">
        <f t="shared" si="7"/>
        <v>1.0485746892806147E+22</v>
      </c>
      <c r="V68" s="160">
        <f t="shared" si="8"/>
        <v>102578573565.72212</v>
      </c>
    </row>
    <row r="69" spans="1:22" x14ac:dyDescent="0.3">
      <c r="A69" s="160">
        <v>57</v>
      </c>
      <c r="B69" s="62">
        <v>319999.90000000002</v>
      </c>
      <c r="C69" s="62">
        <v>99.750129999999999</v>
      </c>
      <c r="D69" s="62">
        <v>-0.4809717</v>
      </c>
      <c r="E69" s="62">
        <v>0</v>
      </c>
      <c r="F69" s="62">
        <v>0</v>
      </c>
      <c r="G69" s="62">
        <v>2</v>
      </c>
      <c r="M69" s="160">
        <f t="shared" si="16"/>
        <v>99.741448000000005</v>
      </c>
      <c r="N69" s="160">
        <f t="shared" si="14"/>
        <v>57</v>
      </c>
      <c r="O69" s="160">
        <f t="shared" si="13"/>
        <v>319999.90000000002</v>
      </c>
      <c r="P69" s="160">
        <f t="shared" si="2"/>
        <v>1</v>
      </c>
      <c r="Q69" s="160">
        <f t="shared" si="3"/>
        <v>1.001740692403392</v>
      </c>
      <c r="R69" s="160">
        <f t="shared" si="4"/>
        <v>102399936000.01001</v>
      </c>
      <c r="S69" s="160">
        <f t="shared" si="5"/>
        <v>320556.92139501625</v>
      </c>
      <c r="T69" s="160">
        <f t="shared" si="6"/>
        <v>3.2767969280009604E+16</v>
      </c>
      <c r="U69" s="160">
        <f t="shared" si="7"/>
        <v>1.0485746892806147E+22</v>
      </c>
      <c r="V69" s="160">
        <f t="shared" si="8"/>
        <v>102578182790.71306</v>
      </c>
    </row>
    <row r="70" spans="1:22" x14ac:dyDescent="0.3">
      <c r="A70" s="160">
        <v>58</v>
      </c>
      <c r="B70" s="62">
        <v>319999.90000000002</v>
      </c>
      <c r="C70" s="62">
        <v>99.755420000000001</v>
      </c>
      <c r="D70" s="62">
        <v>-0.46437109999999998</v>
      </c>
      <c r="E70" s="62">
        <v>0</v>
      </c>
      <c r="F70" s="62">
        <v>0</v>
      </c>
      <c r="G70" s="62">
        <v>2</v>
      </c>
      <c r="M70" s="160">
        <f t="shared" si="16"/>
        <v>99.741448000000005</v>
      </c>
      <c r="N70" s="160">
        <f t="shared" si="14"/>
        <v>58</v>
      </c>
      <c r="O70" s="160">
        <f t="shared" si="13"/>
        <v>319999.90000000002</v>
      </c>
      <c r="P70" s="160">
        <f t="shared" si="2"/>
        <v>1</v>
      </c>
      <c r="Q70" s="160">
        <f t="shared" si="3"/>
        <v>1.0016875703949557</v>
      </c>
      <c r="R70" s="160">
        <f t="shared" si="4"/>
        <v>102399936000.01001</v>
      </c>
      <c r="S70" s="160">
        <f t="shared" si="5"/>
        <v>320539.92235762882</v>
      </c>
      <c r="T70" s="160">
        <f t="shared" si="6"/>
        <v>3.2767969280009604E+16</v>
      </c>
      <c r="U70" s="160">
        <f t="shared" si="7"/>
        <v>1.0485746892806147E+22</v>
      </c>
      <c r="V70" s="160">
        <f t="shared" si="8"/>
        <v>102572743100.44899</v>
      </c>
    </row>
    <row r="71" spans="1:22" x14ac:dyDescent="0.3">
      <c r="A71" s="160">
        <v>59</v>
      </c>
      <c r="B71" s="62">
        <v>319999.90000000002</v>
      </c>
      <c r="C71" s="62">
        <v>99.753839999999997</v>
      </c>
      <c r="D71" s="62">
        <v>-0.47417120000000001</v>
      </c>
      <c r="E71" s="62">
        <v>0</v>
      </c>
      <c r="F71" s="62">
        <v>0</v>
      </c>
      <c r="G71" s="62">
        <v>2</v>
      </c>
      <c r="M71" s="160">
        <f t="shared" si="16"/>
        <v>99.741448000000005</v>
      </c>
      <c r="N71" s="160">
        <f t="shared" si="14"/>
        <v>59</v>
      </c>
      <c r="O71" s="160">
        <f t="shared" si="13"/>
        <v>319999.90000000002</v>
      </c>
      <c r="P71" s="160">
        <f t="shared" si="2"/>
        <v>1</v>
      </c>
      <c r="Q71" s="160">
        <f t="shared" si="3"/>
        <v>1.001703436113621</v>
      </c>
      <c r="R71" s="160">
        <f t="shared" si="4"/>
        <v>102399936000.01001</v>
      </c>
      <c r="S71" s="160">
        <f t="shared" si="5"/>
        <v>320544.99938601512</v>
      </c>
      <c r="T71" s="160">
        <f t="shared" si="6"/>
        <v>3.2767969280009604E+16</v>
      </c>
      <c r="U71" s="160">
        <f t="shared" si="7"/>
        <v>1.0485746892806147E+22</v>
      </c>
      <c r="V71" s="160">
        <f t="shared" si="8"/>
        <v>102574367749.0249</v>
      </c>
    </row>
    <row r="72" spans="1:22" x14ac:dyDescent="0.3">
      <c r="A72" s="160">
        <v>60</v>
      </c>
      <c r="B72" s="62">
        <v>319999.90000000002</v>
      </c>
      <c r="C72" s="62">
        <v>99.730689999999996</v>
      </c>
      <c r="D72" s="62">
        <v>-0.47577760000000002</v>
      </c>
      <c r="E72" s="62">
        <v>0</v>
      </c>
      <c r="F72" s="62">
        <v>0</v>
      </c>
      <c r="G72" s="62">
        <v>2</v>
      </c>
      <c r="M72" s="160">
        <f t="shared" si="16"/>
        <v>99.741448000000005</v>
      </c>
      <c r="N72" s="160">
        <f t="shared" si="14"/>
        <v>60</v>
      </c>
      <c r="O72" s="160">
        <f t="shared" si="13"/>
        <v>319999.90000000002</v>
      </c>
      <c r="P72" s="160">
        <f t="shared" si="2"/>
        <v>1</v>
      </c>
      <c r="Q72" s="160">
        <f t="shared" si="3"/>
        <v>1.0019359566601653</v>
      </c>
      <c r="R72" s="160">
        <f t="shared" si="4"/>
        <v>102399936000.01001</v>
      </c>
      <c r="S72" s="160">
        <f t="shared" si="5"/>
        <v>320619.40593765728</v>
      </c>
      <c r="T72" s="160">
        <f t="shared" si="6"/>
        <v>3.2767969280009604E+16</v>
      </c>
      <c r="U72" s="160">
        <f t="shared" si="7"/>
        <v>1.0485746892806147E+22</v>
      </c>
      <c r="V72" s="160">
        <f t="shared" si="8"/>
        <v>102598177838.10973</v>
      </c>
    </row>
    <row r="73" spans="1:22" x14ac:dyDescent="0.3">
      <c r="A73" s="160">
        <v>61</v>
      </c>
      <c r="B73" s="62">
        <v>190000</v>
      </c>
      <c r="C73" s="62">
        <v>99.99418</v>
      </c>
      <c r="D73" s="62">
        <v>-0.3182778</v>
      </c>
      <c r="E73" s="62">
        <v>0</v>
      </c>
      <c r="F73" s="62">
        <v>0</v>
      </c>
      <c r="G73" s="62">
        <v>2</v>
      </c>
      <c r="M73" s="160">
        <f>AVERAGE(C73:C82)</f>
        <v>100.01634800000001</v>
      </c>
      <c r="N73" s="160">
        <f t="shared" si="14"/>
        <v>61</v>
      </c>
      <c r="O73" s="160">
        <f t="shared" si="13"/>
        <v>190000</v>
      </c>
      <c r="P73" s="160">
        <f t="shared" si="2"/>
        <v>1</v>
      </c>
      <c r="Q73" s="160">
        <f t="shared" si="3"/>
        <v>1.0020499871113362</v>
      </c>
      <c r="R73" s="160">
        <f t="shared" si="4"/>
        <v>36100000000</v>
      </c>
      <c r="S73" s="160">
        <f t="shared" si="5"/>
        <v>190389.49755115388</v>
      </c>
      <c r="T73" s="160">
        <f t="shared" si="6"/>
        <v>6859000000000000</v>
      </c>
      <c r="U73" s="160">
        <f t="shared" si="7"/>
        <v>1.3032099999999999E+21</v>
      </c>
      <c r="V73" s="160">
        <f t="shared" si="8"/>
        <v>36174004534.719238</v>
      </c>
    </row>
    <row r="74" spans="1:22" x14ac:dyDescent="0.3">
      <c r="A74" s="160">
        <v>62</v>
      </c>
      <c r="B74" s="62">
        <v>190000</v>
      </c>
      <c r="C74" s="62">
        <v>100.0132</v>
      </c>
      <c r="D74" s="62">
        <v>-0.3270846</v>
      </c>
      <c r="E74" s="62">
        <v>0</v>
      </c>
      <c r="F74" s="62">
        <v>0</v>
      </c>
      <c r="G74" s="62">
        <v>2</v>
      </c>
      <c r="M74" s="160">
        <f>M73</f>
        <v>100.01634800000001</v>
      </c>
      <c r="N74" s="160">
        <f t="shared" si="14"/>
        <v>62</v>
      </c>
      <c r="O74" s="160">
        <f t="shared" si="13"/>
        <v>190000</v>
      </c>
      <c r="P74" s="160">
        <f t="shared" si="2"/>
        <v>1</v>
      </c>
      <c r="Q74" s="160">
        <f t="shared" si="3"/>
        <v>1.001859422358335</v>
      </c>
      <c r="R74" s="160">
        <f t="shared" si="4"/>
        <v>36100000000</v>
      </c>
      <c r="S74" s="160">
        <f t="shared" si="5"/>
        <v>190353.29024808365</v>
      </c>
      <c r="T74" s="160">
        <f t="shared" si="6"/>
        <v>6859000000000000</v>
      </c>
      <c r="U74" s="160">
        <f t="shared" si="7"/>
        <v>1.3032099999999999E+21</v>
      </c>
      <c r="V74" s="160">
        <f t="shared" si="8"/>
        <v>36167125147.135895</v>
      </c>
    </row>
    <row r="75" spans="1:22" x14ac:dyDescent="0.3">
      <c r="A75" s="160">
        <v>63</v>
      </c>
      <c r="B75" s="62">
        <v>190000</v>
      </c>
      <c r="C75" s="62">
        <v>100.0057</v>
      </c>
      <c r="D75" s="62">
        <v>-0.313137</v>
      </c>
      <c r="E75" s="62">
        <v>0</v>
      </c>
      <c r="F75" s="62">
        <v>0</v>
      </c>
      <c r="G75" s="62">
        <v>2</v>
      </c>
      <c r="M75" s="160">
        <f t="shared" ref="M75:M82" si="17">M74</f>
        <v>100.01634800000001</v>
      </c>
      <c r="N75" s="160">
        <f t="shared" si="14"/>
        <v>63</v>
      </c>
      <c r="O75" s="160">
        <f t="shared" si="13"/>
        <v>190000</v>
      </c>
      <c r="P75" s="160">
        <f t="shared" si="2"/>
        <v>1</v>
      </c>
      <c r="Q75" s="160">
        <f t="shared" si="3"/>
        <v>1.0019345575323071</v>
      </c>
      <c r="R75" s="160">
        <f t="shared" si="4"/>
        <v>36100000000</v>
      </c>
      <c r="S75" s="160">
        <f t="shared" si="5"/>
        <v>190367.56593113835</v>
      </c>
      <c r="T75" s="160">
        <f t="shared" si="6"/>
        <v>6859000000000000</v>
      </c>
      <c r="U75" s="160">
        <f t="shared" si="7"/>
        <v>1.3032099999999999E+21</v>
      </c>
      <c r="V75" s="160">
        <f t="shared" si="8"/>
        <v>36169837526.916283</v>
      </c>
    </row>
    <row r="76" spans="1:22" x14ac:dyDescent="0.3">
      <c r="A76" s="160">
        <v>64</v>
      </c>
      <c r="B76" s="62">
        <v>190000</v>
      </c>
      <c r="C76" s="62">
        <v>100.026</v>
      </c>
      <c r="D76" s="62">
        <v>-0.32003169999999997</v>
      </c>
      <c r="E76" s="62">
        <v>0</v>
      </c>
      <c r="F76" s="62">
        <v>0</v>
      </c>
      <c r="G76" s="62">
        <v>2</v>
      </c>
      <c r="M76" s="160">
        <f t="shared" si="17"/>
        <v>100.01634800000001</v>
      </c>
      <c r="N76" s="160">
        <f t="shared" si="14"/>
        <v>64</v>
      </c>
      <c r="O76" s="160">
        <f t="shared" si="13"/>
        <v>190000</v>
      </c>
      <c r="P76" s="160">
        <f t="shared" si="2"/>
        <v>1</v>
      </c>
      <c r="Q76" s="160">
        <f t="shared" si="3"/>
        <v>1.0017312176854882</v>
      </c>
      <c r="R76" s="160">
        <f t="shared" si="4"/>
        <v>36100000000</v>
      </c>
      <c r="S76" s="160">
        <f t="shared" si="5"/>
        <v>190328.93136024277</v>
      </c>
      <c r="T76" s="160">
        <f t="shared" si="6"/>
        <v>6859000000000000</v>
      </c>
      <c r="U76" s="160">
        <f t="shared" si="7"/>
        <v>1.3032099999999999E+21</v>
      </c>
      <c r="V76" s="160">
        <f t="shared" si="8"/>
        <v>36162496958.446129</v>
      </c>
    </row>
    <row r="77" spans="1:22" x14ac:dyDescent="0.3">
      <c r="A77" s="160">
        <v>65</v>
      </c>
      <c r="B77" s="62">
        <v>190000</v>
      </c>
      <c r="C77" s="62">
        <v>100.0235</v>
      </c>
      <c r="D77" s="62">
        <v>-0.31677729999999998</v>
      </c>
      <c r="E77" s="62">
        <v>0</v>
      </c>
      <c r="F77" s="62">
        <v>0</v>
      </c>
      <c r="G77" s="62">
        <v>2</v>
      </c>
      <c r="M77" s="160">
        <f t="shared" si="17"/>
        <v>100.01634800000001</v>
      </c>
      <c r="N77" s="160">
        <f t="shared" si="14"/>
        <v>65</v>
      </c>
      <c r="O77" s="160">
        <f t="shared" ref="O77:O92" si="18">VLOOKUP(N77,$A$13:$G$892,2)</f>
        <v>190000</v>
      </c>
      <c r="P77" s="160">
        <f t="shared" si="2"/>
        <v>1</v>
      </c>
      <c r="Q77" s="160">
        <f t="shared" si="3"/>
        <v>1.0017562550821422</v>
      </c>
      <c r="R77" s="160">
        <f t="shared" si="4"/>
        <v>36100000000</v>
      </c>
      <c r="S77" s="160">
        <f t="shared" si="5"/>
        <v>190333.688465607</v>
      </c>
      <c r="T77" s="160">
        <f t="shared" si="6"/>
        <v>6859000000000000</v>
      </c>
      <c r="U77" s="160">
        <f t="shared" si="7"/>
        <v>1.3032099999999999E+21</v>
      </c>
      <c r="V77" s="160">
        <f t="shared" si="8"/>
        <v>36163400808.465332</v>
      </c>
    </row>
    <row r="78" spans="1:22" x14ac:dyDescent="0.3">
      <c r="A78" s="160">
        <v>66</v>
      </c>
      <c r="B78" s="62">
        <v>190000</v>
      </c>
      <c r="C78" s="62">
        <v>100.01139999999999</v>
      </c>
      <c r="D78" s="62">
        <v>-0.31428869999999998</v>
      </c>
      <c r="E78" s="62">
        <v>0</v>
      </c>
      <c r="F78" s="62">
        <v>0</v>
      </c>
      <c r="G78" s="62">
        <v>2</v>
      </c>
      <c r="M78" s="160">
        <f t="shared" si="17"/>
        <v>100.01634800000001</v>
      </c>
      <c r="N78" s="160">
        <f t="shared" ref="N78:N92" si="19">N77+1</f>
        <v>66</v>
      </c>
      <c r="O78" s="160">
        <f t="shared" si="18"/>
        <v>190000</v>
      </c>
      <c r="P78" s="160">
        <f t="shared" ref="P78:P92" si="20">VLOOKUP($N$11,$AA$13:$AD$23,2)*O78^2 +VLOOKUP($N$11,$AA$13:$AD$23,3)*O78+VLOOKUP($N$11,$AA$13:$AD$23,4)</f>
        <v>1</v>
      </c>
      <c r="Q78" s="160">
        <f t="shared" ref="Q78:Q92" si="21">IF($N$11&lt;6,M78/VLOOKUP(N78,$A$13:$G$892,3)*P78*$L$13/$K$13,VLOOKUP(N78,$A$13:$G$892,3)/M78*P78*$K$13/$L$13)</f>
        <v>1.0018774537723565</v>
      </c>
      <c r="R78" s="160">
        <f t="shared" ref="R78:R92" si="22">O78*O78</f>
        <v>36100000000</v>
      </c>
      <c r="S78" s="160">
        <f t="shared" ref="S78:S92" si="23">O78*Q78</f>
        <v>190356.71621674774</v>
      </c>
      <c r="T78" s="160">
        <f t="shared" ref="T78:T92" si="24">O78^3</f>
        <v>6859000000000000</v>
      </c>
      <c r="U78" s="160">
        <f t="shared" ref="U78:U92" si="25">O78^4</f>
        <v>1.3032099999999999E+21</v>
      </c>
      <c r="V78" s="160">
        <f t="shared" ref="V78:V92" si="26">R78*Q78</f>
        <v>36167776081.182068</v>
      </c>
    </row>
    <row r="79" spans="1:22" x14ac:dyDescent="0.3">
      <c r="A79" s="160">
        <v>67</v>
      </c>
      <c r="B79" s="62">
        <v>190000</v>
      </c>
      <c r="C79" s="62">
        <v>100.0213</v>
      </c>
      <c r="D79" s="62">
        <v>-0.3061564</v>
      </c>
      <c r="E79" s="62">
        <v>0</v>
      </c>
      <c r="F79" s="62">
        <v>0</v>
      </c>
      <c r="G79" s="62">
        <v>2</v>
      </c>
      <c r="M79" s="160">
        <f t="shared" si="17"/>
        <v>100.01634800000001</v>
      </c>
      <c r="N79" s="160">
        <f t="shared" si="19"/>
        <v>67</v>
      </c>
      <c r="O79" s="160">
        <f t="shared" si="18"/>
        <v>190000</v>
      </c>
      <c r="P79" s="160">
        <f t="shared" si="20"/>
        <v>1</v>
      </c>
      <c r="Q79" s="160">
        <f t="shared" si="21"/>
        <v>1.0017782890265239</v>
      </c>
      <c r="R79" s="160">
        <f t="shared" si="22"/>
        <v>36100000000</v>
      </c>
      <c r="S79" s="160">
        <f t="shared" si="23"/>
        <v>190337.87491503955</v>
      </c>
      <c r="T79" s="160">
        <f t="shared" si="24"/>
        <v>6859000000000000</v>
      </c>
      <c r="U79" s="160">
        <f t="shared" si="25"/>
        <v>1.3032099999999999E+21</v>
      </c>
      <c r="V79" s="160">
        <f t="shared" si="26"/>
        <v>36164196233.857513</v>
      </c>
    </row>
    <row r="80" spans="1:22" x14ac:dyDescent="0.3">
      <c r="A80" s="160">
        <v>68</v>
      </c>
      <c r="B80" s="62">
        <v>190000</v>
      </c>
      <c r="C80" s="62">
        <v>100.0316</v>
      </c>
      <c r="D80" s="62">
        <v>-0.3149632</v>
      </c>
      <c r="E80" s="62">
        <v>0</v>
      </c>
      <c r="F80" s="62">
        <v>0</v>
      </c>
      <c r="G80" s="62">
        <v>2</v>
      </c>
      <c r="M80" s="160">
        <f t="shared" si="17"/>
        <v>100.01634800000001</v>
      </c>
      <c r="N80" s="160">
        <f t="shared" si="19"/>
        <v>68</v>
      </c>
      <c r="O80" s="160">
        <f t="shared" si="18"/>
        <v>190000</v>
      </c>
      <c r="P80" s="160">
        <f t="shared" si="20"/>
        <v>1</v>
      </c>
      <c r="Q80" s="160">
        <f t="shared" si="21"/>
        <v>1.0016751384583338</v>
      </c>
      <c r="R80" s="160">
        <f t="shared" si="22"/>
        <v>36100000000</v>
      </c>
      <c r="S80" s="160">
        <f t="shared" si="23"/>
        <v>190318.2763070834</v>
      </c>
      <c r="T80" s="160">
        <f t="shared" si="24"/>
        <v>6859000000000000</v>
      </c>
      <c r="U80" s="160">
        <f t="shared" si="25"/>
        <v>1.3032099999999999E+21</v>
      </c>
      <c r="V80" s="160">
        <f t="shared" si="26"/>
        <v>36160472498.345848</v>
      </c>
    </row>
    <row r="81" spans="1:22" x14ac:dyDescent="0.3">
      <c r="A81" s="160">
        <v>69</v>
      </c>
      <c r="B81" s="62">
        <v>190000</v>
      </c>
      <c r="C81" s="62">
        <v>100.0127</v>
      </c>
      <c r="D81" s="62">
        <v>-0.31768269999999998</v>
      </c>
      <c r="E81" s="62">
        <v>0</v>
      </c>
      <c r="F81" s="62">
        <v>0</v>
      </c>
      <c r="G81" s="62">
        <v>2</v>
      </c>
      <c r="M81" s="160">
        <f t="shared" si="17"/>
        <v>100.01634800000001</v>
      </c>
      <c r="N81" s="160">
        <f t="shared" si="19"/>
        <v>69</v>
      </c>
      <c r="O81" s="160">
        <f t="shared" si="18"/>
        <v>190000</v>
      </c>
      <c r="P81" s="160">
        <f t="shared" si="20"/>
        <v>1</v>
      </c>
      <c r="Q81" s="160">
        <f t="shared" si="21"/>
        <v>1.0018644310193472</v>
      </c>
      <c r="R81" s="160">
        <f t="shared" si="22"/>
        <v>36100000000</v>
      </c>
      <c r="S81" s="160">
        <f t="shared" si="23"/>
        <v>190354.24189367596</v>
      </c>
      <c r="T81" s="160">
        <f t="shared" si="24"/>
        <v>6859000000000000</v>
      </c>
      <c r="U81" s="160">
        <f t="shared" si="25"/>
        <v>1.3032099999999999E+21</v>
      </c>
      <c r="V81" s="160">
        <f t="shared" si="26"/>
        <v>36167305959.798431</v>
      </c>
    </row>
    <row r="82" spans="1:22" x14ac:dyDescent="0.3">
      <c r="A82" s="160">
        <v>70</v>
      </c>
      <c r="B82" s="62">
        <v>190000</v>
      </c>
      <c r="C82" s="62">
        <v>100.0239</v>
      </c>
      <c r="D82" s="62">
        <v>-0.32046609999999998</v>
      </c>
      <c r="E82" s="62">
        <v>0</v>
      </c>
      <c r="F82" s="62">
        <v>0</v>
      </c>
      <c r="G82" s="62">
        <v>2</v>
      </c>
      <c r="M82" s="160">
        <f t="shared" si="17"/>
        <v>100.01634800000001</v>
      </c>
      <c r="N82" s="160">
        <f t="shared" si="19"/>
        <v>70</v>
      </c>
      <c r="O82" s="160">
        <f t="shared" si="18"/>
        <v>190000</v>
      </c>
      <c r="P82" s="160">
        <f t="shared" si="20"/>
        <v>1</v>
      </c>
      <c r="Q82" s="160">
        <f t="shared" si="21"/>
        <v>1.001752249014572</v>
      </c>
      <c r="R82" s="160">
        <f t="shared" si="22"/>
        <v>36100000000</v>
      </c>
      <c r="S82" s="160">
        <f t="shared" si="23"/>
        <v>190332.92731276868</v>
      </c>
      <c r="T82" s="160">
        <f t="shared" si="24"/>
        <v>6859000000000000</v>
      </c>
      <c r="U82" s="160">
        <f t="shared" si="25"/>
        <v>1.3032099999999999E+21</v>
      </c>
      <c r="V82" s="160">
        <f t="shared" si="26"/>
        <v>36163256189.426048</v>
      </c>
    </row>
    <row r="83" spans="1:22" x14ac:dyDescent="0.3">
      <c r="A83" s="160">
        <v>71</v>
      </c>
      <c r="B83" s="62">
        <v>50999.97</v>
      </c>
      <c r="C83" s="62">
        <v>100.1219</v>
      </c>
      <c r="D83" s="62">
        <v>-9.5569490000000007E-2</v>
      </c>
      <c r="E83" s="62">
        <v>0</v>
      </c>
      <c r="F83" s="62">
        <v>0</v>
      </c>
      <c r="G83" s="62">
        <v>2</v>
      </c>
      <c r="M83" s="160">
        <f>AVERAGE(C83:C92)</f>
        <v>100.12146</v>
      </c>
      <c r="N83" s="160">
        <f t="shared" si="19"/>
        <v>71</v>
      </c>
      <c r="O83" s="160">
        <f t="shared" si="18"/>
        <v>50999.97</v>
      </c>
      <c r="P83" s="160">
        <f t="shared" si="20"/>
        <v>1</v>
      </c>
      <c r="Q83" s="160">
        <f t="shared" si="21"/>
        <v>1.0018234863029465</v>
      </c>
      <c r="R83" s="160">
        <f t="shared" si="22"/>
        <v>2600996940.0009003</v>
      </c>
      <c r="S83" s="160">
        <f t="shared" si="23"/>
        <v>51092.967746745686</v>
      </c>
      <c r="T83" s="160">
        <f t="shared" si="24"/>
        <v>132650765910137.72</v>
      </c>
      <c r="U83" s="160">
        <f t="shared" si="25"/>
        <v>6.7651850818940467E+18</v>
      </c>
      <c r="V83" s="160">
        <f t="shared" si="26"/>
        <v>2605739822.2949977</v>
      </c>
    </row>
    <row r="84" spans="1:22" x14ac:dyDescent="0.3">
      <c r="A84" s="160">
        <v>72</v>
      </c>
      <c r="B84" s="62">
        <v>50999.97</v>
      </c>
      <c r="C84" s="62">
        <v>100.11069999999999</v>
      </c>
      <c r="D84" s="62">
        <v>-8.8970900000000006E-2</v>
      </c>
      <c r="E84" s="62">
        <v>0</v>
      </c>
      <c r="F84" s="62">
        <v>0</v>
      </c>
      <c r="G84" s="62">
        <v>2</v>
      </c>
      <c r="M84" s="160">
        <f>M83</f>
        <v>100.12146</v>
      </c>
      <c r="N84" s="160">
        <f t="shared" si="19"/>
        <v>72</v>
      </c>
      <c r="O84" s="160">
        <f t="shared" si="18"/>
        <v>50999.97</v>
      </c>
      <c r="P84" s="160">
        <f t="shared" si="20"/>
        <v>1</v>
      </c>
      <c r="Q84" s="160">
        <f t="shared" si="21"/>
        <v>1.0019355664606779</v>
      </c>
      <c r="R84" s="160">
        <f t="shared" si="22"/>
        <v>2600996940.0009003</v>
      </c>
      <c r="S84" s="160">
        <f t="shared" si="23"/>
        <v>51098.683831427581</v>
      </c>
      <c r="T84" s="160">
        <f t="shared" si="24"/>
        <v>132650765910137.72</v>
      </c>
      <c r="U84" s="160">
        <f t="shared" si="25"/>
        <v>6.7651850818940467E+18</v>
      </c>
      <c r="V84" s="160">
        <f t="shared" si="26"/>
        <v>2606031342.4422917</v>
      </c>
    </row>
    <row r="85" spans="1:22" x14ac:dyDescent="0.3">
      <c r="A85" s="160">
        <v>73</v>
      </c>
      <c r="B85" s="62">
        <v>50999.97</v>
      </c>
      <c r="C85" s="62">
        <v>100.1317</v>
      </c>
      <c r="D85" s="62">
        <v>-7.8207139999999994E-2</v>
      </c>
      <c r="E85" s="62">
        <v>0</v>
      </c>
      <c r="F85" s="62">
        <v>0</v>
      </c>
      <c r="G85" s="62">
        <v>2</v>
      </c>
      <c r="M85" s="160">
        <f t="shared" ref="M85:M92" si="27">M84</f>
        <v>100.12146</v>
      </c>
      <c r="N85" s="160">
        <f t="shared" si="19"/>
        <v>73</v>
      </c>
      <c r="O85" s="160">
        <f t="shared" si="18"/>
        <v>50999.97</v>
      </c>
      <c r="P85" s="160">
        <f t="shared" si="20"/>
        <v>1</v>
      </c>
      <c r="Q85" s="160">
        <f t="shared" si="21"/>
        <v>1.001725436732573</v>
      </c>
      <c r="R85" s="160">
        <f t="shared" si="22"/>
        <v>2600996940.0009003</v>
      </c>
      <c r="S85" s="160">
        <f t="shared" si="23"/>
        <v>51087.967221598119</v>
      </c>
      <c r="T85" s="160">
        <f t="shared" si="24"/>
        <v>132650765910137.72</v>
      </c>
      <c r="U85" s="160">
        <f t="shared" si="25"/>
        <v>6.7651850818940467E+18</v>
      </c>
      <c r="V85" s="160">
        <f t="shared" si="26"/>
        <v>2605484795.6624875</v>
      </c>
    </row>
    <row r="86" spans="1:22" x14ac:dyDescent="0.3">
      <c r="A86" s="160">
        <v>74</v>
      </c>
      <c r="B86" s="62">
        <v>50999.97</v>
      </c>
      <c r="C86" s="62">
        <v>100.1127</v>
      </c>
      <c r="D86" s="62">
        <v>-8.9525549999999995E-2</v>
      </c>
      <c r="E86" s="62">
        <v>0</v>
      </c>
      <c r="F86" s="62">
        <v>0</v>
      </c>
      <c r="G86" s="62">
        <v>2</v>
      </c>
      <c r="M86" s="160">
        <f t="shared" si="27"/>
        <v>100.12146</v>
      </c>
      <c r="N86" s="160">
        <f t="shared" si="19"/>
        <v>74</v>
      </c>
      <c r="O86" s="160">
        <f t="shared" si="18"/>
        <v>50999.97</v>
      </c>
      <c r="P86" s="160">
        <f t="shared" si="20"/>
        <v>1</v>
      </c>
      <c r="Q86" s="160">
        <f t="shared" si="21"/>
        <v>1.0019155503075532</v>
      </c>
      <c r="R86" s="160">
        <f t="shared" si="22"/>
        <v>2600996940.0009003</v>
      </c>
      <c r="S86" s="160">
        <f t="shared" si="23"/>
        <v>51097.663008218704</v>
      </c>
      <c r="T86" s="160">
        <f t="shared" si="24"/>
        <v>132650765910137.72</v>
      </c>
      <c r="U86" s="160">
        <f t="shared" si="25"/>
        <v>6.7651850818940467E+18</v>
      </c>
      <c r="V86" s="160">
        <f t="shared" si="26"/>
        <v>2605979280.489264</v>
      </c>
    </row>
    <row r="87" spans="1:22" x14ac:dyDescent="0.3">
      <c r="A87" s="160">
        <v>75</v>
      </c>
      <c r="B87" s="62">
        <v>50999.97</v>
      </c>
      <c r="C87" s="62">
        <v>100.12260000000001</v>
      </c>
      <c r="D87" s="62">
        <v>-8.7459110000000007E-2</v>
      </c>
      <c r="E87" s="62">
        <v>0</v>
      </c>
      <c r="F87" s="62">
        <v>0</v>
      </c>
      <c r="G87" s="62">
        <v>2</v>
      </c>
      <c r="M87" s="160">
        <f t="shared" si="27"/>
        <v>100.12146</v>
      </c>
      <c r="N87" s="160">
        <f t="shared" si="19"/>
        <v>75</v>
      </c>
      <c r="O87" s="160">
        <f t="shared" si="18"/>
        <v>50999.97</v>
      </c>
      <c r="P87" s="160">
        <f t="shared" si="20"/>
        <v>1</v>
      </c>
      <c r="Q87" s="160">
        <f t="shared" si="21"/>
        <v>1.0018164821256637</v>
      </c>
      <c r="R87" s="160">
        <f t="shared" si="22"/>
        <v>2600996940.0009003</v>
      </c>
      <c r="S87" s="160">
        <f t="shared" si="23"/>
        <v>51092.610533914383</v>
      </c>
      <c r="T87" s="160">
        <f t="shared" si="24"/>
        <v>132650765910137.72</v>
      </c>
      <c r="U87" s="160">
        <f t="shared" si="25"/>
        <v>6.7651850818940467E+18</v>
      </c>
      <c r="V87" s="160">
        <f t="shared" si="26"/>
        <v>2605721604.4513178</v>
      </c>
    </row>
    <row r="88" spans="1:22" x14ac:dyDescent="0.3">
      <c r="A88" s="160">
        <v>76</v>
      </c>
      <c r="B88" s="62">
        <v>50999.97</v>
      </c>
      <c r="C88" s="62">
        <v>100.1277</v>
      </c>
      <c r="D88" s="62">
        <v>-9.2142370000000001E-2</v>
      </c>
      <c r="E88" s="62">
        <v>0</v>
      </c>
      <c r="F88" s="62">
        <v>0</v>
      </c>
      <c r="G88" s="62">
        <v>2</v>
      </c>
      <c r="M88" s="160">
        <f t="shared" si="27"/>
        <v>100.12146</v>
      </c>
      <c r="N88" s="160">
        <f t="shared" si="19"/>
        <v>76</v>
      </c>
      <c r="O88" s="160">
        <f t="shared" si="18"/>
        <v>50999.97</v>
      </c>
      <c r="P88" s="160">
        <f t="shared" si="20"/>
        <v>1</v>
      </c>
      <c r="Q88" s="160">
        <f t="shared" si="21"/>
        <v>1.0017654546471653</v>
      </c>
      <c r="R88" s="160">
        <f t="shared" si="22"/>
        <v>2600996940.0009003</v>
      </c>
      <c r="S88" s="160">
        <f t="shared" si="23"/>
        <v>51090.008134041789</v>
      </c>
      <c r="T88" s="160">
        <f t="shared" si="24"/>
        <v>132650765910137.72</v>
      </c>
      <c r="U88" s="160">
        <f t="shared" si="25"/>
        <v>6.7651850818940467E+18</v>
      </c>
      <c r="V88" s="160">
        <f t="shared" si="26"/>
        <v>2605588882.1358876</v>
      </c>
    </row>
    <row r="89" spans="1:22" x14ac:dyDescent="0.3">
      <c r="A89" s="160">
        <v>77</v>
      </c>
      <c r="B89" s="62">
        <v>50999.97</v>
      </c>
      <c r="C89" s="62">
        <v>100.11199999999999</v>
      </c>
      <c r="D89" s="62">
        <v>-7.7180639999999995E-2</v>
      </c>
      <c r="E89" s="62">
        <v>0</v>
      </c>
      <c r="F89" s="62">
        <v>0</v>
      </c>
      <c r="G89" s="62">
        <v>2</v>
      </c>
      <c r="M89" s="160">
        <f t="shared" si="27"/>
        <v>100.12146</v>
      </c>
      <c r="N89" s="160">
        <f t="shared" si="19"/>
        <v>77</v>
      </c>
      <c r="O89" s="160">
        <f t="shared" si="18"/>
        <v>50999.97</v>
      </c>
      <c r="P89" s="160">
        <f t="shared" si="20"/>
        <v>1</v>
      </c>
      <c r="Q89" s="160">
        <f t="shared" si="21"/>
        <v>1.0019225558701752</v>
      </c>
      <c r="R89" s="160">
        <f t="shared" si="22"/>
        <v>2600996940.0009003</v>
      </c>
      <c r="S89" s="160">
        <f t="shared" si="23"/>
        <v>51098.020291702262</v>
      </c>
      <c r="T89" s="160">
        <f t="shared" si="24"/>
        <v>132650765910137.72</v>
      </c>
      <c r="U89" s="160">
        <f t="shared" si="25"/>
        <v>6.7651850818940467E+18</v>
      </c>
      <c r="V89" s="160">
        <f t="shared" si="26"/>
        <v>2605997501.9362068</v>
      </c>
    </row>
    <row r="90" spans="1:22" x14ac:dyDescent="0.3">
      <c r="A90" s="160">
        <v>78</v>
      </c>
      <c r="B90" s="62">
        <v>50999.97</v>
      </c>
      <c r="C90" s="62">
        <v>100.1331</v>
      </c>
      <c r="D90" s="62">
        <v>-8.7621470000000007E-2</v>
      </c>
      <c r="E90" s="62">
        <v>0</v>
      </c>
      <c r="F90" s="62">
        <v>0</v>
      </c>
      <c r="G90" s="62">
        <v>2</v>
      </c>
      <c r="M90" s="160">
        <f t="shared" si="27"/>
        <v>100.12146</v>
      </c>
      <c r="N90" s="160">
        <f t="shared" si="19"/>
        <v>78</v>
      </c>
      <c r="O90" s="160">
        <f t="shared" si="18"/>
        <v>50999.97</v>
      </c>
      <c r="P90" s="160">
        <f t="shared" si="20"/>
        <v>1</v>
      </c>
      <c r="Q90" s="160">
        <f t="shared" si="21"/>
        <v>1.0017114312177988</v>
      </c>
      <c r="R90" s="160">
        <f t="shared" si="22"/>
        <v>2600996940.0009003</v>
      </c>
      <c r="S90" s="160">
        <f t="shared" si="23"/>
        <v>51087.252940764803</v>
      </c>
      <c r="T90" s="160">
        <f t="shared" si="24"/>
        <v>132650765910137.72</v>
      </c>
      <c r="U90" s="160">
        <f t="shared" si="25"/>
        <v>6.7651850818940467E+18</v>
      </c>
      <c r="V90" s="160">
        <f t="shared" si="26"/>
        <v>2605448367.3614168</v>
      </c>
    </row>
    <row r="91" spans="1:22" x14ac:dyDescent="0.3">
      <c r="A91" s="160">
        <v>79</v>
      </c>
      <c r="B91" s="62">
        <v>50999.97</v>
      </c>
      <c r="C91" s="62">
        <v>100.10890000000001</v>
      </c>
      <c r="D91" s="62">
        <v>-7.9434099999999994E-2</v>
      </c>
      <c r="E91" s="62">
        <v>0</v>
      </c>
      <c r="F91" s="62">
        <v>0</v>
      </c>
      <c r="G91" s="62">
        <v>2</v>
      </c>
      <c r="M91" s="160">
        <f t="shared" si="27"/>
        <v>100.12146</v>
      </c>
      <c r="N91" s="160">
        <f t="shared" si="19"/>
        <v>79</v>
      </c>
      <c r="O91" s="160">
        <f t="shared" si="18"/>
        <v>50999.97</v>
      </c>
      <c r="P91" s="160">
        <f t="shared" si="20"/>
        <v>1</v>
      </c>
      <c r="Q91" s="160">
        <f t="shared" si="21"/>
        <v>1.0019535816822975</v>
      </c>
      <c r="R91" s="160">
        <f t="shared" si="22"/>
        <v>2600996940.0009003</v>
      </c>
      <c r="S91" s="160">
        <f t="shared" si="23"/>
        <v>51099.602607189721</v>
      </c>
      <c r="T91" s="160">
        <f t="shared" si="24"/>
        <v>132650765910137.72</v>
      </c>
      <c r="U91" s="160">
        <f t="shared" si="25"/>
        <v>6.7651850818940467E+18</v>
      </c>
      <c r="V91" s="160">
        <f t="shared" si="26"/>
        <v>2606078199.9785981</v>
      </c>
    </row>
    <row r="92" spans="1:22" x14ac:dyDescent="0.3">
      <c r="A92" s="160">
        <v>80</v>
      </c>
      <c r="B92" s="62">
        <v>50999.97</v>
      </c>
      <c r="C92" s="62">
        <v>100.13330000000001</v>
      </c>
      <c r="D92" s="62">
        <v>-8.5685869999999997E-2</v>
      </c>
      <c r="E92" s="62">
        <v>0</v>
      </c>
      <c r="F92" s="62">
        <v>0</v>
      </c>
      <c r="G92" s="62">
        <v>2</v>
      </c>
      <c r="M92" s="160">
        <f t="shared" si="27"/>
        <v>100.12146</v>
      </c>
      <c r="N92" s="160">
        <f t="shared" si="19"/>
        <v>80</v>
      </c>
      <c r="O92" s="160">
        <f t="shared" si="18"/>
        <v>50999.97</v>
      </c>
      <c r="P92" s="160">
        <f t="shared" si="20"/>
        <v>1</v>
      </c>
      <c r="Q92" s="160">
        <f t="shared" si="21"/>
        <v>1.0017094304619438</v>
      </c>
      <c r="R92" s="160">
        <f t="shared" si="22"/>
        <v>2600996940.0009003</v>
      </c>
      <c r="S92" s="160">
        <f t="shared" si="23"/>
        <v>51087.150902276226</v>
      </c>
      <c r="T92" s="160">
        <f t="shared" si="24"/>
        <v>132650765910137.72</v>
      </c>
      <c r="U92" s="160">
        <f t="shared" si="25"/>
        <v>6.7651850818940467E+18</v>
      </c>
      <c r="V92" s="160">
        <f t="shared" si="26"/>
        <v>2605443163.4015603</v>
      </c>
    </row>
    <row r="93" spans="1:22" x14ac:dyDescent="0.3">
      <c r="A93" s="160">
        <v>81</v>
      </c>
      <c r="B93" s="62">
        <v>1000000</v>
      </c>
      <c r="C93" s="62">
        <v>102.3717</v>
      </c>
      <c r="D93" s="62">
        <v>10.77718</v>
      </c>
      <c r="E93" s="62">
        <v>1</v>
      </c>
      <c r="F93" s="62">
        <v>0</v>
      </c>
      <c r="G93" s="62">
        <v>2</v>
      </c>
    </row>
    <row r="94" spans="1:22" x14ac:dyDescent="0.3">
      <c r="A94" s="160">
        <v>82</v>
      </c>
      <c r="B94" s="62">
        <v>1000000</v>
      </c>
      <c r="C94" s="62">
        <v>102.3141</v>
      </c>
      <c r="D94" s="62">
        <v>10.836930000000001</v>
      </c>
      <c r="E94" s="62">
        <v>1</v>
      </c>
      <c r="F94" s="62">
        <v>0</v>
      </c>
      <c r="G94" s="62">
        <v>2</v>
      </c>
    </row>
    <row r="95" spans="1:22" x14ac:dyDescent="0.3">
      <c r="A95" s="160">
        <v>83</v>
      </c>
      <c r="B95" s="62">
        <v>1000000</v>
      </c>
      <c r="C95" s="62">
        <v>102.3852</v>
      </c>
      <c r="D95" s="62">
        <v>10.80259</v>
      </c>
      <c r="E95" s="62">
        <v>1</v>
      </c>
      <c r="F95" s="62">
        <v>0</v>
      </c>
      <c r="G95" s="62">
        <v>2</v>
      </c>
    </row>
    <row r="96" spans="1:22" x14ac:dyDescent="0.3">
      <c r="A96" s="160">
        <v>84</v>
      </c>
      <c r="B96" s="62">
        <v>1000000</v>
      </c>
      <c r="C96" s="62">
        <v>102.4025</v>
      </c>
      <c r="D96" s="62">
        <v>10.795349999999999</v>
      </c>
      <c r="E96" s="62">
        <v>1</v>
      </c>
      <c r="F96" s="62">
        <v>0</v>
      </c>
      <c r="G96" s="62">
        <v>2</v>
      </c>
    </row>
    <row r="97" spans="1:7" x14ac:dyDescent="0.3">
      <c r="A97" s="160">
        <v>85</v>
      </c>
      <c r="B97" s="62">
        <v>1000000</v>
      </c>
      <c r="C97" s="62">
        <v>102.3691</v>
      </c>
      <c r="D97" s="62">
        <v>10.8089</v>
      </c>
      <c r="E97" s="62">
        <v>1</v>
      </c>
      <c r="F97" s="62">
        <v>0</v>
      </c>
      <c r="G97" s="62">
        <v>2</v>
      </c>
    </row>
    <row r="98" spans="1:7" x14ac:dyDescent="0.3">
      <c r="A98" s="160">
        <v>86</v>
      </c>
      <c r="B98" s="62">
        <v>1000000</v>
      </c>
      <c r="C98" s="62">
        <v>102.443</v>
      </c>
      <c r="D98" s="62">
        <v>10.776960000000001</v>
      </c>
      <c r="E98" s="62">
        <v>1</v>
      </c>
      <c r="F98" s="62">
        <v>0</v>
      </c>
      <c r="G98" s="62">
        <v>2</v>
      </c>
    </row>
    <row r="99" spans="1:7" x14ac:dyDescent="0.3">
      <c r="A99" s="160">
        <v>87</v>
      </c>
      <c r="B99" s="62">
        <v>1000000</v>
      </c>
      <c r="C99" s="62">
        <v>102.3794</v>
      </c>
      <c r="D99" s="62">
        <v>10.810689999999999</v>
      </c>
      <c r="E99" s="62">
        <v>1</v>
      </c>
      <c r="F99" s="62">
        <v>0</v>
      </c>
      <c r="G99" s="62">
        <v>2</v>
      </c>
    </row>
    <row r="100" spans="1:7" x14ac:dyDescent="0.3">
      <c r="A100" s="160">
        <v>88</v>
      </c>
      <c r="B100" s="62">
        <v>1000000</v>
      </c>
      <c r="C100" s="62">
        <v>102.4513</v>
      </c>
      <c r="D100" s="62">
        <v>10.837619999999999</v>
      </c>
      <c r="E100" s="62">
        <v>1</v>
      </c>
      <c r="F100" s="62">
        <v>0</v>
      </c>
      <c r="G100" s="62">
        <v>2</v>
      </c>
    </row>
    <row r="101" spans="1:7" x14ac:dyDescent="0.3">
      <c r="A101" s="160">
        <v>89</v>
      </c>
      <c r="B101" s="62">
        <v>1000000</v>
      </c>
      <c r="C101" s="62">
        <v>102.45010000000001</v>
      </c>
      <c r="D101" s="62">
        <v>10.801130000000001</v>
      </c>
      <c r="E101" s="62">
        <v>1</v>
      </c>
      <c r="F101" s="62">
        <v>0</v>
      </c>
      <c r="G101" s="62">
        <v>2</v>
      </c>
    </row>
    <row r="102" spans="1:7" x14ac:dyDescent="0.3">
      <c r="A102" s="160">
        <v>90</v>
      </c>
      <c r="B102" s="62">
        <v>1000000</v>
      </c>
      <c r="C102" s="62">
        <v>102.4008</v>
      </c>
      <c r="D102" s="62">
        <v>10.76769</v>
      </c>
      <c r="E102" s="62">
        <v>1</v>
      </c>
      <c r="F102" s="62">
        <v>0</v>
      </c>
      <c r="G102" s="62">
        <v>2</v>
      </c>
    </row>
    <row r="103" spans="1:7" x14ac:dyDescent="0.3">
      <c r="A103" s="160">
        <v>91</v>
      </c>
      <c r="B103" s="62">
        <v>859999.9</v>
      </c>
      <c r="C103" s="62">
        <v>101.1891</v>
      </c>
      <c r="D103" s="62">
        <v>8.8216520000000003</v>
      </c>
      <c r="E103" s="62">
        <v>1</v>
      </c>
      <c r="F103" s="62">
        <v>0</v>
      </c>
      <c r="G103" s="62">
        <v>2</v>
      </c>
    </row>
    <row r="104" spans="1:7" x14ac:dyDescent="0.3">
      <c r="A104" s="160">
        <v>92</v>
      </c>
      <c r="B104" s="62">
        <v>859999.9</v>
      </c>
      <c r="C104" s="62">
        <v>101.18899999999999</v>
      </c>
      <c r="D104" s="62">
        <v>8.8223939999999992</v>
      </c>
      <c r="E104" s="62">
        <v>1</v>
      </c>
      <c r="F104" s="62">
        <v>0</v>
      </c>
      <c r="G104" s="62">
        <v>2</v>
      </c>
    </row>
    <row r="105" spans="1:7" x14ac:dyDescent="0.3">
      <c r="A105" s="160">
        <v>93</v>
      </c>
      <c r="B105" s="62">
        <v>859999.9</v>
      </c>
      <c r="C105" s="62">
        <v>101.2499</v>
      </c>
      <c r="D105" s="62">
        <v>8.8647469999999995</v>
      </c>
      <c r="E105" s="62">
        <v>1</v>
      </c>
      <c r="F105" s="62">
        <v>0</v>
      </c>
      <c r="G105" s="62">
        <v>2</v>
      </c>
    </row>
    <row r="106" spans="1:7" x14ac:dyDescent="0.3">
      <c r="A106" s="160">
        <v>94</v>
      </c>
      <c r="B106" s="62">
        <v>859999.9</v>
      </c>
      <c r="C106" s="62">
        <v>101.1812</v>
      </c>
      <c r="D106" s="62">
        <v>8.8212320000000002</v>
      </c>
      <c r="E106" s="62">
        <v>1</v>
      </c>
      <c r="F106" s="62">
        <v>0</v>
      </c>
      <c r="G106" s="62">
        <v>2</v>
      </c>
    </row>
    <row r="107" spans="1:7" x14ac:dyDescent="0.3">
      <c r="A107" s="160">
        <v>95</v>
      </c>
      <c r="B107" s="62">
        <v>859999.9</v>
      </c>
      <c r="C107" s="62">
        <v>101.17740000000001</v>
      </c>
      <c r="D107" s="62">
        <v>8.8251439999999999</v>
      </c>
      <c r="E107" s="62">
        <v>1</v>
      </c>
      <c r="F107" s="62">
        <v>0</v>
      </c>
      <c r="G107" s="62">
        <v>2</v>
      </c>
    </row>
    <row r="108" spans="1:7" x14ac:dyDescent="0.3">
      <c r="A108" s="160">
        <v>96</v>
      </c>
      <c r="B108" s="62">
        <v>859999.9</v>
      </c>
      <c r="C108" s="62">
        <v>101.21339999999999</v>
      </c>
      <c r="D108" s="62">
        <v>8.8012999999999995</v>
      </c>
      <c r="E108" s="62">
        <v>1</v>
      </c>
      <c r="F108" s="62">
        <v>0</v>
      </c>
      <c r="G108" s="62">
        <v>2</v>
      </c>
    </row>
    <row r="109" spans="1:7" x14ac:dyDescent="0.3">
      <c r="A109" s="160">
        <v>97</v>
      </c>
      <c r="B109" s="62">
        <v>859999.9</v>
      </c>
      <c r="C109" s="62">
        <v>101.2607</v>
      </c>
      <c r="D109" s="62">
        <v>8.8479460000000003</v>
      </c>
      <c r="E109" s="62">
        <v>1</v>
      </c>
      <c r="F109" s="62">
        <v>0</v>
      </c>
      <c r="G109" s="62">
        <v>2</v>
      </c>
    </row>
    <row r="110" spans="1:7" x14ac:dyDescent="0.3">
      <c r="A110" s="160">
        <v>98</v>
      </c>
      <c r="B110" s="62">
        <v>859999.9</v>
      </c>
      <c r="C110" s="62">
        <v>101.1687</v>
      </c>
      <c r="D110" s="62">
        <v>8.8214600000000001</v>
      </c>
      <c r="E110" s="62">
        <v>1</v>
      </c>
      <c r="F110" s="62">
        <v>0</v>
      </c>
      <c r="G110" s="62">
        <v>2</v>
      </c>
    </row>
    <row r="111" spans="1:7" x14ac:dyDescent="0.3">
      <c r="A111" s="160">
        <v>99</v>
      </c>
      <c r="B111" s="62">
        <v>859999.9</v>
      </c>
      <c r="C111" s="62">
        <v>101.17610000000001</v>
      </c>
      <c r="D111" s="62">
        <v>8.8238040000000009</v>
      </c>
      <c r="E111" s="62">
        <v>1</v>
      </c>
      <c r="F111" s="62">
        <v>0</v>
      </c>
      <c r="G111" s="62">
        <v>2</v>
      </c>
    </row>
    <row r="112" spans="1:7" x14ac:dyDescent="0.3">
      <c r="A112" s="160">
        <v>100</v>
      </c>
      <c r="B112" s="62">
        <v>859999.9</v>
      </c>
      <c r="C112" s="62">
        <v>101.18429999999999</v>
      </c>
      <c r="D112" s="62">
        <v>8.8153930000000003</v>
      </c>
      <c r="E112" s="62">
        <v>1</v>
      </c>
      <c r="F112" s="62">
        <v>0</v>
      </c>
      <c r="G112" s="62">
        <v>2</v>
      </c>
    </row>
    <row r="113" spans="1:7" x14ac:dyDescent="0.3">
      <c r="A113" s="160">
        <v>101</v>
      </c>
      <c r="B113" s="62">
        <v>730000</v>
      </c>
      <c r="C113" s="62">
        <v>100.37309999999999</v>
      </c>
      <c r="D113" s="62">
        <v>7.0791750000000002</v>
      </c>
      <c r="E113" s="62">
        <v>1</v>
      </c>
      <c r="F113" s="62">
        <v>0</v>
      </c>
      <c r="G113" s="62">
        <v>2</v>
      </c>
    </row>
    <row r="114" spans="1:7" x14ac:dyDescent="0.3">
      <c r="A114" s="160">
        <v>102</v>
      </c>
      <c r="B114" s="62">
        <v>730000</v>
      </c>
      <c r="C114" s="62">
        <v>100.4171</v>
      </c>
      <c r="D114" s="62">
        <v>7.1357410000000003</v>
      </c>
      <c r="E114" s="62">
        <v>1</v>
      </c>
      <c r="F114" s="62">
        <v>0</v>
      </c>
      <c r="G114" s="62">
        <v>2</v>
      </c>
    </row>
    <row r="115" spans="1:7" x14ac:dyDescent="0.3">
      <c r="A115" s="160">
        <v>103</v>
      </c>
      <c r="B115" s="62">
        <v>730000</v>
      </c>
      <c r="C115" s="62">
        <v>100.4</v>
      </c>
      <c r="D115" s="62">
        <v>7.1083590000000001</v>
      </c>
      <c r="E115" s="62">
        <v>1</v>
      </c>
      <c r="F115" s="62">
        <v>0</v>
      </c>
      <c r="G115" s="62">
        <v>2</v>
      </c>
    </row>
    <row r="116" spans="1:7" x14ac:dyDescent="0.3">
      <c r="A116" s="160">
        <v>104</v>
      </c>
      <c r="B116" s="62">
        <v>730000</v>
      </c>
      <c r="C116" s="62">
        <v>100.34910000000001</v>
      </c>
      <c r="D116" s="62">
        <v>7.1005229999999999</v>
      </c>
      <c r="E116" s="62">
        <v>1</v>
      </c>
      <c r="F116" s="62">
        <v>0</v>
      </c>
      <c r="G116" s="62">
        <v>2</v>
      </c>
    </row>
    <row r="117" spans="1:7" x14ac:dyDescent="0.3">
      <c r="A117" s="160">
        <v>105</v>
      </c>
      <c r="B117" s="62">
        <v>730000</v>
      </c>
      <c r="C117" s="62">
        <v>100.4622</v>
      </c>
      <c r="D117" s="62">
        <v>7.1240860000000001</v>
      </c>
      <c r="E117" s="62">
        <v>1</v>
      </c>
      <c r="F117" s="62">
        <v>0</v>
      </c>
      <c r="G117" s="62">
        <v>2</v>
      </c>
    </row>
    <row r="118" spans="1:7" x14ac:dyDescent="0.3">
      <c r="A118" s="160">
        <v>106</v>
      </c>
      <c r="B118" s="62">
        <v>730000</v>
      </c>
      <c r="C118" s="62">
        <v>100.4556</v>
      </c>
      <c r="D118" s="62">
        <v>7.0898329999999996</v>
      </c>
      <c r="E118" s="62">
        <v>1</v>
      </c>
      <c r="F118" s="62">
        <v>0</v>
      </c>
      <c r="G118" s="62">
        <v>2</v>
      </c>
    </row>
    <row r="119" spans="1:7" x14ac:dyDescent="0.3">
      <c r="A119" s="160">
        <v>107</v>
      </c>
      <c r="B119" s="62">
        <v>730000</v>
      </c>
      <c r="C119" s="62">
        <v>100.3586</v>
      </c>
      <c r="D119" s="62">
        <v>7.0736400000000001</v>
      </c>
      <c r="E119" s="62">
        <v>1</v>
      </c>
      <c r="F119" s="62">
        <v>0</v>
      </c>
      <c r="G119" s="62">
        <v>2</v>
      </c>
    </row>
    <row r="120" spans="1:7" x14ac:dyDescent="0.3">
      <c r="A120" s="160">
        <v>108</v>
      </c>
      <c r="B120" s="62">
        <v>730000</v>
      </c>
      <c r="C120" s="62">
        <v>100.4389</v>
      </c>
      <c r="D120" s="62">
        <v>7.1318159999999997</v>
      </c>
      <c r="E120" s="62">
        <v>1</v>
      </c>
      <c r="F120" s="62">
        <v>0</v>
      </c>
      <c r="G120" s="62">
        <v>2</v>
      </c>
    </row>
    <row r="121" spans="1:7" x14ac:dyDescent="0.3">
      <c r="A121" s="160">
        <v>109</v>
      </c>
      <c r="B121" s="62">
        <v>730000</v>
      </c>
      <c r="C121" s="62">
        <v>100.41160000000001</v>
      </c>
      <c r="D121" s="62">
        <v>7.1042500000000004</v>
      </c>
      <c r="E121" s="62">
        <v>1</v>
      </c>
      <c r="F121" s="62">
        <v>0</v>
      </c>
      <c r="G121" s="62">
        <v>2</v>
      </c>
    </row>
    <row r="122" spans="1:7" x14ac:dyDescent="0.3">
      <c r="A122" s="160">
        <v>110</v>
      </c>
      <c r="B122" s="62">
        <v>730000</v>
      </c>
      <c r="C122" s="62">
        <v>100.4889</v>
      </c>
      <c r="D122" s="62">
        <v>7.1386310000000002</v>
      </c>
      <c r="E122" s="62">
        <v>1</v>
      </c>
      <c r="F122" s="62">
        <v>0</v>
      </c>
      <c r="G122" s="62">
        <v>2</v>
      </c>
    </row>
    <row r="123" spans="1:7" x14ac:dyDescent="0.3">
      <c r="A123" s="160">
        <v>111</v>
      </c>
      <c r="B123" s="62">
        <v>589999.9</v>
      </c>
      <c r="C123" s="62">
        <v>99.933660000000003</v>
      </c>
      <c r="D123" s="62">
        <v>5.3878760000000003</v>
      </c>
      <c r="E123" s="62">
        <v>1</v>
      </c>
      <c r="F123" s="62">
        <v>0</v>
      </c>
      <c r="G123" s="62">
        <v>2</v>
      </c>
    </row>
    <row r="124" spans="1:7" x14ac:dyDescent="0.3">
      <c r="A124" s="160">
        <v>112</v>
      </c>
      <c r="B124" s="62">
        <v>589999.9</v>
      </c>
      <c r="C124" s="62">
        <v>99.925830000000005</v>
      </c>
      <c r="D124" s="62">
        <v>5.3844019999999997</v>
      </c>
      <c r="E124" s="62">
        <v>1</v>
      </c>
      <c r="F124" s="62">
        <v>0</v>
      </c>
      <c r="G124" s="62">
        <v>2</v>
      </c>
    </row>
    <row r="125" spans="1:7" x14ac:dyDescent="0.3">
      <c r="A125" s="160">
        <v>113</v>
      </c>
      <c r="B125" s="62">
        <v>589999.9</v>
      </c>
      <c r="C125" s="62">
        <v>99.956479999999999</v>
      </c>
      <c r="D125" s="62">
        <v>5.4363010000000003</v>
      </c>
      <c r="E125" s="62">
        <v>1</v>
      </c>
      <c r="F125" s="62">
        <v>0</v>
      </c>
      <c r="G125" s="62">
        <v>2</v>
      </c>
    </row>
    <row r="126" spans="1:7" x14ac:dyDescent="0.3">
      <c r="A126" s="160">
        <v>114</v>
      </c>
      <c r="B126" s="62">
        <v>589999.9</v>
      </c>
      <c r="C126" s="62">
        <v>99.890299999999996</v>
      </c>
      <c r="D126" s="62">
        <v>5.4396639999999996</v>
      </c>
      <c r="E126" s="62">
        <v>1</v>
      </c>
      <c r="F126" s="62">
        <v>0</v>
      </c>
      <c r="G126" s="62">
        <v>2</v>
      </c>
    </row>
    <row r="127" spans="1:7" x14ac:dyDescent="0.3">
      <c r="A127" s="160">
        <v>115</v>
      </c>
      <c r="B127" s="62">
        <v>589999.9</v>
      </c>
      <c r="C127" s="62">
        <v>100.0273</v>
      </c>
      <c r="D127" s="62">
        <v>5.3776710000000003</v>
      </c>
      <c r="E127" s="62">
        <v>1</v>
      </c>
      <c r="F127" s="62">
        <v>0</v>
      </c>
      <c r="G127" s="62">
        <v>2</v>
      </c>
    </row>
    <row r="128" spans="1:7" x14ac:dyDescent="0.3">
      <c r="A128" s="160">
        <v>116</v>
      </c>
      <c r="B128" s="62">
        <v>589999.9</v>
      </c>
      <c r="C128" s="62">
        <v>99.930160000000001</v>
      </c>
      <c r="D128" s="62">
        <v>5.4347849999999998</v>
      </c>
      <c r="E128" s="62">
        <v>1</v>
      </c>
      <c r="F128" s="62">
        <v>0</v>
      </c>
      <c r="G128" s="62">
        <v>2</v>
      </c>
    </row>
    <row r="129" spans="1:7" x14ac:dyDescent="0.3">
      <c r="A129" s="160">
        <v>117</v>
      </c>
      <c r="B129" s="62">
        <v>589999.9</v>
      </c>
      <c r="C129" s="62">
        <v>99.972840000000005</v>
      </c>
      <c r="D129" s="62">
        <v>5.4087180000000004</v>
      </c>
      <c r="E129" s="62">
        <v>1</v>
      </c>
      <c r="F129" s="62">
        <v>0</v>
      </c>
      <c r="G129" s="62">
        <v>2</v>
      </c>
    </row>
    <row r="130" spans="1:7" x14ac:dyDescent="0.3">
      <c r="A130" s="160">
        <v>118</v>
      </c>
      <c r="B130" s="62">
        <v>589999.9</v>
      </c>
      <c r="C130" s="62">
        <v>99.983109999999996</v>
      </c>
      <c r="D130" s="62">
        <v>5.3397319999999997</v>
      </c>
      <c r="E130" s="62">
        <v>1</v>
      </c>
      <c r="F130" s="62">
        <v>0</v>
      </c>
      <c r="G130" s="62">
        <v>2</v>
      </c>
    </row>
    <row r="131" spans="1:7" x14ac:dyDescent="0.3">
      <c r="A131" s="160">
        <v>119</v>
      </c>
      <c r="B131" s="62">
        <v>589999.9</v>
      </c>
      <c r="C131" s="62">
        <v>99.931929999999994</v>
      </c>
      <c r="D131" s="62">
        <v>5.4257869999999997</v>
      </c>
      <c r="E131" s="62">
        <v>1</v>
      </c>
      <c r="F131" s="62">
        <v>0</v>
      </c>
      <c r="G131" s="62">
        <v>2</v>
      </c>
    </row>
    <row r="132" spans="1:7" x14ac:dyDescent="0.3">
      <c r="A132" s="160">
        <v>120</v>
      </c>
      <c r="B132" s="62">
        <v>589999.9</v>
      </c>
      <c r="C132" s="62">
        <v>99.967240000000004</v>
      </c>
      <c r="D132" s="62">
        <v>5.4033660000000001</v>
      </c>
      <c r="E132" s="62">
        <v>1</v>
      </c>
      <c r="F132" s="62">
        <v>0</v>
      </c>
      <c r="G132" s="62">
        <v>2</v>
      </c>
    </row>
    <row r="133" spans="1:7" x14ac:dyDescent="0.3">
      <c r="A133" s="160">
        <v>121</v>
      </c>
      <c r="B133" s="62">
        <v>460000</v>
      </c>
      <c r="C133" s="62">
        <v>99.719220000000007</v>
      </c>
      <c r="D133" s="62">
        <v>3.9814509999999999</v>
      </c>
      <c r="E133" s="62">
        <v>1</v>
      </c>
      <c r="F133" s="62">
        <v>0</v>
      </c>
      <c r="G133" s="62">
        <v>2</v>
      </c>
    </row>
    <row r="134" spans="1:7" x14ac:dyDescent="0.3">
      <c r="A134" s="160">
        <v>122</v>
      </c>
      <c r="B134" s="62">
        <v>460000</v>
      </c>
      <c r="C134" s="62">
        <v>99.775869999999998</v>
      </c>
      <c r="D134" s="62">
        <v>3.9760879999999998</v>
      </c>
      <c r="E134" s="62">
        <v>1</v>
      </c>
      <c r="F134" s="62">
        <v>0</v>
      </c>
      <c r="G134" s="62">
        <v>2</v>
      </c>
    </row>
    <row r="135" spans="1:7" x14ac:dyDescent="0.3">
      <c r="A135" s="160">
        <v>123</v>
      </c>
      <c r="B135" s="62">
        <v>460000</v>
      </c>
      <c r="C135" s="62">
        <v>99.89743</v>
      </c>
      <c r="D135" s="62">
        <v>3.9277289999999998</v>
      </c>
      <c r="E135" s="62">
        <v>1</v>
      </c>
      <c r="F135" s="62">
        <v>0</v>
      </c>
      <c r="G135" s="62">
        <v>2</v>
      </c>
    </row>
    <row r="136" spans="1:7" x14ac:dyDescent="0.3">
      <c r="A136" s="160">
        <v>124</v>
      </c>
      <c r="B136" s="62">
        <v>460000</v>
      </c>
      <c r="C136" s="62">
        <v>99.895189999999999</v>
      </c>
      <c r="D136" s="62">
        <v>3.919775</v>
      </c>
      <c r="E136" s="62">
        <v>1</v>
      </c>
      <c r="F136" s="62">
        <v>0</v>
      </c>
      <c r="G136" s="62">
        <v>2</v>
      </c>
    </row>
    <row r="137" spans="1:7" x14ac:dyDescent="0.3">
      <c r="A137" s="160">
        <v>125</v>
      </c>
      <c r="B137" s="62">
        <v>460000</v>
      </c>
      <c r="C137" s="62">
        <v>99.847319999999996</v>
      </c>
      <c r="D137" s="62">
        <v>3.9420670000000002</v>
      </c>
      <c r="E137" s="62">
        <v>1</v>
      </c>
      <c r="F137" s="62">
        <v>0</v>
      </c>
      <c r="G137" s="62">
        <v>2</v>
      </c>
    </row>
    <row r="138" spans="1:7" x14ac:dyDescent="0.3">
      <c r="A138" s="160">
        <v>126</v>
      </c>
      <c r="B138" s="62">
        <v>460000</v>
      </c>
      <c r="C138" s="62">
        <v>99.749120000000005</v>
      </c>
      <c r="D138" s="62">
        <v>4.0081879999999996</v>
      </c>
      <c r="E138" s="62">
        <v>1</v>
      </c>
      <c r="F138" s="62">
        <v>0</v>
      </c>
      <c r="G138" s="62">
        <v>2</v>
      </c>
    </row>
    <row r="139" spans="1:7" x14ac:dyDescent="0.3">
      <c r="A139" s="160">
        <v>127</v>
      </c>
      <c r="B139" s="62">
        <v>460000</v>
      </c>
      <c r="C139" s="62">
        <v>99.846369999999993</v>
      </c>
      <c r="D139" s="62">
        <v>3.939505</v>
      </c>
      <c r="E139" s="62">
        <v>1</v>
      </c>
      <c r="F139" s="62">
        <v>0</v>
      </c>
      <c r="G139" s="62">
        <v>2</v>
      </c>
    </row>
    <row r="140" spans="1:7" x14ac:dyDescent="0.3">
      <c r="A140" s="160">
        <v>128</v>
      </c>
      <c r="B140" s="62">
        <v>460000</v>
      </c>
      <c r="C140" s="62">
        <v>99.798439999999999</v>
      </c>
      <c r="D140" s="62">
        <v>3.9256180000000001</v>
      </c>
      <c r="E140" s="62">
        <v>1</v>
      </c>
      <c r="F140" s="62">
        <v>0</v>
      </c>
      <c r="G140" s="62">
        <v>2</v>
      </c>
    </row>
    <row r="141" spans="1:7" x14ac:dyDescent="0.3">
      <c r="A141" s="160">
        <v>129</v>
      </c>
      <c r="B141" s="62">
        <v>460000</v>
      </c>
      <c r="C141" s="62">
        <v>99.867159999999998</v>
      </c>
      <c r="D141" s="62">
        <v>3.9577309999999999</v>
      </c>
      <c r="E141" s="62">
        <v>1</v>
      </c>
      <c r="F141" s="62">
        <v>0</v>
      </c>
      <c r="G141" s="62">
        <v>2</v>
      </c>
    </row>
    <row r="142" spans="1:7" x14ac:dyDescent="0.3">
      <c r="A142" s="160">
        <v>130</v>
      </c>
      <c r="B142" s="62">
        <v>460000</v>
      </c>
      <c r="C142" s="62">
        <v>99.84151</v>
      </c>
      <c r="D142" s="62">
        <v>3.9953370000000001</v>
      </c>
      <c r="E142" s="62">
        <v>1</v>
      </c>
      <c r="F142" s="62">
        <v>0</v>
      </c>
      <c r="G142" s="62">
        <v>2</v>
      </c>
    </row>
    <row r="143" spans="1:7" x14ac:dyDescent="0.3">
      <c r="A143" s="160">
        <v>131</v>
      </c>
      <c r="B143" s="62">
        <v>319999.90000000002</v>
      </c>
      <c r="C143" s="62">
        <v>99.850740000000002</v>
      </c>
      <c r="D143" s="62">
        <v>2.6348720000000001</v>
      </c>
      <c r="E143" s="62">
        <v>1</v>
      </c>
      <c r="F143" s="62">
        <v>0</v>
      </c>
      <c r="G143" s="62">
        <v>2</v>
      </c>
    </row>
    <row r="144" spans="1:7" x14ac:dyDescent="0.3">
      <c r="A144" s="160">
        <v>132</v>
      </c>
      <c r="B144" s="62">
        <v>319999.90000000002</v>
      </c>
      <c r="C144" s="62">
        <v>99.901849999999996</v>
      </c>
      <c r="D144" s="62">
        <v>2.6401020000000002</v>
      </c>
      <c r="E144" s="62">
        <v>1</v>
      </c>
      <c r="F144" s="62">
        <v>0</v>
      </c>
      <c r="G144" s="62">
        <v>2</v>
      </c>
    </row>
    <row r="145" spans="1:7" x14ac:dyDescent="0.3">
      <c r="A145" s="160">
        <v>133</v>
      </c>
      <c r="B145" s="62">
        <v>319999.90000000002</v>
      </c>
      <c r="C145" s="62">
        <v>99.841229999999996</v>
      </c>
      <c r="D145" s="62">
        <v>2.680291</v>
      </c>
      <c r="E145" s="62">
        <v>1</v>
      </c>
      <c r="F145" s="62">
        <v>0</v>
      </c>
      <c r="G145" s="62">
        <v>2</v>
      </c>
    </row>
    <row r="146" spans="1:7" x14ac:dyDescent="0.3">
      <c r="A146" s="160">
        <v>134</v>
      </c>
      <c r="B146" s="62">
        <v>319999.90000000002</v>
      </c>
      <c r="C146" s="62">
        <v>99.907570000000007</v>
      </c>
      <c r="D146" s="62">
        <v>2.6359460000000001</v>
      </c>
      <c r="E146" s="62">
        <v>1</v>
      </c>
      <c r="F146" s="62">
        <v>0</v>
      </c>
      <c r="G146" s="62">
        <v>2</v>
      </c>
    </row>
    <row r="147" spans="1:7" x14ac:dyDescent="0.3">
      <c r="A147" s="160">
        <v>135</v>
      </c>
      <c r="B147" s="62">
        <v>319999.90000000002</v>
      </c>
      <c r="C147" s="62">
        <v>99.904949999999999</v>
      </c>
      <c r="D147" s="62">
        <v>2.6576420000000001</v>
      </c>
      <c r="E147" s="62">
        <v>1</v>
      </c>
      <c r="F147" s="62">
        <v>0</v>
      </c>
      <c r="G147" s="62">
        <v>2</v>
      </c>
    </row>
    <row r="148" spans="1:7" x14ac:dyDescent="0.3">
      <c r="A148" s="160">
        <v>136</v>
      </c>
      <c r="B148" s="62">
        <v>319999.90000000002</v>
      </c>
      <c r="C148" s="62">
        <v>99.884460000000004</v>
      </c>
      <c r="D148" s="62">
        <v>2.630617</v>
      </c>
      <c r="E148" s="62">
        <v>1</v>
      </c>
      <c r="F148" s="62">
        <v>0</v>
      </c>
      <c r="G148" s="62">
        <v>2</v>
      </c>
    </row>
    <row r="149" spans="1:7" x14ac:dyDescent="0.3">
      <c r="A149" s="160">
        <v>137</v>
      </c>
      <c r="B149" s="62">
        <v>319999.90000000002</v>
      </c>
      <c r="C149" s="62">
        <v>99.907660000000007</v>
      </c>
      <c r="D149" s="62">
        <v>2.6314549999999999</v>
      </c>
      <c r="E149" s="62">
        <v>1</v>
      </c>
      <c r="F149" s="62">
        <v>0</v>
      </c>
      <c r="G149" s="62">
        <v>2</v>
      </c>
    </row>
    <row r="150" spans="1:7" x14ac:dyDescent="0.3">
      <c r="A150" s="160">
        <v>138</v>
      </c>
      <c r="B150" s="62">
        <v>319999.90000000002</v>
      </c>
      <c r="C150" s="62">
        <v>99.900599999999997</v>
      </c>
      <c r="D150" s="62">
        <v>2.6165150000000001</v>
      </c>
      <c r="E150" s="62">
        <v>1</v>
      </c>
      <c r="F150" s="62">
        <v>0</v>
      </c>
      <c r="G150" s="62">
        <v>2</v>
      </c>
    </row>
    <row r="151" spans="1:7" x14ac:dyDescent="0.3">
      <c r="A151" s="160">
        <v>139</v>
      </c>
      <c r="B151" s="62">
        <v>319999.90000000002</v>
      </c>
      <c r="C151" s="62">
        <v>99.918030000000002</v>
      </c>
      <c r="D151" s="62">
        <v>2.6658770000000001</v>
      </c>
      <c r="E151" s="62">
        <v>1</v>
      </c>
      <c r="F151" s="62">
        <v>0</v>
      </c>
      <c r="G151" s="62">
        <v>2</v>
      </c>
    </row>
    <row r="152" spans="1:7" x14ac:dyDescent="0.3">
      <c r="A152" s="160">
        <v>140</v>
      </c>
      <c r="B152" s="62">
        <v>319999.90000000002</v>
      </c>
      <c r="C152" s="62">
        <v>99.878730000000004</v>
      </c>
      <c r="D152" s="62">
        <v>2.6393119999999999</v>
      </c>
      <c r="E152" s="62">
        <v>1</v>
      </c>
      <c r="F152" s="62">
        <v>0</v>
      </c>
      <c r="G152" s="62">
        <v>2</v>
      </c>
    </row>
    <row r="153" spans="1:7" x14ac:dyDescent="0.3">
      <c r="A153" s="160">
        <v>141</v>
      </c>
      <c r="B153" s="62">
        <v>190000</v>
      </c>
      <c r="C153" s="62">
        <v>99.916330000000002</v>
      </c>
      <c r="D153" s="62">
        <v>1.500407</v>
      </c>
      <c r="E153" s="62">
        <v>1</v>
      </c>
      <c r="F153" s="62">
        <v>0</v>
      </c>
      <c r="G153" s="62">
        <v>2</v>
      </c>
    </row>
    <row r="154" spans="1:7" x14ac:dyDescent="0.3">
      <c r="A154" s="160">
        <v>142</v>
      </c>
      <c r="B154" s="62">
        <v>190000</v>
      </c>
      <c r="C154" s="62">
        <v>100.0222</v>
      </c>
      <c r="D154" s="62">
        <v>1.5086999999999999</v>
      </c>
      <c r="E154" s="62">
        <v>1</v>
      </c>
      <c r="F154" s="62">
        <v>0</v>
      </c>
      <c r="G154" s="62">
        <v>2</v>
      </c>
    </row>
    <row r="155" spans="1:7" x14ac:dyDescent="0.3">
      <c r="A155" s="160">
        <v>143</v>
      </c>
      <c r="B155" s="62">
        <v>190000</v>
      </c>
      <c r="C155" s="62">
        <v>100.03</v>
      </c>
      <c r="D155" s="62">
        <v>1.51918</v>
      </c>
      <c r="E155" s="62">
        <v>1</v>
      </c>
      <c r="F155" s="62">
        <v>0</v>
      </c>
      <c r="G155" s="62">
        <v>2</v>
      </c>
    </row>
    <row r="156" spans="1:7" x14ac:dyDescent="0.3">
      <c r="A156" s="160">
        <v>144</v>
      </c>
      <c r="B156" s="62">
        <v>190000</v>
      </c>
      <c r="C156" s="62">
        <v>100.0068</v>
      </c>
      <c r="D156" s="62">
        <v>1.436714</v>
      </c>
      <c r="E156" s="62">
        <v>1</v>
      </c>
      <c r="F156" s="62">
        <v>0</v>
      </c>
      <c r="G156" s="62">
        <v>2</v>
      </c>
    </row>
    <row r="157" spans="1:7" x14ac:dyDescent="0.3">
      <c r="A157" s="160">
        <v>145</v>
      </c>
      <c r="B157" s="62">
        <v>190000</v>
      </c>
      <c r="C157" s="62">
        <v>99.956689999999995</v>
      </c>
      <c r="D157" s="62">
        <v>1.512567</v>
      </c>
      <c r="E157" s="62">
        <v>1</v>
      </c>
      <c r="F157" s="62">
        <v>0</v>
      </c>
      <c r="G157" s="62">
        <v>2</v>
      </c>
    </row>
    <row r="158" spans="1:7" x14ac:dyDescent="0.3">
      <c r="A158" s="160">
        <v>146</v>
      </c>
      <c r="B158" s="62">
        <v>190000</v>
      </c>
      <c r="C158" s="62">
        <v>99.986609999999999</v>
      </c>
      <c r="D158" s="62">
        <v>1.51414</v>
      </c>
      <c r="E158" s="62">
        <v>1</v>
      </c>
      <c r="F158" s="62">
        <v>0</v>
      </c>
      <c r="G158" s="62">
        <v>2</v>
      </c>
    </row>
    <row r="159" spans="1:7" x14ac:dyDescent="0.3">
      <c r="A159" s="160">
        <v>147</v>
      </c>
      <c r="B159" s="62">
        <v>190000</v>
      </c>
      <c r="C159" s="62">
        <v>99.971050000000005</v>
      </c>
      <c r="D159" s="62">
        <v>1.527871</v>
      </c>
      <c r="E159" s="62">
        <v>1</v>
      </c>
      <c r="F159" s="62">
        <v>0</v>
      </c>
      <c r="G159" s="62">
        <v>2</v>
      </c>
    </row>
    <row r="160" spans="1:7" x14ac:dyDescent="0.3">
      <c r="A160" s="160">
        <v>148</v>
      </c>
      <c r="B160" s="62">
        <v>190000</v>
      </c>
      <c r="C160" s="62">
        <v>100.0825</v>
      </c>
      <c r="D160" s="62">
        <v>1.541639</v>
      </c>
      <c r="E160" s="62">
        <v>1</v>
      </c>
      <c r="F160" s="62">
        <v>0</v>
      </c>
      <c r="G160" s="62">
        <v>2</v>
      </c>
    </row>
    <row r="161" spans="1:7" x14ac:dyDescent="0.3">
      <c r="A161" s="160">
        <v>149</v>
      </c>
      <c r="B161" s="62">
        <v>190000</v>
      </c>
      <c r="C161" s="62">
        <v>99.872900000000001</v>
      </c>
      <c r="D161" s="62">
        <v>1.4831019999999999</v>
      </c>
      <c r="E161" s="62">
        <v>1</v>
      </c>
      <c r="F161" s="62">
        <v>0</v>
      </c>
      <c r="G161" s="62">
        <v>2</v>
      </c>
    </row>
    <row r="162" spans="1:7" x14ac:dyDescent="0.3">
      <c r="A162" s="160">
        <v>150</v>
      </c>
      <c r="B162" s="62">
        <v>190000</v>
      </c>
      <c r="C162" s="62">
        <v>99.957260000000005</v>
      </c>
      <c r="D162" s="62">
        <v>1.5152540000000001</v>
      </c>
      <c r="E162" s="62">
        <v>1</v>
      </c>
      <c r="F162" s="62">
        <v>0</v>
      </c>
      <c r="G162" s="62">
        <v>2</v>
      </c>
    </row>
    <row r="163" spans="1:7" x14ac:dyDescent="0.3">
      <c r="A163" s="160">
        <v>151</v>
      </c>
      <c r="B163" s="62">
        <v>50999.97</v>
      </c>
      <c r="C163" s="62">
        <v>99.861040000000003</v>
      </c>
      <c r="D163" s="62">
        <v>0.42049730000000002</v>
      </c>
      <c r="E163" s="62">
        <v>1</v>
      </c>
      <c r="F163" s="62">
        <v>0</v>
      </c>
      <c r="G163" s="62">
        <v>2</v>
      </c>
    </row>
    <row r="164" spans="1:7" x14ac:dyDescent="0.3">
      <c r="A164" s="160">
        <v>152</v>
      </c>
      <c r="B164" s="62">
        <v>50999.97</v>
      </c>
      <c r="C164" s="62">
        <v>99.953289999999996</v>
      </c>
      <c r="D164" s="62">
        <v>0.43259570000000003</v>
      </c>
      <c r="E164" s="62">
        <v>1</v>
      </c>
      <c r="F164" s="62">
        <v>0</v>
      </c>
      <c r="G164" s="62">
        <v>2</v>
      </c>
    </row>
    <row r="165" spans="1:7" x14ac:dyDescent="0.3">
      <c r="A165" s="160">
        <v>153</v>
      </c>
      <c r="B165" s="62">
        <v>50999.97</v>
      </c>
      <c r="C165" s="62">
        <v>99.827079999999995</v>
      </c>
      <c r="D165" s="62">
        <v>0.3812335</v>
      </c>
      <c r="E165" s="62">
        <v>1</v>
      </c>
      <c r="F165" s="62">
        <v>0</v>
      </c>
      <c r="G165" s="62">
        <v>2</v>
      </c>
    </row>
    <row r="166" spans="1:7" x14ac:dyDescent="0.3">
      <c r="A166" s="160">
        <v>154</v>
      </c>
      <c r="B166" s="62">
        <v>50999.97</v>
      </c>
      <c r="C166" s="62">
        <v>99.897599999999997</v>
      </c>
      <c r="D166" s="62">
        <v>0.3638421</v>
      </c>
      <c r="E166" s="62">
        <v>1</v>
      </c>
      <c r="F166" s="62">
        <v>0</v>
      </c>
      <c r="G166" s="62">
        <v>2</v>
      </c>
    </row>
    <row r="167" spans="1:7" x14ac:dyDescent="0.3">
      <c r="A167" s="160">
        <v>155</v>
      </c>
      <c r="B167" s="62">
        <v>50999.97</v>
      </c>
      <c r="C167" s="62">
        <v>99.892160000000004</v>
      </c>
      <c r="D167" s="62">
        <v>0.38064019999999998</v>
      </c>
      <c r="E167" s="62">
        <v>1</v>
      </c>
      <c r="F167" s="62">
        <v>0</v>
      </c>
      <c r="G167" s="62">
        <v>2</v>
      </c>
    </row>
    <row r="168" spans="1:7" x14ac:dyDescent="0.3">
      <c r="A168" s="160">
        <v>156</v>
      </c>
      <c r="B168" s="62">
        <v>50999.97</v>
      </c>
      <c r="C168" s="62">
        <v>99.816640000000007</v>
      </c>
      <c r="D168" s="62">
        <v>0.37993339999999998</v>
      </c>
      <c r="E168" s="62">
        <v>1</v>
      </c>
      <c r="F168" s="62">
        <v>0</v>
      </c>
      <c r="G168" s="62">
        <v>2</v>
      </c>
    </row>
    <row r="169" spans="1:7" x14ac:dyDescent="0.3">
      <c r="A169" s="160">
        <v>157</v>
      </c>
      <c r="B169" s="62">
        <v>50999.97</v>
      </c>
      <c r="C169" s="62">
        <v>99.874960000000002</v>
      </c>
      <c r="D169" s="62">
        <v>0.36044799999999999</v>
      </c>
      <c r="E169" s="62">
        <v>1</v>
      </c>
      <c r="F169" s="62">
        <v>0</v>
      </c>
      <c r="G169" s="62">
        <v>2</v>
      </c>
    </row>
    <row r="170" spans="1:7" x14ac:dyDescent="0.3">
      <c r="A170" s="160">
        <v>158</v>
      </c>
      <c r="B170" s="62">
        <v>50999.97</v>
      </c>
      <c r="C170" s="62">
        <v>99.942130000000006</v>
      </c>
      <c r="D170" s="62">
        <v>0.44094260000000002</v>
      </c>
      <c r="E170" s="62">
        <v>1</v>
      </c>
      <c r="F170" s="62">
        <v>0</v>
      </c>
      <c r="G170" s="62">
        <v>2</v>
      </c>
    </row>
    <row r="171" spans="1:7" x14ac:dyDescent="0.3">
      <c r="A171" s="160">
        <v>159</v>
      </c>
      <c r="B171" s="62">
        <v>50999.97</v>
      </c>
      <c r="C171" s="62">
        <v>99.946290000000005</v>
      </c>
      <c r="D171" s="62">
        <v>0.4026459</v>
      </c>
      <c r="E171" s="62">
        <v>1</v>
      </c>
      <c r="F171" s="62">
        <v>0</v>
      </c>
      <c r="G171" s="62">
        <v>2</v>
      </c>
    </row>
    <row r="172" spans="1:7" x14ac:dyDescent="0.3">
      <c r="A172" s="160">
        <v>160</v>
      </c>
      <c r="B172" s="62">
        <v>50999.97</v>
      </c>
      <c r="C172" s="62">
        <v>99.801640000000006</v>
      </c>
      <c r="D172" s="62">
        <v>0.36395349999999999</v>
      </c>
      <c r="E172" s="62">
        <v>1</v>
      </c>
      <c r="F172" s="62">
        <v>0</v>
      </c>
      <c r="G172" s="62">
        <v>2</v>
      </c>
    </row>
    <row r="173" spans="1:7" x14ac:dyDescent="0.3">
      <c r="A173" s="160">
        <v>161</v>
      </c>
      <c r="B173" s="62">
        <v>1000000</v>
      </c>
      <c r="C173" s="62">
        <v>101.4391</v>
      </c>
      <c r="D173" s="62">
        <v>7.1064970000000001</v>
      </c>
      <c r="E173" s="62">
        <v>2</v>
      </c>
      <c r="F173" s="62">
        <v>0</v>
      </c>
      <c r="G173" s="62">
        <v>2</v>
      </c>
    </row>
    <row r="174" spans="1:7" x14ac:dyDescent="0.3">
      <c r="A174" s="160">
        <v>162</v>
      </c>
      <c r="B174" s="62">
        <v>1000000</v>
      </c>
      <c r="C174" s="62">
        <v>101.4572</v>
      </c>
      <c r="D174" s="62">
        <v>7.0610049999999998</v>
      </c>
      <c r="E174" s="62">
        <v>2</v>
      </c>
      <c r="F174" s="62">
        <v>0</v>
      </c>
      <c r="G174" s="62">
        <v>2</v>
      </c>
    </row>
    <row r="175" spans="1:7" x14ac:dyDescent="0.3">
      <c r="A175" s="160">
        <v>163</v>
      </c>
      <c r="B175" s="62">
        <v>1000000</v>
      </c>
      <c r="C175" s="62">
        <v>101.26730000000001</v>
      </c>
      <c r="D175" s="62">
        <v>7.0543849999999999</v>
      </c>
      <c r="E175" s="62">
        <v>2</v>
      </c>
      <c r="F175" s="62">
        <v>0</v>
      </c>
      <c r="G175" s="62">
        <v>2</v>
      </c>
    </row>
    <row r="176" spans="1:7" x14ac:dyDescent="0.3">
      <c r="A176" s="160">
        <v>164</v>
      </c>
      <c r="B176" s="62">
        <v>1000000</v>
      </c>
      <c r="C176" s="62">
        <v>101.3715</v>
      </c>
      <c r="D176" s="62">
        <v>7.1179319999999997</v>
      </c>
      <c r="E176" s="62">
        <v>2</v>
      </c>
      <c r="F176" s="62">
        <v>0</v>
      </c>
      <c r="G176" s="62">
        <v>2</v>
      </c>
    </row>
    <row r="177" spans="1:7" x14ac:dyDescent="0.3">
      <c r="A177" s="160">
        <v>165</v>
      </c>
      <c r="B177" s="62">
        <v>1000000</v>
      </c>
      <c r="C177" s="62">
        <v>101.36109999999999</v>
      </c>
      <c r="D177" s="62">
        <v>7.1056020000000002</v>
      </c>
      <c r="E177" s="62">
        <v>2</v>
      </c>
      <c r="F177" s="62">
        <v>0</v>
      </c>
      <c r="G177" s="62">
        <v>2</v>
      </c>
    </row>
    <row r="178" spans="1:7" x14ac:dyDescent="0.3">
      <c r="A178" s="160">
        <v>166</v>
      </c>
      <c r="B178" s="62">
        <v>1000000</v>
      </c>
      <c r="C178" s="62">
        <v>101.4149</v>
      </c>
      <c r="D178" s="62">
        <v>7.0391360000000001</v>
      </c>
      <c r="E178" s="62">
        <v>2</v>
      </c>
      <c r="F178" s="62">
        <v>0</v>
      </c>
      <c r="G178" s="62">
        <v>2</v>
      </c>
    </row>
    <row r="179" spans="1:7" x14ac:dyDescent="0.3">
      <c r="A179" s="160">
        <v>167</v>
      </c>
      <c r="B179" s="62">
        <v>1000000</v>
      </c>
      <c r="C179" s="62">
        <v>101.36320000000001</v>
      </c>
      <c r="D179" s="62">
        <v>7.1246790000000004</v>
      </c>
      <c r="E179" s="62">
        <v>2</v>
      </c>
      <c r="F179" s="62">
        <v>0</v>
      </c>
      <c r="G179" s="62">
        <v>2</v>
      </c>
    </row>
    <row r="180" spans="1:7" x14ac:dyDescent="0.3">
      <c r="A180" s="160">
        <v>168</v>
      </c>
      <c r="B180" s="62">
        <v>1000000</v>
      </c>
      <c r="C180" s="62">
        <v>101.3417</v>
      </c>
      <c r="D180" s="62">
        <v>7.1229529999999999</v>
      </c>
      <c r="E180" s="62">
        <v>2</v>
      </c>
      <c r="F180" s="62">
        <v>0</v>
      </c>
      <c r="G180" s="62">
        <v>2</v>
      </c>
    </row>
    <row r="181" spans="1:7" x14ac:dyDescent="0.3">
      <c r="A181" s="160">
        <v>169</v>
      </c>
      <c r="B181" s="62">
        <v>1000000</v>
      </c>
      <c r="C181" s="62">
        <v>101.43640000000001</v>
      </c>
      <c r="D181" s="62">
        <v>7.0536269999999996</v>
      </c>
      <c r="E181" s="62">
        <v>2</v>
      </c>
      <c r="F181" s="62">
        <v>0</v>
      </c>
      <c r="G181" s="62">
        <v>2</v>
      </c>
    </row>
    <row r="182" spans="1:7" x14ac:dyDescent="0.3">
      <c r="A182" s="160">
        <v>170</v>
      </c>
      <c r="B182" s="62">
        <v>1000000</v>
      </c>
      <c r="C182" s="62">
        <v>101.37139999999999</v>
      </c>
      <c r="D182" s="62">
        <v>7.2050590000000003</v>
      </c>
      <c r="E182" s="62">
        <v>2</v>
      </c>
      <c r="F182" s="62">
        <v>0</v>
      </c>
      <c r="G182" s="62">
        <v>2</v>
      </c>
    </row>
    <row r="183" spans="1:7" x14ac:dyDescent="0.3">
      <c r="A183" s="160">
        <v>171</v>
      </c>
      <c r="B183" s="62">
        <v>859999.9</v>
      </c>
      <c r="C183" s="62">
        <v>100.357</v>
      </c>
      <c r="D183" s="62">
        <v>5.6346590000000001</v>
      </c>
      <c r="E183" s="62">
        <v>2</v>
      </c>
      <c r="F183" s="62">
        <v>0</v>
      </c>
      <c r="G183" s="62">
        <v>2</v>
      </c>
    </row>
    <row r="184" spans="1:7" x14ac:dyDescent="0.3">
      <c r="A184" s="160">
        <v>172</v>
      </c>
      <c r="B184" s="62">
        <v>859999.9</v>
      </c>
      <c r="C184" s="62">
        <v>100.35599999999999</v>
      </c>
      <c r="D184" s="62">
        <v>5.6309290000000001</v>
      </c>
      <c r="E184" s="62">
        <v>2</v>
      </c>
      <c r="F184" s="62">
        <v>0</v>
      </c>
      <c r="G184" s="62">
        <v>2</v>
      </c>
    </row>
    <row r="185" spans="1:7" x14ac:dyDescent="0.3">
      <c r="A185" s="160">
        <v>173</v>
      </c>
      <c r="B185" s="62">
        <v>859999.9</v>
      </c>
      <c r="C185" s="62">
        <v>100.3644</v>
      </c>
      <c r="D185" s="62">
        <v>5.6301560000000004</v>
      </c>
      <c r="E185" s="62">
        <v>2</v>
      </c>
      <c r="F185" s="62">
        <v>0</v>
      </c>
      <c r="G185" s="62">
        <v>2</v>
      </c>
    </row>
    <row r="186" spans="1:7" x14ac:dyDescent="0.3">
      <c r="A186" s="160">
        <v>174</v>
      </c>
      <c r="B186" s="62">
        <v>859999.9</v>
      </c>
      <c r="C186" s="62">
        <v>100.3436</v>
      </c>
      <c r="D186" s="62">
        <v>5.6284799999999997</v>
      </c>
      <c r="E186" s="62">
        <v>2</v>
      </c>
      <c r="F186" s="62">
        <v>0</v>
      </c>
      <c r="G186" s="62">
        <v>2</v>
      </c>
    </row>
    <row r="187" spans="1:7" x14ac:dyDescent="0.3">
      <c r="A187" s="160">
        <v>175</v>
      </c>
      <c r="B187" s="62">
        <v>859999.9</v>
      </c>
      <c r="C187" s="62">
        <v>100.3655</v>
      </c>
      <c r="D187" s="62">
        <v>5.6360859999999997</v>
      </c>
      <c r="E187" s="62">
        <v>2</v>
      </c>
      <c r="F187" s="62">
        <v>0</v>
      </c>
      <c r="G187" s="62">
        <v>2</v>
      </c>
    </row>
    <row r="188" spans="1:7" x14ac:dyDescent="0.3">
      <c r="A188" s="160">
        <v>176</v>
      </c>
      <c r="B188" s="62">
        <v>859999.9</v>
      </c>
      <c r="C188" s="62">
        <v>100.35680000000001</v>
      </c>
      <c r="D188" s="62">
        <v>5.6272000000000002</v>
      </c>
      <c r="E188" s="62">
        <v>2</v>
      </c>
      <c r="F188" s="62">
        <v>0</v>
      </c>
      <c r="G188" s="62">
        <v>2</v>
      </c>
    </row>
    <row r="189" spans="1:7" x14ac:dyDescent="0.3">
      <c r="A189" s="160">
        <v>177</v>
      </c>
      <c r="B189" s="62">
        <v>859999.9</v>
      </c>
      <c r="C189" s="62">
        <v>100.2829</v>
      </c>
      <c r="D189" s="62">
        <v>5.6450889999999996</v>
      </c>
      <c r="E189" s="62">
        <v>2</v>
      </c>
      <c r="F189" s="62">
        <v>0</v>
      </c>
      <c r="G189" s="62">
        <v>2</v>
      </c>
    </row>
    <row r="190" spans="1:7" x14ac:dyDescent="0.3">
      <c r="A190" s="160">
        <v>178</v>
      </c>
      <c r="B190" s="62">
        <v>859999.9</v>
      </c>
      <c r="C190" s="62">
        <v>100.35809999999999</v>
      </c>
      <c r="D190" s="62">
        <v>5.6340789999999998</v>
      </c>
      <c r="E190" s="62">
        <v>2</v>
      </c>
      <c r="F190" s="62">
        <v>0</v>
      </c>
      <c r="G190" s="62">
        <v>2</v>
      </c>
    </row>
    <row r="191" spans="1:7" x14ac:dyDescent="0.3">
      <c r="A191" s="160">
        <v>179</v>
      </c>
      <c r="B191" s="62">
        <v>859999.9</v>
      </c>
      <c r="C191" s="62">
        <v>100.3382</v>
      </c>
      <c r="D191" s="62">
        <v>5.6278160000000002</v>
      </c>
      <c r="E191" s="62">
        <v>2</v>
      </c>
      <c r="F191" s="62">
        <v>0</v>
      </c>
      <c r="G191" s="62">
        <v>2</v>
      </c>
    </row>
    <row r="192" spans="1:7" x14ac:dyDescent="0.3">
      <c r="A192" s="160">
        <v>180</v>
      </c>
      <c r="B192" s="62">
        <v>859999.9</v>
      </c>
      <c r="C192" s="62">
        <v>100.357</v>
      </c>
      <c r="D192" s="62">
        <v>5.6209009999999999</v>
      </c>
      <c r="E192" s="62">
        <v>2</v>
      </c>
      <c r="F192" s="62">
        <v>0</v>
      </c>
      <c r="G192" s="62">
        <v>2</v>
      </c>
    </row>
    <row r="193" spans="1:7" x14ac:dyDescent="0.3">
      <c r="A193" s="160">
        <v>181</v>
      </c>
      <c r="B193" s="62">
        <v>730000</v>
      </c>
      <c r="C193" s="62">
        <v>99.760810000000006</v>
      </c>
      <c r="D193" s="62">
        <v>4.3784000000000001</v>
      </c>
      <c r="E193" s="62">
        <v>2</v>
      </c>
      <c r="F193" s="62">
        <v>0</v>
      </c>
      <c r="G193" s="62">
        <v>2</v>
      </c>
    </row>
    <row r="194" spans="1:7" x14ac:dyDescent="0.3">
      <c r="A194" s="160">
        <v>182</v>
      </c>
      <c r="B194" s="62">
        <v>730000</v>
      </c>
      <c r="C194" s="62">
        <v>99.690370000000001</v>
      </c>
      <c r="D194" s="62">
        <v>4.411905</v>
      </c>
      <c r="E194" s="62">
        <v>2</v>
      </c>
      <c r="F194" s="62">
        <v>0</v>
      </c>
      <c r="G194" s="62">
        <v>2</v>
      </c>
    </row>
    <row r="195" spans="1:7" x14ac:dyDescent="0.3">
      <c r="A195" s="160">
        <v>183</v>
      </c>
      <c r="B195" s="62">
        <v>730000</v>
      </c>
      <c r="C195" s="62">
        <v>99.761380000000003</v>
      </c>
      <c r="D195" s="62">
        <v>4.3648189999999998</v>
      </c>
      <c r="E195" s="62">
        <v>2</v>
      </c>
      <c r="F195" s="62">
        <v>0</v>
      </c>
      <c r="G195" s="62">
        <v>2</v>
      </c>
    </row>
    <row r="196" spans="1:7" x14ac:dyDescent="0.3">
      <c r="A196" s="160">
        <v>184</v>
      </c>
      <c r="B196" s="62">
        <v>730000</v>
      </c>
      <c r="C196" s="62">
        <v>99.760859999999994</v>
      </c>
      <c r="D196" s="62">
        <v>4.320303</v>
      </c>
      <c r="E196" s="62">
        <v>2</v>
      </c>
      <c r="F196" s="62">
        <v>0</v>
      </c>
      <c r="G196" s="62">
        <v>2</v>
      </c>
    </row>
    <row r="197" spans="1:7" x14ac:dyDescent="0.3">
      <c r="A197" s="160">
        <v>185</v>
      </c>
      <c r="B197" s="62">
        <v>730000</v>
      </c>
      <c r="C197" s="62">
        <v>99.727879999999999</v>
      </c>
      <c r="D197" s="62">
        <v>4.4181879999999998</v>
      </c>
      <c r="E197" s="62">
        <v>2</v>
      </c>
      <c r="F197" s="62">
        <v>0</v>
      </c>
      <c r="G197" s="62">
        <v>2</v>
      </c>
    </row>
    <row r="198" spans="1:7" x14ac:dyDescent="0.3">
      <c r="A198" s="160">
        <v>186</v>
      </c>
      <c r="B198" s="62">
        <v>730000</v>
      </c>
      <c r="C198" s="62">
        <v>99.755970000000005</v>
      </c>
      <c r="D198" s="62">
        <v>4.3737300000000001</v>
      </c>
      <c r="E198" s="62">
        <v>2</v>
      </c>
      <c r="F198" s="62">
        <v>0</v>
      </c>
      <c r="G198" s="62">
        <v>2</v>
      </c>
    </row>
    <row r="199" spans="1:7" x14ac:dyDescent="0.3">
      <c r="A199" s="160">
        <v>187</v>
      </c>
      <c r="B199" s="62">
        <v>730000</v>
      </c>
      <c r="C199" s="62">
        <v>99.879940000000005</v>
      </c>
      <c r="D199" s="62">
        <v>4.4218469999999996</v>
      </c>
      <c r="E199" s="62">
        <v>2</v>
      </c>
      <c r="F199" s="62">
        <v>0</v>
      </c>
      <c r="G199" s="62">
        <v>2</v>
      </c>
    </row>
    <row r="200" spans="1:7" x14ac:dyDescent="0.3">
      <c r="A200" s="160">
        <v>188</v>
      </c>
      <c r="B200" s="62">
        <v>730000</v>
      </c>
      <c r="C200" s="62">
        <v>99.675070000000005</v>
      </c>
      <c r="D200" s="62">
        <v>4.3825130000000003</v>
      </c>
      <c r="E200" s="62">
        <v>2</v>
      </c>
      <c r="F200" s="62">
        <v>0</v>
      </c>
      <c r="G200" s="62">
        <v>2</v>
      </c>
    </row>
    <row r="201" spans="1:7" x14ac:dyDescent="0.3">
      <c r="A201" s="160">
        <v>189</v>
      </c>
      <c r="B201" s="62">
        <v>730000</v>
      </c>
      <c r="C201" s="62">
        <v>99.745249999999999</v>
      </c>
      <c r="D201" s="62">
        <v>4.3740560000000004</v>
      </c>
      <c r="E201" s="62">
        <v>2</v>
      </c>
      <c r="F201" s="62">
        <v>0</v>
      </c>
      <c r="G201" s="62">
        <v>2</v>
      </c>
    </row>
    <row r="202" spans="1:7" x14ac:dyDescent="0.3">
      <c r="A202" s="160">
        <v>190</v>
      </c>
      <c r="B202" s="62">
        <v>730000</v>
      </c>
      <c r="C202" s="62">
        <v>99.905119999999997</v>
      </c>
      <c r="D202" s="62">
        <v>4.4108609999999997</v>
      </c>
      <c r="E202" s="62">
        <v>2</v>
      </c>
      <c r="F202" s="62">
        <v>0</v>
      </c>
      <c r="G202" s="62">
        <v>2</v>
      </c>
    </row>
    <row r="203" spans="1:7" x14ac:dyDescent="0.3">
      <c r="A203" s="160">
        <v>191</v>
      </c>
      <c r="B203" s="62">
        <v>589999.9</v>
      </c>
      <c r="C203" s="62">
        <v>99.411959999999993</v>
      </c>
      <c r="D203" s="62">
        <v>3.1942330000000001</v>
      </c>
      <c r="E203" s="62">
        <v>2</v>
      </c>
      <c r="F203" s="62">
        <v>0</v>
      </c>
      <c r="G203" s="62">
        <v>2</v>
      </c>
    </row>
    <row r="204" spans="1:7" x14ac:dyDescent="0.3">
      <c r="A204" s="160">
        <v>192</v>
      </c>
      <c r="B204" s="62">
        <v>589999.9</v>
      </c>
      <c r="C204" s="62">
        <v>99.525890000000004</v>
      </c>
      <c r="D204" s="62">
        <v>3.2136130000000001</v>
      </c>
      <c r="E204" s="62">
        <v>2</v>
      </c>
      <c r="F204" s="62">
        <v>0</v>
      </c>
      <c r="G204" s="62">
        <v>2</v>
      </c>
    </row>
    <row r="205" spans="1:7" x14ac:dyDescent="0.3">
      <c r="A205" s="160">
        <v>193</v>
      </c>
      <c r="B205" s="62">
        <v>589999.9</v>
      </c>
      <c r="C205" s="62">
        <v>99.483140000000006</v>
      </c>
      <c r="D205" s="62">
        <v>3.138004</v>
      </c>
      <c r="E205" s="62">
        <v>2</v>
      </c>
      <c r="F205" s="62">
        <v>0</v>
      </c>
      <c r="G205" s="62">
        <v>2</v>
      </c>
    </row>
    <row r="206" spans="1:7" x14ac:dyDescent="0.3">
      <c r="A206" s="160">
        <v>194</v>
      </c>
      <c r="B206" s="62">
        <v>589999.9</v>
      </c>
      <c r="C206" s="62">
        <v>99.468220000000002</v>
      </c>
      <c r="D206" s="62">
        <v>3.1427420000000001</v>
      </c>
      <c r="E206" s="62">
        <v>2</v>
      </c>
      <c r="F206" s="62">
        <v>0</v>
      </c>
      <c r="G206" s="62">
        <v>2</v>
      </c>
    </row>
    <row r="207" spans="1:7" x14ac:dyDescent="0.3">
      <c r="A207" s="160">
        <v>195</v>
      </c>
      <c r="B207" s="62">
        <v>589999.9</v>
      </c>
      <c r="C207" s="62">
        <v>99.440560000000005</v>
      </c>
      <c r="D207" s="62">
        <v>3.1425399999999999</v>
      </c>
      <c r="E207" s="62">
        <v>2</v>
      </c>
      <c r="F207" s="62">
        <v>0</v>
      </c>
      <c r="G207" s="62">
        <v>2</v>
      </c>
    </row>
    <row r="208" spans="1:7" x14ac:dyDescent="0.3">
      <c r="A208" s="160">
        <v>196</v>
      </c>
      <c r="B208" s="62">
        <v>589999.9</v>
      </c>
      <c r="C208" s="62">
        <v>99.403800000000004</v>
      </c>
      <c r="D208" s="62">
        <v>3.1638500000000001</v>
      </c>
      <c r="E208" s="62">
        <v>2</v>
      </c>
      <c r="F208" s="62">
        <v>0</v>
      </c>
      <c r="G208" s="62">
        <v>2</v>
      </c>
    </row>
    <row r="209" spans="1:7" x14ac:dyDescent="0.3">
      <c r="A209" s="160">
        <v>197</v>
      </c>
      <c r="B209" s="62">
        <v>589999.9</v>
      </c>
      <c r="C209" s="62">
        <v>99.502989999999997</v>
      </c>
      <c r="D209" s="62">
        <v>3.160145</v>
      </c>
      <c r="E209" s="62">
        <v>2</v>
      </c>
      <c r="F209" s="62">
        <v>0</v>
      </c>
      <c r="G209" s="62">
        <v>2</v>
      </c>
    </row>
    <row r="210" spans="1:7" x14ac:dyDescent="0.3">
      <c r="A210" s="160">
        <v>198</v>
      </c>
      <c r="B210" s="62">
        <v>589999.9</v>
      </c>
      <c r="C210" s="62">
        <v>99.406270000000006</v>
      </c>
      <c r="D210" s="62">
        <v>3.1551819999999999</v>
      </c>
      <c r="E210" s="62">
        <v>2</v>
      </c>
      <c r="F210" s="62">
        <v>0</v>
      </c>
      <c r="G210" s="62">
        <v>2</v>
      </c>
    </row>
    <row r="211" spans="1:7" x14ac:dyDescent="0.3">
      <c r="A211" s="160">
        <v>199</v>
      </c>
      <c r="B211" s="62">
        <v>589999.9</v>
      </c>
      <c r="C211" s="62">
        <v>99.460419999999999</v>
      </c>
      <c r="D211" s="62">
        <v>3.144504</v>
      </c>
      <c r="E211" s="62">
        <v>2</v>
      </c>
      <c r="F211" s="62">
        <v>0</v>
      </c>
      <c r="G211" s="62">
        <v>2</v>
      </c>
    </row>
    <row r="212" spans="1:7" x14ac:dyDescent="0.3">
      <c r="A212" s="160">
        <v>200</v>
      </c>
      <c r="B212" s="62">
        <v>589999.9</v>
      </c>
      <c r="C212" s="62">
        <v>99.423680000000004</v>
      </c>
      <c r="D212" s="62">
        <v>3.1289030000000002</v>
      </c>
      <c r="E212" s="62">
        <v>2</v>
      </c>
      <c r="F212" s="62">
        <v>0</v>
      </c>
      <c r="G212" s="62">
        <v>2</v>
      </c>
    </row>
    <row r="213" spans="1:7" x14ac:dyDescent="0.3">
      <c r="A213" s="160">
        <v>201</v>
      </c>
      <c r="B213" s="62">
        <v>460000</v>
      </c>
      <c r="C213" s="62">
        <v>99.431219999999996</v>
      </c>
      <c r="D213" s="62">
        <v>2.2448950000000001</v>
      </c>
      <c r="E213" s="62">
        <v>2</v>
      </c>
      <c r="F213" s="62">
        <v>0</v>
      </c>
      <c r="G213" s="62">
        <v>2</v>
      </c>
    </row>
    <row r="214" spans="1:7" x14ac:dyDescent="0.3">
      <c r="A214" s="160">
        <v>202</v>
      </c>
      <c r="B214" s="62">
        <v>460000</v>
      </c>
      <c r="C214" s="62">
        <v>99.433210000000003</v>
      </c>
      <c r="D214" s="62">
        <v>2.2148780000000001</v>
      </c>
      <c r="E214" s="62">
        <v>2</v>
      </c>
      <c r="F214" s="62">
        <v>0</v>
      </c>
      <c r="G214" s="62">
        <v>2</v>
      </c>
    </row>
    <row r="215" spans="1:7" x14ac:dyDescent="0.3">
      <c r="A215" s="160">
        <v>203</v>
      </c>
      <c r="B215" s="62">
        <v>460000</v>
      </c>
      <c r="C215" s="62">
        <v>99.368799999999993</v>
      </c>
      <c r="D215" s="62">
        <v>2.2542810000000002</v>
      </c>
      <c r="E215" s="62">
        <v>2</v>
      </c>
      <c r="F215" s="62">
        <v>0</v>
      </c>
      <c r="G215" s="62">
        <v>2</v>
      </c>
    </row>
    <row r="216" spans="1:7" x14ac:dyDescent="0.3">
      <c r="A216" s="160">
        <v>204</v>
      </c>
      <c r="B216" s="62">
        <v>460000</v>
      </c>
      <c r="C216" s="62">
        <v>99.439850000000007</v>
      </c>
      <c r="D216" s="62">
        <v>2.2128730000000001</v>
      </c>
      <c r="E216" s="62">
        <v>2</v>
      </c>
      <c r="F216" s="62">
        <v>0</v>
      </c>
      <c r="G216" s="62">
        <v>2</v>
      </c>
    </row>
    <row r="217" spans="1:7" x14ac:dyDescent="0.3">
      <c r="A217" s="160">
        <v>205</v>
      </c>
      <c r="B217" s="62">
        <v>460000</v>
      </c>
      <c r="C217" s="62">
        <v>99.47869</v>
      </c>
      <c r="D217" s="62">
        <v>2.2376049999999998</v>
      </c>
      <c r="E217" s="62">
        <v>2</v>
      </c>
      <c r="F217" s="62">
        <v>0</v>
      </c>
      <c r="G217" s="62">
        <v>2</v>
      </c>
    </row>
    <row r="218" spans="1:7" x14ac:dyDescent="0.3">
      <c r="A218" s="160">
        <v>206</v>
      </c>
      <c r="B218" s="62">
        <v>460000</v>
      </c>
      <c r="C218" s="62">
        <v>99.478719999999996</v>
      </c>
      <c r="D218" s="62">
        <v>2.185451</v>
      </c>
      <c r="E218" s="62">
        <v>2</v>
      </c>
      <c r="F218" s="62">
        <v>0</v>
      </c>
      <c r="G218" s="62">
        <v>2</v>
      </c>
    </row>
    <row r="219" spans="1:7" x14ac:dyDescent="0.3">
      <c r="A219" s="160">
        <v>207</v>
      </c>
      <c r="B219" s="62">
        <v>460000</v>
      </c>
      <c r="C219" s="62">
        <v>99.416510000000002</v>
      </c>
      <c r="D219" s="62">
        <v>2.213517</v>
      </c>
      <c r="E219" s="62">
        <v>2</v>
      </c>
      <c r="F219" s="62">
        <v>0</v>
      </c>
      <c r="G219" s="62">
        <v>2</v>
      </c>
    </row>
    <row r="220" spans="1:7" x14ac:dyDescent="0.3">
      <c r="A220" s="160">
        <v>208</v>
      </c>
      <c r="B220" s="62">
        <v>460000</v>
      </c>
      <c r="C220" s="62">
        <v>99.450190000000006</v>
      </c>
      <c r="D220" s="62">
        <v>2.2365759999999999</v>
      </c>
      <c r="E220" s="62">
        <v>2</v>
      </c>
      <c r="F220" s="62">
        <v>0</v>
      </c>
      <c r="G220" s="62">
        <v>2</v>
      </c>
    </row>
    <row r="221" spans="1:7" x14ac:dyDescent="0.3">
      <c r="A221" s="160">
        <v>209</v>
      </c>
      <c r="B221" s="62">
        <v>460000</v>
      </c>
      <c r="C221" s="62">
        <v>99.445390000000003</v>
      </c>
      <c r="D221" s="62">
        <v>2.2129910000000002</v>
      </c>
      <c r="E221" s="62">
        <v>2</v>
      </c>
      <c r="F221" s="62">
        <v>0</v>
      </c>
      <c r="G221" s="62">
        <v>2</v>
      </c>
    </row>
    <row r="222" spans="1:7" x14ac:dyDescent="0.3">
      <c r="A222" s="160">
        <v>210</v>
      </c>
      <c r="B222" s="62">
        <v>460000</v>
      </c>
      <c r="C222" s="62">
        <v>99.43826</v>
      </c>
      <c r="D222" s="62">
        <v>2.2209279999999998</v>
      </c>
      <c r="E222" s="62">
        <v>2</v>
      </c>
      <c r="F222" s="62">
        <v>0</v>
      </c>
      <c r="G222" s="62">
        <v>2</v>
      </c>
    </row>
    <row r="223" spans="1:7" x14ac:dyDescent="0.3">
      <c r="A223" s="160">
        <v>211</v>
      </c>
      <c r="B223" s="62">
        <v>319999.90000000002</v>
      </c>
      <c r="C223" s="62">
        <v>99.654359999999997</v>
      </c>
      <c r="D223" s="62">
        <v>1.3419639999999999</v>
      </c>
      <c r="E223" s="62">
        <v>2</v>
      </c>
      <c r="F223" s="62">
        <v>0</v>
      </c>
      <c r="G223" s="62">
        <v>2</v>
      </c>
    </row>
    <row r="224" spans="1:7" x14ac:dyDescent="0.3">
      <c r="A224" s="160">
        <v>212</v>
      </c>
      <c r="B224" s="62">
        <v>319999.90000000002</v>
      </c>
      <c r="C224" s="62">
        <v>99.588759999999994</v>
      </c>
      <c r="D224" s="62">
        <v>1.414973</v>
      </c>
      <c r="E224" s="62">
        <v>2</v>
      </c>
      <c r="F224" s="62">
        <v>0</v>
      </c>
      <c r="G224" s="62">
        <v>2</v>
      </c>
    </row>
    <row r="225" spans="1:7" x14ac:dyDescent="0.3">
      <c r="A225" s="160">
        <v>213</v>
      </c>
      <c r="B225" s="62">
        <v>319999.90000000002</v>
      </c>
      <c r="C225" s="62">
        <v>99.670310000000001</v>
      </c>
      <c r="D225" s="62">
        <v>1.3085260000000001</v>
      </c>
      <c r="E225" s="62">
        <v>2</v>
      </c>
      <c r="F225" s="62">
        <v>0</v>
      </c>
      <c r="G225" s="62">
        <v>2</v>
      </c>
    </row>
    <row r="226" spans="1:7" x14ac:dyDescent="0.3">
      <c r="A226" s="160">
        <v>214</v>
      </c>
      <c r="B226" s="62">
        <v>319999.90000000002</v>
      </c>
      <c r="C226" s="62">
        <v>99.535420000000002</v>
      </c>
      <c r="D226" s="62">
        <v>1.3703270000000001</v>
      </c>
      <c r="E226" s="62">
        <v>2</v>
      </c>
      <c r="F226" s="62">
        <v>0</v>
      </c>
      <c r="G226" s="62">
        <v>2</v>
      </c>
    </row>
    <row r="227" spans="1:7" x14ac:dyDescent="0.3">
      <c r="A227" s="160">
        <v>215</v>
      </c>
      <c r="B227" s="62">
        <v>319999.90000000002</v>
      </c>
      <c r="C227" s="62">
        <v>99.644919999999999</v>
      </c>
      <c r="D227" s="62">
        <v>1.365588</v>
      </c>
      <c r="E227" s="62">
        <v>2</v>
      </c>
      <c r="F227" s="62">
        <v>0</v>
      </c>
      <c r="G227" s="62">
        <v>2</v>
      </c>
    </row>
    <row r="228" spans="1:7" x14ac:dyDescent="0.3">
      <c r="A228" s="160">
        <v>216</v>
      </c>
      <c r="B228" s="62">
        <v>319999.90000000002</v>
      </c>
      <c r="C228" s="62">
        <v>99.675120000000007</v>
      </c>
      <c r="D228" s="62">
        <v>1.402757</v>
      </c>
      <c r="E228" s="62">
        <v>2</v>
      </c>
      <c r="F228" s="62">
        <v>0</v>
      </c>
      <c r="G228" s="62">
        <v>2</v>
      </c>
    </row>
    <row r="229" spans="1:7" x14ac:dyDescent="0.3">
      <c r="A229" s="160">
        <v>217</v>
      </c>
      <c r="B229" s="62">
        <v>319999.90000000002</v>
      </c>
      <c r="C229" s="62">
        <v>99.750540000000001</v>
      </c>
      <c r="D229" s="62">
        <v>1.4177120000000001</v>
      </c>
      <c r="E229" s="62">
        <v>2</v>
      </c>
      <c r="F229" s="62">
        <v>0</v>
      </c>
      <c r="G229" s="62">
        <v>2</v>
      </c>
    </row>
    <row r="230" spans="1:7" x14ac:dyDescent="0.3">
      <c r="A230" s="160">
        <v>218</v>
      </c>
      <c r="B230" s="62">
        <v>319999.90000000002</v>
      </c>
      <c r="C230" s="62">
        <v>99.483180000000004</v>
      </c>
      <c r="D230" s="62">
        <v>1.385243</v>
      </c>
      <c r="E230" s="62">
        <v>2</v>
      </c>
      <c r="F230" s="62">
        <v>0</v>
      </c>
      <c r="G230" s="62">
        <v>2</v>
      </c>
    </row>
    <row r="231" spans="1:7" x14ac:dyDescent="0.3">
      <c r="A231" s="160">
        <v>219</v>
      </c>
      <c r="B231" s="62">
        <v>319999.90000000002</v>
      </c>
      <c r="C231" s="62">
        <v>99.563280000000006</v>
      </c>
      <c r="D231" s="62">
        <v>1.343097</v>
      </c>
      <c r="E231" s="62">
        <v>2</v>
      </c>
      <c r="F231" s="62">
        <v>0</v>
      </c>
      <c r="G231" s="62">
        <v>2</v>
      </c>
    </row>
    <row r="232" spans="1:7" x14ac:dyDescent="0.3">
      <c r="A232" s="160">
        <v>220</v>
      </c>
      <c r="B232" s="62">
        <v>319999.90000000002</v>
      </c>
      <c r="C232" s="62">
        <v>99.636099999999999</v>
      </c>
      <c r="D232" s="62">
        <v>1.364455</v>
      </c>
      <c r="E232" s="62">
        <v>2</v>
      </c>
      <c r="F232" s="62">
        <v>0</v>
      </c>
      <c r="G232" s="62">
        <v>2</v>
      </c>
    </row>
    <row r="233" spans="1:7" x14ac:dyDescent="0.3">
      <c r="A233" s="160">
        <v>221</v>
      </c>
      <c r="B233" s="62">
        <v>190000</v>
      </c>
      <c r="C233" s="62">
        <v>99.881450000000001</v>
      </c>
      <c r="D233" s="62">
        <v>0.7172134</v>
      </c>
      <c r="E233" s="62">
        <v>2</v>
      </c>
      <c r="F233" s="62">
        <v>0</v>
      </c>
      <c r="G233" s="62">
        <v>2</v>
      </c>
    </row>
    <row r="234" spans="1:7" x14ac:dyDescent="0.3">
      <c r="A234" s="160">
        <v>222</v>
      </c>
      <c r="B234" s="62">
        <v>190000</v>
      </c>
      <c r="C234" s="62">
        <v>99.859480000000005</v>
      </c>
      <c r="D234" s="62">
        <v>0.92406730000000004</v>
      </c>
      <c r="E234" s="62">
        <v>2</v>
      </c>
      <c r="F234" s="62">
        <v>0</v>
      </c>
      <c r="G234" s="62">
        <v>2</v>
      </c>
    </row>
    <row r="235" spans="1:7" x14ac:dyDescent="0.3">
      <c r="A235" s="160">
        <v>223</v>
      </c>
      <c r="B235" s="62">
        <v>190000</v>
      </c>
      <c r="C235" s="62">
        <v>99.753630000000001</v>
      </c>
      <c r="D235" s="62">
        <v>0.86085739999999999</v>
      </c>
      <c r="E235" s="62">
        <v>2</v>
      </c>
      <c r="F235" s="62">
        <v>0</v>
      </c>
      <c r="G235" s="62">
        <v>2</v>
      </c>
    </row>
    <row r="236" spans="1:7" x14ac:dyDescent="0.3">
      <c r="A236" s="160">
        <v>224</v>
      </c>
      <c r="B236" s="62">
        <v>190000</v>
      </c>
      <c r="C236" s="62">
        <v>99.686390000000003</v>
      </c>
      <c r="D236" s="62">
        <v>0.88450850000000003</v>
      </c>
      <c r="E236" s="62">
        <v>2</v>
      </c>
      <c r="F236" s="62">
        <v>0</v>
      </c>
      <c r="G236" s="62">
        <v>2</v>
      </c>
    </row>
    <row r="237" spans="1:7" x14ac:dyDescent="0.3">
      <c r="A237" s="160">
        <v>225</v>
      </c>
      <c r="B237" s="62">
        <v>190000</v>
      </c>
      <c r="C237" s="62">
        <v>99.887090000000001</v>
      </c>
      <c r="D237" s="62">
        <v>0.81058430000000004</v>
      </c>
      <c r="E237" s="62">
        <v>2</v>
      </c>
      <c r="F237" s="62">
        <v>0</v>
      </c>
      <c r="G237" s="62">
        <v>2</v>
      </c>
    </row>
    <row r="238" spans="1:7" x14ac:dyDescent="0.3">
      <c r="A238" s="160">
        <v>226</v>
      </c>
      <c r="B238" s="62">
        <v>190000</v>
      </c>
      <c r="C238" s="62">
        <v>99.720339999999993</v>
      </c>
      <c r="D238" s="62">
        <v>0.84274579999999999</v>
      </c>
      <c r="E238" s="62">
        <v>2</v>
      </c>
      <c r="F238" s="62">
        <v>0</v>
      </c>
      <c r="G238" s="62">
        <v>2</v>
      </c>
    </row>
    <row r="239" spans="1:7" x14ac:dyDescent="0.3">
      <c r="A239" s="160">
        <v>227</v>
      </c>
      <c r="B239" s="62">
        <v>190000</v>
      </c>
      <c r="C239" s="62">
        <v>99.862899999999996</v>
      </c>
      <c r="D239" s="62">
        <v>0.85146060000000001</v>
      </c>
      <c r="E239" s="62">
        <v>2</v>
      </c>
      <c r="F239" s="62">
        <v>0</v>
      </c>
      <c r="G239" s="62">
        <v>2</v>
      </c>
    </row>
    <row r="240" spans="1:7" x14ac:dyDescent="0.3">
      <c r="A240" s="160">
        <v>228</v>
      </c>
      <c r="B240" s="62">
        <v>190000</v>
      </c>
      <c r="C240" s="62">
        <v>99.761070000000004</v>
      </c>
      <c r="D240" s="62">
        <v>0.91555719999999996</v>
      </c>
      <c r="E240" s="62">
        <v>2</v>
      </c>
      <c r="F240" s="62">
        <v>0</v>
      </c>
      <c r="G240" s="62">
        <v>2</v>
      </c>
    </row>
    <row r="241" spans="1:7" x14ac:dyDescent="0.3">
      <c r="A241" s="160">
        <v>229</v>
      </c>
      <c r="B241" s="62">
        <v>190000</v>
      </c>
      <c r="C241" s="62">
        <v>99.710329999999999</v>
      </c>
      <c r="D241" s="62">
        <v>0.8414836</v>
      </c>
      <c r="E241" s="62">
        <v>2</v>
      </c>
      <c r="F241" s="62">
        <v>0</v>
      </c>
      <c r="G241" s="62">
        <v>2</v>
      </c>
    </row>
    <row r="242" spans="1:7" x14ac:dyDescent="0.3">
      <c r="A242" s="160">
        <v>230</v>
      </c>
      <c r="B242" s="62">
        <v>190000</v>
      </c>
      <c r="C242" s="62">
        <v>99.625780000000006</v>
      </c>
      <c r="D242" s="62">
        <v>0.6972777</v>
      </c>
      <c r="E242" s="62">
        <v>2</v>
      </c>
      <c r="F242" s="62">
        <v>0</v>
      </c>
      <c r="G242" s="62">
        <v>2</v>
      </c>
    </row>
    <row r="243" spans="1:7" x14ac:dyDescent="0.3">
      <c r="A243" s="160">
        <v>231</v>
      </c>
      <c r="B243" s="62">
        <v>50999.97</v>
      </c>
      <c r="C243" s="62">
        <v>99.674080000000004</v>
      </c>
      <c r="D243" s="62">
        <v>0.16054860000000001</v>
      </c>
      <c r="E243" s="62">
        <v>2</v>
      </c>
      <c r="F243" s="62">
        <v>0</v>
      </c>
      <c r="G243" s="62">
        <v>2</v>
      </c>
    </row>
    <row r="244" spans="1:7" x14ac:dyDescent="0.3">
      <c r="A244" s="160">
        <v>232</v>
      </c>
      <c r="B244" s="62">
        <v>50999.97</v>
      </c>
      <c r="C244" s="62">
        <v>99.729600000000005</v>
      </c>
      <c r="D244" s="62">
        <v>0.2225423</v>
      </c>
      <c r="E244" s="62">
        <v>2</v>
      </c>
      <c r="F244" s="62">
        <v>0</v>
      </c>
      <c r="G244" s="62">
        <v>2</v>
      </c>
    </row>
    <row r="245" spans="1:7" x14ac:dyDescent="0.3">
      <c r="A245" s="160">
        <v>233</v>
      </c>
      <c r="B245" s="62">
        <v>50999.97</v>
      </c>
      <c r="C245" s="62">
        <v>99.787440000000004</v>
      </c>
      <c r="D245" s="62">
        <v>0.28397080000000002</v>
      </c>
      <c r="E245" s="62">
        <v>2</v>
      </c>
      <c r="F245" s="62">
        <v>0</v>
      </c>
      <c r="G245" s="62">
        <v>2</v>
      </c>
    </row>
    <row r="246" spans="1:7" x14ac:dyDescent="0.3">
      <c r="A246" s="160">
        <v>234</v>
      </c>
      <c r="B246" s="62">
        <v>50999.97</v>
      </c>
      <c r="C246" s="62">
        <v>99.835390000000004</v>
      </c>
      <c r="D246" s="62">
        <v>0.25590020000000002</v>
      </c>
      <c r="E246" s="62">
        <v>2</v>
      </c>
      <c r="F246" s="62">
        <v>0</v>
      </c>
      <c r="G246" s="62">
        <v>2</v>
      </c>
    </row>
    <row r="247" spans="1:7" x14ac:dyDescent="0.3">
      <c r="A247" s="160">
        <v>235</v>
      </c>
      <c r="B247" s="62">
        <v>50999.97</v>
      </c>
      <c r="C247" s="62">
        <v>99.845690000000005</v>
      </c>
      <c r="D247" s="62">
        <v>0.21060509999999999</v>
      </c>
      <c r="E247" s="62">
        <v>2</v>
      </c>
      <c r="F247" s="62">
        <v>0</v>
      </c>
      <c r="G247" s="62">
        <v>2</v>
      </c>
    </row>
    <row r="248" spans="1:7" x14ac:dyDescent="0.3">
      <c r="A248" s="160">
        <v>236</v>
      </c>
      <c r="B248" s="62">
        <v>50999.97</v>
      </c>
      <c r="C248" s="62">
        <v>99.836330000000004</v>
      </c>
      <c r="D248" s="62">
        <v>0.25895289999999999</v>
      </c>
      <c r="E248" s="62">
        <v>2</v>
      </c>
      <c r="F248" s="62">
        <v>0</v>
      </c>
      <c r="G248" s="62">
        <v>2</v>
      </c>
    </row>
    <row r="249" spans="1:7" x14ac:dyDescent="0.3">
      <c r="A249" s="160">
        <v>237</v>
      </c>
      <c r="B249" s="62">
        <v>50999.97</v>
      </c>
      <c r="C249" s="62">
        <v>99.7423</v>
      </c>
      <c r="D249" s="62">
        <v>0.217617</v>
      </c>
      <c r="E249" s="62">
        <v>2</v>
      </c>
      <c r="F249" s="62">
        <v>0</v>
      </c>
      <c r="G249" s="62">
        <v>2</v>
      </c>
    </row>
    <row r="250" spans="1:7" x14ac:dyDescent="0.3">
      <c r="A250" s="160">
        <v>238</v>
      </c>
      <c r="B250" s="62">
        <v>50999.97</v>
      </c>
      <c r="C250" s="62">
        <v>99.732410000000002</v>
      </c>
      <c r="D250" s="62">
        <v>0.21218480000000001</v>
      </c>
      <c r="E250" s="62">
        <v>2</v>
      </c>
      <c r="F250" s="62">
        <v>0</v>
      </c>
      <c r="G250" s="62">
        <v>2</v>
      </c>
    </row>
    <row r="251" spans="1:7" x14ac:dyDescent="0.3">
      <c r="A251" s="160">
        <v>239</v>
      </c>
      <c r="B251" s="62">
        <v>50999.97</v>
      </c>
      <c r="C251" s="62">
        <v>99.717089999999999</v>
      </c>
      <c r="D251" s="62">
        <v>0.21676329999999999</v>
      </c>
      <c r="E251" s="62">
        <v>2</v>
      </c>
      <c r="F251" s="62">
        <v>0</v>
      </c>
      <c r="G251" s="62">
        <v>2</v>
      </c>
    </row>
    <row r="252" spans="1:7" x14ac:dyDescent="0.3">
      <c r="A252" s="160">
        <v>240</v>
      </c>
      <c r="B252" s="62">
        <v>50999.97</v>
      </c>
      <c r="C252" s="62">
        <v>99.840109999999996</v>
      </c>
      <c r="D252" s="62">
        <v>0.21077199999999999</v>
      </c>
      <c r="E252" s="62">
        <v>2</v>
      </c>
      <c r="F252" s="62">
        <v>0</v>
      </c>
      <c r="G252" s="62">
        <v>2</v>
      </c>
    </row>
    <row r="253" spans="1:7" x14ac:dyDescent="0.3">
      <c r="A253" s="160">
        <v>241</v>
      </c>
      <c r="B253" s="62">
        <v>1000000</v>
      </c>
      <c r="C253" s="62">
        <v>100.5234</v>
      </c>
      <c r="D253" s="62">
        <v>2.0509580000000001</v>
      </c>
      <c r="E253" s="62">
        <v>3</v>
      </c>
      <c r="F253" s="62">
        <v>0</v>
      </c>
      <c r="G253" s="62">
        <v>2</v>
      </c>
    </row>
    <row r="254" spans="1:7" x14ac:dyDescent="0.3">
      <c r="A254" s="160">
        <v>242</v>
      </c>
      <c r="B254" s="62">
        <v>1000000</v>
      </c>
      <c r="C254" s="62">
        <v>100.6133</v>
      </c>
      <c r="D254" s="62">
        <v>2.121686</v>
      </c>
      <c r="E254" s="62">
        <v>3</v>
      </c>
      <c r="F254" s="62">
        <v>0</v>
      </c>
      <c r="G254" s="62">
        <v>2</v>
      </c>
    </row>
    <row r="255" spans="1:7" x14ac:dyDescent="0.3">
      <c r="A255" s="160">
        <v>243</v>
      </c>
      <c r="B255" s="62">
        <v>1000000</v>
      </c>
      <c r="C255" s="62">
        <v>100.6387</v>
      </c>
      <c r="D255" s="62">
        <v>2.1056550000000001</v>
      </c>
      <c r="E255" s="62">
        <v>3</v>
      </c>
      <c r="F255" s="62">
        <v>0</v>
      </c>
      <c r="G255" s="62">
        <v>2</v>
      </c>
    </row>
    <row r="256" spans="1:7" x14ac:dyDescent="0.3">
      <c r="A256" s="160">
        <v>244</v>
      </c>
      <c r="B256" s="62">
        <v>1000000</v>
      </c>
      <c r="C256" s="62">
        <v>100.6117</v>
      </c>
      <c r="D256" s="62">
        <v>2.0514139999999998</v>
      </c>
      <c r="E256" s="62">
        <v>3</v>
      </c>
      <c r="F256" s="62">
        <v>0</v>
      </c>
      <c r="G256" s="62">
        <v>2</v>
      </c>
    </row>
    <row r="257" spans="1:7" x14ac:dyDescent="0.3">
      <c r="A257" s="160">
        <v>245</v>
      </c>
      <c r="B257" s="62">
        <v>1000000</v>
      </c>
      <c r="C257" s="62">
        <v>100.4003</v>
      </c>
      <c r="D257" s="62">
        <v>2.0041329999999999</v>
      </c>
      <c r="E257" s="62">
        <v>3</v>
      </c>
      <c r="F257" s="62">
        <v>0</v>
      </c>
      <c r="G257" s="62">
        <v>2</v>
      </c>
    </row>
    <row r="258" spans="1:7" x14ac:dyDescent="0.3">
      <c r="A258" s="160">
        <v>246</v>
      </c>
      <c r="B258" s="62">
        <v>1000000</v>
      </c>
      <c r="C258" s="62">
        <v>100.3704</v>
      </c>
      <c r="D258" s="62">
        <v>2.024902</v>
      </c>
      <c r="E258" s="62">
        <v>3</v>
      </c>
      <c r="F258" s="62">
        <v>0</v>
      </c>
      <c r="G258" s="62">
        <v>2</v>
      </c>
    </row>
    <row r="259" spans="1:7" x14ac:dyDescent="0.3">
      <c r="A259" s="160">
        <v>247</v>
      </c>
      <c r="B259" s="62">
        <v>1000000</v>
      </c>
      <c r="C259" s="62">
        <v>100.5256</v>
      </c>
      <c r="D259" s="62">
        <v>2.0347729999999999</v>
      </c>
      <c r="E259" s="62">
        <v>3</v>
      </c>
      <c r="F259" s="62">
        <v>0</v>
      </c>
      <c r="G259" s="62">
        <v>2</v>
      </c>
    </row>
    <row r="260" spans="1:7" x14ac:dyDescent="0.3">
      <c r="A260" s="160">
        <v>248</v>
      </c>
      <c r="B260" s="62">
        <v>1000000</v>
      </c>
      <c r="C260" s="62">
        <v>100.504</v>
      </c>
      <c r="D260" s="62">
        <v>2.0631149999999998</v>
      </c>
      <c r="E260" s="62">
        <v>3</v>
      </c>
      <c r="F260" s="62">
        <v>0</v>
      </c>
      <c r="G260" s="62">
        <v>2</v>
      </c>
    </row>
    <row r="261" spans="1:7" x14ac:dyDescent="0.3">
      <c r="A261" s="160">
        <v>249</v>
      </c>
      <c r="B261" s="62">
        <v>1000000</v>
      </c>
      <c r="C261" s="62">
        <v>100.5193</v>
      </c>
      <c r="D261" s="62">
        <v>2.0648520000000001</v>
      </c>
      <c r="E261" s="62">
        <v>3</v>
      </c>
      <c r="F261" s="62">
        <v>0</v>
      </c>
      <c r="G261" s="62">
        <v>2</v>
      </c>
    </row>
    <row r="262" spans="1:7" x14ac:dyDescent="0.3">
      <c r="A262" s="160">
        <v>250</v>
      </c>
      <c r="B262" s="62">
        <v>1000000</v>
      </c>
      <c r="C262" s="62">
        <v>100.5421</v>
      </c>
      <c r="D262" s="62">
        <v>2.0432419999999998</v>
      </c>
      <c r="E262" s="62">
        <v>3</v>
      </c>
      <c r="F262" s="62">
        <v>0</v>
      </c>
      <c r="G262" s="62">
        <v>2</v>
      </c>
    </row>
    <row r="263" spans="1:7" x14ac:dyDescent="0.3">
      <c r="A263" s="160">
        <v>251</v>
      </c>
      <c r="B263" s="62">
        <v>859999.9</v>
      </c>
      <c r="C263" s="62">
        <v>99.710769999999997</v>
      </c>
      <c r="D263" s="62">
        <v>1.275487</v>
      </c>
      <c r="E263" s="62">
        <v>3</v>
      </c>
      <c r="F263" s="62">
        <v>0</v>
      </c>
      <c r="G263" s="62">
        <v>2</v>
      </c>
    </row>
    <row r="264" spans="1:7" x14ac:dyDescent="0.3">
      <c r="A264" s="160">
        <v>252</v>
      </c>
      <c r="B264" s="62">
        <v>859999.9</v>
      </c>
      <c r="C264" s="62">
        <v>99.725430000000003</v>
      </c>
      <c r="D264" s="62">
        <v>1.258481</v>
      </c>
      <c r="E264" s="62">
        <v>3</v>
      </c>
      <c r="F264" s="62">
        <v>0</v>
      </c>
      <c r="G264" s="62">
        <v>2</v>
      </c>
    </row>
    <row r="265" spans="1:7" x14ac:dyDescent="0.3">
      <c r="A265" s="160">
        <v>253</v>
      </c>
      <c r="B265" s="62">
        <v>859999.9</v>
      </c>
      <c r="C265" s="62">
        <v>99.715940000000003</v>
      </c>
      <c r="D265" s="62">
        <v>1.250645</v>
      </c>
      <c r="E265" s="62">
        <v>3</v>
      </c>
      <c r="F265" s="62">
        <v>0</v>
      </c>
      <c r="G265" s="62">
        <v>2</v>
      </c>
    </row>
    <row r="266" spans="1:7" x14ac:dyDescent="0.3">
      <c r="A266" s="160">
        <v>254</v>
      </c>
      <c r="B266" s="62">
        <v>859999.9</v>
      </c>
      <c r="C266" s="62">
        <v>99.720889999999997</v>
      </c>
      <c r="D266" s="62">
        <v>1.3184959999999999</v>
      </c>
      <c r="E266" s="62">
        <v>3</v>
      </c>
      <c r="F266" s="62">
        <v>0</v>
      </c>
      <c r="G266" s="62">
        <v>2</v>
      </c>
    </row>
    <row r="267" spans="1:7" x14ac:dyDescent="0.3">
      <c r="A267" s="160">
        <v>255</v>
      </c>
      <c r="B267" s="62">
        <v>859999.9</v>
      </c>
      <c r="C267" s="62">
        <v>99.741870000000006</v>
      </c>
      <c r="D267" s="62">
        <v>1.277093</v>
      </c>
      <c r="E267" s="62">
        <v>3</v>
      </c>
      <c r="F267" s="62">
        <v>0</v>
      </c>
      <c r="G267" s="62">
        <v>2</v>
      </c>
    </row>
    <row r="268" spans="1:7" x14ac:dyDescent="0.3">
      <c r="A268" s="160">
        <v>256</v>
      </c>
      <c r="B268" s="62">
        <v>859999.9</v>
      </c>
      <c r="C268" s="62">
        <v>99.682069999999996</v>
      </c>
      <c r="D268" s="62">
        <v>1.2118789999999999</v>
      </c>
      <c r="E268" s="62">
        <v>3</v>
      </c>
      <c r="F268" s="62">
        <v>0</v>
      </c>
      <c r="G268" s="62">
        <v>2</v>
      </c>
    </row>
    <row r="269" spans="1:7" x14ac:dyDescent="0.3">
      <c r="A269" s="160">
        <v>257</v>
      </c>
      <c r="B269" s="62">
        <v>859999.9</v>
      </c>
      <c r="C269" s="62">
        <v>99.717680000000001</v>
      </c>
      <c r="D269" s="62">
        <v>1.2608220000000001</v>
      </c>
      <c r="E269" s="62">
        <v>3</v>
      </c>
      <c r="F269" s="62">
        <v>0</v>
      </c>
      <c r="G269" s="62">
        <v>2</v>
      </c>
    </row>
    <row r="270" spans="1:7" x14ac:dyDescent="0.3">
      <c r="A270" s="160">
        <v>258</v>
      </c>
      <c r="B270" s="62">
        <v>859999.9</v>
      </c>
      <c r="C270" s="62">
        <v>99.619309999999999</v>
      </c>
      <c r="D270" s="62">
        <v>1.298273</v>
      </c>
      <c r="E270" s="62">
        <v>3</v>
      </c>
      <c r="F270" s="62">
        <v>0</v>
      </c>
      <c r="G270" s="62">
        <v>2</v>
      </c>
    </row>
    <row r="271" spans="1:7" x14ac:dyDescent="0.3">
      <c r="A271" s="160">
        <v>259</v>
      </c>
      <c r="B271" s="62">
        <v>859999.9</v>
      </c>
      <c r="C271" s="62">
        <v>99.821579999999997</v>
      </c>
      <c r="D271" s="62">
        <v>1.275517</v>
      </c>
      <c r="E271" s="62">
        <v>3</v>
      </c>
      <c r="F271" s="62">
        <v>0</v>
      </c>
      <c r="G271" s="62">
        <v>2</v>
      </c>
    </row>
    <row r="272" spans="1:7" x14ac:dyDescent="0.3">
      <c r="A272" s="160">
        <v>260</v>
      </c>
      <c r="B272" s="62">
        <v>859999.9</v>
      </c>
      <c r="C272" s="62">
        <v>99.722279999999998</v>
      </c>
      <c r="D272" s="62">
        <v>1.263855</v>
      </c>
      <c r="E272" s="62">
        <v>3</v>
      </c>
      <c r="F272" s="62">
        <v>0</v>
      </c>
      <c r="G272" s="62">
        <v>2</v>
      </c>
    </row>
    <row r="273" spans="1:7" x14ac:dyDescent="0.3">
      <c r="A273" s="160">
        <v>261</v>
      </c>
      <c r="B273" s="62">
        <v>730000</v>
      </c>
      <c r="C273" s="62">
        <v>99.28389</v>
      </c>
      <c r="D273" s="62">
        <v>0.64502219999999999</v>
      </c>
      <c r="E273" s="62">
        <v>3</v>
      </c>
      <c r="F273" s="62">
        <v>0</v>
      </c>
      <c r="G273" s="62">
        <v>2</v>
      </c>
    </row>
    <row r="274" spans="1:7" x14ac:dyDescent="0.3">
      <c r="A274" s="160">
        <v>262</v>
      </c>
      <c r="B274" s="62">
        <v>730000</v>
      </c>
      <c r="C274" s="62">
        <v>99.307479999999998</v>
      </c>
      <c r="D274" s="62">
        <v>0.5911613</v>
      </c>
      <c r="E274" s="62">
        <v>3</v>
      </c>
      <c r="F274" s="62">
        <v>0</v>
      </c>
      <c r="G274" s="62">
        <v>2</v>
      </c>
    </row>
    <row r="275" spans="1:7" x14ac:dyDescent="0.3">
      <c r="A275" s="160">
        <v>263</v>
      </c>
      <c r="B275" s="62">
        <v>730000</v>
      </c>
      <c r="C275" s="62">
        <v>99.295860000000005</v>
      </c>
      <c r="D275" s="62">
        <v>0.71057440000000005</v>
      </c>
      <c r="E275" s="62">
        <v>3</v>
      </c>
      <c r="F275" s="62">
        <v>0</v>
      </c>
      <c r="G275" s="62">
        <v>2</v>
      </c>
    </row>
    <row r="276" spans="1:7" x14ac:dyDescent="0.3">
      <c r="A276" s="160">
        <v>264</v>
      </c>
      <c r="B276" s="62">
        <v>730000</v>
      </c>
      <c r="C276" s="62">
        <v>99.181619999999995</v>
      </c>
      <c r="D276" s="62">
        <v>0.6392388</v>
      </c>
      <c r="E276" s="62">
        <v>3</v>
      </c>
      <c r="F276" s="62">
        <v>0</v>
      </c>
      <c r="G276" s="62">
        <v>2</v>
      </c>
    </row>
    <row r="277" spans="1:7" x14ac:dyDescent="0.3">
      <c r="A277" s="160">
        <v>265</v>
      </c>
      <c r="B277" s="62">
        <v>730000</v>
      </c>
      <c r="C277" s="62">
        <v>99.291449999999998</v>
      </c>
      <c r="D277" s="62">
        <v>0.64568219999999998</v>
      </c>
      <c r="E277" s="62">
        <v>3</v>
      </c>
      <c r="F277" s="62">
        <v>0</v>
      </c>
      <c r="G277" s="62">
        <v>2</v>
      </c>
    </row>
    <row r="278" spans="1:7" x14ac:dyDescent="0.3">
      <c r="A278" s="160">
        <v>266</v>
      </c>
      <c r="B278" s="62">
        <v>730000</v>
      </c>
      <c r="C278" s="62">
        <v>99.292090000000002</v>
      </c>
      <c r="D278" s="62">
        <v>0.6459319</v>
      </c>
      <c r="E278" s="62">
        <v>3</v>
      </c>
      <c r="F278" s="62">
        <v>0</v>
      </c>
      <c r="G278" s="62">
        <v>2</v>
      </c>
    </row>
    <row r="279" spans="1:7" x14ac:dyDescent="0.3">
      <c r="A279" s="160">
        <v>267</v>
      </c>
      <c r="B279" s="62">
        <v>730000</v>
      </c>
      <c r="C279" s="62">
        <v>99.287400000000005</v>
      </c>
      <c r="D279" s="62">
        <v>0.64852719999999997</v>
      </c>
      <c r="E279" s="62">
        <v>3</v>
      </c>
      <c r="F279" s="62">
        <v>0</v>
      </c>
      <c r="G279" s="62">
        <v>2</v>
      </c>
    </row>
    <row r="280" spans="1:7" x14ac:dyDescent="0.3">
      <c r="A280" s="160">
        <v>268</v>
      </c>
      <c r="B280" s="62">
        <v>730000</v>
      </c>
      <c r="C280" s="62">
        <v>99.342920000000007</v>
      </c>
      <c r="D280" s="62">
        <v>0.59667550000000003</v>
      </c>
      <c r="E280" s="62">
        <v>3</v>
      </c>
      <c r="F280" s="62">
        <v>0</v>
      </c>
      <c r="G280" s="62">
        <v>2</v>
      </c>
    </row>
    <row r="281" spans="1:7" x14ac:dyDescent="0.3">
      <c r="A281" s="160">
        <v>269</v>
      </c>
      <c r="B281" s="62">
        <v>730000</v>
      </c>
      <c r="C281" s="62">
        <v>99.296189999999996</v>
      </c>
      <c r="D281" s="62">
        <v>0.63960329999999999</v>
      </c>
      <c r="E281" s="62">
        <v>3</v>
      </c>
      <c r="F281" s="62">
        <v>0</v>
      </c>
      <c r="G281" s="62">
        <v>2</v>
      </c>
    </row>
    <row r="282" spans="1:7" x14ac:dyDescent="0.3">
      <c r="A282" s="160">
        <v>270</v>
      </c>
      <c r="B282" s="62">
        <v>730000</v>
      </c>
      <c r="C282" s="62">
        <v>99.276229999999998</v>
      </c>
      <c r="D282" s="62">
        <v>0.64331450000000001</v>
      </c>
      <c r="E282" s="62">
        <v>3</v>
      </c>
      <c r="F282" s="62">
        <v>0</v>
      </c>
      <c r="G282" s="62">
        <v>2</v>
      </c>
    </row>
    <row r="283" spans="1:7" x14ac:dyDescent="0.3">
      <c r="A283" s="160">
        <v>271</v>
      </c>
      <c r="B283" s="62">
        <v>589999.9</v>
      </c>
      <c r="C283" s="62">
        <v>99.187749999999994</v>
      </c>
      <c r="D283" s="62">
        <v>0.14574880000000001</v>
      </c>
      <c r="E283" s="62">
        <v>3</v>
      </c>
      <c r="F283" s="62">
        <v>0</v>
      </c>
      <c r="G283" s="62">
        <v>2</v>
      </c>
    </row>
    <row r="284" spans="1:7" x14ac:dyDescent="0.3">
      <c r="A284" s="160">
        <v>272</v>
      </c>
      <c r="B284" s="62">
        <v>589999.9</v>
      </c>
      <c r="C284" s="62">
        <v>99.011129999999994</v>
      </c>
      <c r="D284" s="62">
        <v>8.9320029999999995E-2</v>
      </c>
      <c r="E284" s="62">
        <v>3</v>
      </c>
      <c r="F284" s="62">
        <v>0</v>
      </c>
      <c r="G284" s="62">
        <v>2</v>
      </c>
    </row>
    <row r="285" spans="1:7" x14ac:dyDescent="0.3">
      <c r="A285" s="160">
        <v>273</v>
      </c>
      <c r="B285" s="62">
        <v>589999.9</v>
      </c>
      <c r="C285" s="62">
        <v>99.190659999999994</v>
      </c>
      <c r="D285" s="62">
        <v>0.1484094</v>
      </c>
      <c r="E285" s="62">
        <v>3</v>
      </c>
      <c r="F285" s="62">
        <v>0</v>
      </c>
      <c r="G285" s="62">
        <v>2</v>
      </c>
    </row>
    <row r="286" spans="1:7" x14ac:dyDescent="0.3">
      <c r="A286" s="160">
        <v>274</v>
      </c>
      <c r="B286" s="62">
        <v>589999.9</v>
      </c>
      <c r="C286" s="62">
        <v>99.035719999999998</v>
      </c>
      <c r="D286" s="62">
        <v>8.0325359999999998E-2</v>
      </c>
      <c r="E286" s="62">
        <v>3</v>
      </c>
      <c r="F286" s="62">
        <v>0</v>
      </c>
      <c r="G286" s="62">
        <v>2</v>
      </c>
    </row>
    <row r="287" spans="1:7" x14ac:dyDescent="0.3">
      <c r="A287" s="160">
        <v>275</v>
      </c>
      <c r="B287" s="62">
        <v>589999.9</v>
      </c>
      <c r="C287" s="62">
        <v>99.144959999999998</v>
      </c>
      <c r="D287" s="62">
        <v>0.17566909999999999</v>
      </c>
      <c r="E287" s="62">
        <v>3</v>
      </c>
      <c r="F287" s="62">
        <v>0</v>
      </c>
      <c r="G287" s="62">
        <v>2</v>
      </c>
    </row>
    <row r="288" spans="1:7" x14ac:dyDescent="0.3">
      <c r="A288" s="160">
        <v>276</v>
      </c>
      <c r="B288" s="62">
        <v>589999.9</v>
      </c>
      <c r="C288" s="62">
        <v>99.159300000000002</v>
      </c>
      <c r="D288" s="62">
        <v>0.1574045</v>
      </c>
      <c r="E288" s="62">
        <v>3</v>
      </c>
      <c r="F288" s="62">
        <v>0</v>
      </c>
      <c r="G288" s="62">
        <v>2</v>
      </c>
    </row>
    <row r="289" spans="1:7" x14ac:dyDescent="0.3">
      <c r="A289" s="160">
        <v>277</v>
      </c>
      <c r="B289" s="62">
        <v>589999.9</v>
      </c>
      <c r="C289" s="62">
        <v>99.225989999999996</v>
      </c>
      <c r="D289" s="62">
        <v>0.19930639999999999</v>
      </c>
      <c r="E289" s="62">
        <v>3</v>
      </c>
      <c r="F289" s="62">
        <v>0</v>
      </c>
      <c r="G289" s="62">
        <v>2</v>
      </c>
    </row>
    <row r="290" spans="1:7" x14ac:dyDescent="0.3">
      <c r="A290" s="160">
        <v>278</v>
      </c>
      <c r="B290" s="62">
        <v>589999.9</v>
      </c>
      <c r="C290" s="62">
        <v>99.08672</v>
      </c>
      <c r="D290" s="62">
        <v>0.1561292</v>
      </c>
      <c r="E290" s="62">
        <v>3</v>
      </c>
      <c r="F290" s="62">
        <v>0</v>
      </c>
      <c r="G290" s="62">
        <v>2</v>
      </c>
    </row>
    <row r="291" spans="1:7" x14ac:dyDescent="0.3">
      <c r="A291" s="160">
        <v>279</v>
      </c>
      <c r="B291" s="62">
        <v>589999.9</v>
      </c>
      <c r="C291" s="62">
        <v>99.080209999999994</v>
      </c>
      <c r="D291" s="62">
        <v>0.15057100000000001</v>
      </c>
      <c r="E291" s="62">
        <v>3</v>
      </c>
      <c r="F291" s="62">
        <v>0</v>
      </c>
      <c r="G291" s="62">
        <v>2</v>
      </c>
    </row>
    <row r="292" spans="1:7" x14ac:dyDescent="0.3">
      <c r="A292" s="160">
        <v>280</v>
      </c>
      <c r="B292" s="62">
        <v>589999.9</v>
      </c>
      <c r="C292" s="62">
        <v>99.125540000000001</v>
      </c>
      <c r="D292" s="62">
        <v>0.1272469</v>
      </c>
      <c r="E292" s="62">
        <v>3</v>
      </c>
      <c r="F292" s="62">
        <v>0</v>
      </c>
      <c r="G292" s="62">
        <v>2</v>
      </c>
    </row>
    <row r="293" spans="1:7" x14ac:dyDescent="0.3">
      <c r="A293" s="160">
        <v>281</v>
      </c>
      <c r="B293" s="62">
        <v>460000</v>
      </c>
      <c r="C293" s="62">
        <v>99.194040000000001</v>
      </c>
      <c r="D293" s="62">
        <v>-9.3280070000000007E-2</v>
      </c>
      <c r="E293" s="62">
        <v>3</v>
      </c>
      <c r="F293" s="62">
        <v>0</v>
      </c>
      <c r="G293" s="62">
        <v>2</v>
      </c>
    </row>
    <row r="294" spans="1:7" x14ac:dyDescent="0.3">
      <c r="A294" s="160">
        <v>282</v>
      </c>
      <c r="B294" s="62">
        <v>460000</v>
      </c>
      <c r="C294" s="62">
        <v>99.24933</v>
      </c>
      <c r="D294" s="62">
        <v>-0.12112920000000001</v>
      </c>
      <c r="E294" s="62">
        <v>3</v>
      </c>
      <c r="F294" s="62">
        <v>0</v>
      </c>
      <c r="G294" s="62">
        <v>2</v>
      </c>
    </row>
    <row r="295" spans="1:7" x14ac:dyDescent="0.3">
      <c r="A295" s="160">
        <v>283</v>
      </c>
      <c r="B295" s="62">
        <v>460000</v>
      </c>
      <c r="C295" s="62">
        <v>99.293859999999995</v>
      </c>
      <c r="D295" s="62">
        <v>-0.19295599999999999</v>
      </c>
      <c r="E295" s="62">
        <v>3</v>
      </c>
      <c r="F295" s="62">
        <v>0</v>
      </c>
      <c r="G295" s="62">
        <v>2</v>
      </c>
    </row>
    <row r="296" spans="1:7" x14ac:dyDescent="0.3">
      <c r="A296" s="160">
        <v>284</v>
      </c>
      <c r="B296" s="62">
        <v>460000</v>
      </c>
      <c r="C296" s="62">
        <v>99.171710000000004</v>
      </c>
      <c r="D296" s="62">
        <v>-0.20296729999999999</v>
      </c>
      <c r="E296" s="62">
        <v>3</v>
      </c>
      <c r="F296" s="62">
        <v>0</v>
      </c>
      <c r="G296" s="62">
        <v>2</v>
      </c>
    </row>
    <row r="297" spans="1:7" x14ac:dyDescent="0.3">
      <c r="A297" s="160">
        <v>285</v>
      </c>
      <c r="B297" s="62">
        <v>460000</v>
      </c>
      <c r="C297" s="62">
        <v>99.253839999999997</v>
      </c>
      <c r="D297" s="62">
        <v>-0.22980539999999999</v>
      </c>
      <c r="E297" s="62">
        <v>3</v>
      </c>
      <c r="F297" s="62">
        <v>0</v>
      </c>
      <c r="G297" s="62">
        <v>2</v>
      </c>
    </row>
    <row r="298" spans="1:7" x14ac:dyDescent="0.3">
      <c r="A298" s="160">
        <v>286</v>
      </c>
      <c r="B298" s="62">
        <v>460000</v>
      </c>
      <c r="C298" s="62">
        <v>99.246030000000005</v>
      </c>
      <c r="D298" s="62">
        <v>-0.15151999999999999</v>
      </c>
      <c r="E298" s="62">
        <v>3</v>
      </c>
      <c r="F298" s="62">
        <v>0</v>
      </c>
      <c r="G298" s="62">
        <v>2</v>
      </c>
    </row>
    <row r="299" spans="1:7" x14ac:dyDescent="0.3">
      <c r="A299" s="160">
        <v>287</v>
      </c>
      <c r="B299" s="62">
        <v>460000</v>
      </c>
      <c r="C299" s="62">
        <v>99.202960000000004</v>
      </c>
      <c r="D299" s="62">
        <v>-0.1842801</v>
      </c>
      <c r="E299" s="62">
        <v>3</v>
      </c>
      <c r="F299" s="62">
        <v>0</v>
      </c>
      <c r="G299" s="62">
        <v>2</v>
      </c>
    </row>
    <row r="300" spans="1:7" x14ac:dyDescent="0.3">
      <c r="A300" s="160">
        <v>288</v>
      </c>
      <c r="B300" s="62">
        <v>460000</v>
      </c>
      <c r="C300" s="62">
        <v>99.358639999999994</v>
      </c>
      <c r="D300" s="62">
        <v>-0.18886929999999999</v>
      </c>
      <c r="E300" s="62">
        <v>3</v>
      </c>
      <c r="F300" s="62">
        <v>0</v>
      </c>
      <c r="G300" s="62">
        <v>2</v>
      </c>
    </row>
    <row r="301" spans="1:7" x14ac:dyDescent="0.3">
      <c r="A301" s="160">
        <v>289</v>
      </c>
      <c r="B301" s="62">
        <v>460000</v>
      </c>
      <c r="C301" s="62">
        <v>99.260509999999996</v>
      </c>
      <c r="D301" s="62">
        <v>-0.19571910000000001</v>
      </c>
      <c r="E301" s="62">
        <v>3</v>
      </c>
      <c r="F301" s="62">
        <v>0</v>
      </c>
      <c r="G301" s="62">
        <v>2</v>
      </c>
    </row>
    <row r="302" spans="1:7" x14ac:dyDescent="0.3">
      <c r="A302" s="160">
        <v>290</v>
      </c>
      <c r="B302" s="62">
        <v>460000</v>
      </c>
      <c r="C302" s="62">
        <v>99.320670000000007</v>
      </c>
      <c r="D302" s="62">
        <v>-0.1030373</v>
      </c>
      <c r="E302" s="62">
        <v>3</v>
      </c>
      <c r="F302" s="62">
        <v>0</v>
      </c>
      <c r="G302" s="62">
        <v>2</v>
      </c>
    </row>
    <row r="303" spans="1:7" x14ac:dyDescent="0.3">
      <c r="A303" s="160">
        <v>291</v>
      </c>
      <c r="B303" s="62">
        <v>319999.90000000002</v>
      </c>
      <c r="C303" s="62">
        <v>99.548379999999995</v>
      </c>
      <c r="D303" s="62">
        <v>-0.31273580000000001</v>
      </c>
      <c r="E303" s="62">
        <v>3</v>
      </c>
      <c r="F303" s="62">
        <v>0</v>
      </c>
      <c r="G303" s="62">
        <v>2</v>
      </c>
    </row>
    <row r="304" spans="1:7" x14ac:dyDescent="0.3">
      <c r="A304" s="160">
        <v>292</v>
      </c>
      <c r="B304" s="62">
        <v>319999.90000000002</v>
      </c>
      <c r="C304" s="62">
        <v>99.519819999999996</v>
      </c>
      <c r="D304" s="62">
        <v>-0.23953079999999999</v>
      </c>
      <c r="E304" s="62">
        <v>3</v>
      </c>
      <c r="F304" s="62">
        <v>0</v>
      </c>
      <c r="G304" s="62">
        <v>2</v>
      </c>
    </row>
    <row r="305" spans="1:7" x14ac:dyDescent="0.3">
      <c r="A305" s="160">
        <v>293</v>
      </c>
      <c r="B305" s="62">
        <v>319999.90000000002</v>
      </c>
      <c r="C305" s="62">
        <v>99.530820000000006</v>
      </c>
      <c r="D305" s="62">
        <v>-0.2138832</v>
      </c>
      <c r="E305" s="62">
        <v>3</v>
      </c>
      <c r="F305" s="62">
        <v>0</v>
      </c>
      <c r="G305" s="62">
        <v>2</v>
      </c>
    </row>
    <row r="306" spans="1:7" x14ac:dyDescent="0.3">
      <c r="A306" s="160">
        <v>294</v>
      </c>
      <c r="B306" s="62">
        <v>319999.90000000002</v>
      </c>
      <c r="C306" s="62">
        <v>99.521379999999994</v>
      </c>
      <c r="D306" s="62">
        <v>-0.26922370000000001</v>
      </c>
      <c r="E306" s="62">
        <v>3</v>
      </c>
      <c r="F306" s="62">
        <v>0</v>
      </c>
      <c r="G306" s="62">
        <v>2</v>
      </c>
    </row>
    <row r="307" spans="1:7" x14ac:dyDescent="0.3">
      <c r="A307" s="160">
        <v>295</v>
      </c>
      <c r="B307" s="62">
        <v>319999.90000000002</v>
      </c>
      <c r="C307" s="62">
        <v>99.591719999999995</v>
      </c>
      <c r="D307" s="62">
        <v>-0.1939574</v>
      </c>
      <c r="E307" s="62">
        <v>3</v>
      </c>
      <c r="F307" s="62">
        <v>0</v>
      </c>
      <c r="G307" s="62">
        <v>2</v>
      </c>
    </row>
    <row r="308" spans="1:7" x14ac:dyDescent="0.3">
      <c r="A308" s="160">
        <v>296</v>
      </c>
      <c r="B308" s="62">
        <v>319999.90000000002</v>
      </c>
      <c r="C308" s="62">
        <v>99.510499999999993</v>
      </c>
      <c r="D308" s="62">
        <v>-0.24559549999999999</v>
      </c>
      <c r="E308" s="62">
        <v>3</v>
      </c>
      <c r="F308" s="62">
        <v>0</v>
      </c>
      <c r="G308" s="62">
        <v>2</v>
      </c>
    </row>
    <row r="309" spans="1:7" x14ac:dyDescent="0.3">
      <c r="A309" s="160">
        <v>297</v>
      </c>
      <c r="B309" s="62">
        <v>319999.90000000002</v>
      </c>
      <c r="C309" s="62">
        <v>99.547420000000002</v>
      </c>
      <c r="D309" s="62">
        <v>-0.38012899999999999</v>
      </c>
      <c r="E309" s="62">
        <v>3</v>
      </c>
      <c r="F309" s="62">
        <v>0</v>
      </c>
      <c r="G309" s="62">
        <v>2</v>
      </c>
    </row>
    <row r="310" spans="1:7" x14ac:dyDescent="0.3">
      <c r="A310" s="160">
        <v>298</v>
      </c>
      <c r="B310" s="62">
        <v>319999.90000000002</v>
      </c>
      <c r="C310" s="62">
        <v>99.541910000000001</v>
      </c>
      <c r="D310" s="62">
        <v>-0.1717224</v>
      </c>
      <c r="E310" s="62">
        <v>3</v>
      </c>
      <c r="F310" s="62">
        <v>0</v>
      </c>
      <c r="G310" s="62">
        <v>2</v>
      </c>
    </row>
    <row r="311" spans="1:7" x14ac:dyDescent="0.3">
      <c r="A311" s="160">
        <v>299</v>
      </c>
      <c r="B311" s="62">
        <v>319999.90000000002</v>
      </c>
      <c r="C311" s="62">
        <v>99.604730000000004</v>
      </c>
      <c r="D311" s="62">
        <v>-0.26455390000000001</v>
      </c>
      <c r="E311" s="62">
        <v>3</v>
      </c>
      <c r="F311" s="62">
        <v>0</v>
      </c>
      <c r="G311" s="62">
        <v>2</v>
      </c>
    </row>
    <row r="312" spans="1:7" x14ac:dyDescent="0.3">
      <c r="A312" s="160">
        <v>300</v>
      </c>
      <c r="B312" s="62">
        <v>319999.90000000002</v>
      </c>
      <c r="C312" s="62">
        <v>99.536479999999997</v>
      </c>
      <c r="D312" s="62">
        <v>-0.26679310000000001</v>
      </c>
      <c r="E312" s="62">
        <v>3</v>
      </c>
      <c r="F312" s="62">
        <v>0</v>
      </c>
      <c r="G312" s="62">
        <v>2</v>
      </c>
    </row>
    <row r="313" spans="1:7" x14ac:dyDescent="0.3">
      <c r="A313" s="160">
        <v>301</v>
      </c>
      <c r="B313" s="62">
        <v>190000</v>
      </c>
      <c r="C313" s="62">
        <v>99.811210000000003</v>
      </c>
      <c r="D313" s="62">
        <v>-0.28240280000000001</v>
      </c>
      <c r="E313" s="62">
        <v>3</v>
      </c>
      <c r="F313" s="62">
        <v>0</v>
      </c>
      <c r="G313" s="62">
        <v>2</v>
      </c>
    </row>
    <row r="314" spans="1:7" x14ac:dyDescent="0.3">
      <c r="A314" s="160">
        <v>302</v>
      </c>
      <c r="B314" s="62">
        <v>190000</v>
      </c>
      <c r="C314" s="62">
        <v>99.858580000000003</v>
      </c>
      <c r="D314" s="62">
        <v>-0.26569160000000003</v>
      </c>
      <c r="E314" s="62">
        <v>3</v>
      </c>
      <c r="F314" s="62">
        <v>0</v>
      </c>
      <c r="G314" s="62">
        <v>2</v>
      </c>
    </row>
    <row r="315" spans="1:7" x14ac:dyDescent="0.3">
      <c r="A315" s="160">
        <v>303</v>
      </c>
      <c r="B315" s="62">
        <v>190000</v>
      </c>
      <c r="C315" s="62">
        <v>99.629490000000004</v>
      </c>
      <c r="D315" s="62">
        <v>-5.0210490000000003E-2</v>
      </c>
      <c r="E315" s="62">
        <v>3</v>
      </c>
      <c r="F315" s="62">
        <v>0</v>
      </c>
      <c r="G315" s="62">
        <v>2</v>
      </c>
    </row>
    <row r="316" spans="1:7" x14ac:dyDescent="0.3">
      <c r="A316" s="160">
        <v>304</v>
      </c>
      <c r="B316" s="62">
        <v>190000</v>
      </c>
      <c r="C316" s="62">
        <v>99.763300000000001</v>
      </c>
      <c r="D316" s="62">
        <v>-0.2161073</v>
      </c>
      <c r="E316" s="62">
        <v>3</v>
      </c>
      <c r="F316" s="62">
        <v>0</v>
      </c>
      <c r="G316" s="62">
        <v>2</v>
      </c>
    </row>
    <row r="317" spans="1:7" x14ac:dyDescent="0.3">
      <c r="A317" s="160">
        <v>305</v>
      </c>
      <c r="B317" s="62">
        <v>190000</v>
      </c>
      <c r="C317" s="62">
        <v>99.594040000000007</v>
      </c>
      <c r="D317" s="62">
        <v>-0.23684279999999999</v>
      </c>
      <c r="E317" s="62">
        <v>3</v>
      </c>
      <c r="F317" s="62">
        <v>0</v>
      </c>
      <c r="G317" s="62">
        <v>2</v>
      </c>
    </row>
    <row r="318" spans="1:7" x14ac:dyDescent="0.3">
      <c r="A318" s="160">
        <v>306</v>
      </c>
      <c r="B318" s="62">
        <v>190000</v>
      </c>
      <c r="C318" s="62">
        <v>99.924779999999998</v>
      </c>
      <c r="D318" s="62">
        <v>-5.7380399999999998E-2</v>
      </c>
      <c r="E318" s="62">
        <v>3</v>
      </c>
      <c r="F318" s="62">
        <v>0</v>
      </c>
      <c r="G318" s="62">
        <v>2</v>
      </c>
    </row>
    <row r="319" spans="1:7" x14ac:dyDescent="0.3">
      <c r="A319" s="160">
        <v>307</v>
      </c>
      <c r="B319" s="62">
        <v>190000</v>
      </c>
      <c r="C319" s="62">
        <v>99.657839999999993</v>
      </c>
      <c r="D319" s="62">
        <v>-8.1094819999999998E-2</v>
      </c>
      <c r="E319" s="62">
        <v>3</v>
      </c>
      <c r="F319" s="62">
        <v>0</v>
      </c>
      <c r="G319" s="62">
        <v>2</v>
      </c>
    </row>
    <row r="320" spans="1:7" x14ac:dyDescent="0.3">
      <c r="A320" s="160">
        <v>308</v>
      </c>
      <c r="B320" s="62">
        <v>190000</v>
      </c>
      <c r="C320" s="62">
        <v>99.976849999999999</v>
      </c>
      <c r="D320" s="62">
        <v>-0.1089319</v>
      </c>
      <c r="E320" s="62">
        <v>3</v>
      </c>
      <c r="F320" s="62">
        <v>0</v>
      </c>
      <c r="G320" s="62">
        <v>2</v>
      </c>
    </row>
    <row r="321" spans="1:7" x14ac:dyDescent="0.3">
      <c r="A321" s="160">
        <v>309</v>
      </c>
      <c r="B321" s="62">
        <v>190000</v>
      </c>
      <c r="C321" s="62">
        <v>99.825699999999998</v>
      </c>
      <c r="D321" s="62">
        <v>-0.1205682</v>
      </c>
      <c r="E321" s="62">
        <v>3</v>
      </c>
      <c r="F321" s="62">
        <v>0</v>
      </c>
      <c r="G321" s="62">
        <v>2</v>
      </c>
    </row>
    <row r="322" spans="1:7" x14ac:dyDescent="0.3">
      <c r="A322" s="160">
        <v>310</v>
      </c>
      <c r="B322" s="62">
        <v>190000</v>
      </c>
      <c r="C322" s="62">
        <v>99.639229999999998</v>
      </c>
      <c r="D322" s="62">
        <v>-4.3422240000000001E-2</v>
      </c>
      <c r="E322" s="62">
        <v>3</v>
      </c>
      <c r="F322" s="62">
        <v>0</v>
      </c>
      <c r="G322" s="62">
        <v>2</v>
      </c>
    </row>
    <row r="323" spans="1:7" x14ac:dyDescent="0.3">
      <c r="A323" s="160">
        <v>311</v>
      </c>
      <c r="B323" s="62">
        <v>50999.97</v>
      </c>
      <c r="C323" s="62">
        <v>99.748310000000004</v>
      </c>
      <c r="D323" s="62">
        <v>-4.2673320000000001E-2</v>
      </c>
      <c r="E323" s="62">
        <v>3</v>
      </c>
      <c r="F323" s="62">
        <v>0</v>
      </c>
      <c r="G323" s="62">
        <v>2</v>
      </c>
    </row>
    <row r="324" spans="1:7" x14ac:dyDescent="0.3">
      <c r="A324" s="160">
        <v>312</v>
      </c>
      <c r="B324" s="62">
        <v>50999.97</v>
      </c>
      <c r="C324" s="62">
        <v>99.758560000000003</v>
      </c>
      <c r="D324" s="62">
        <v>-4.0783220000000002E-2</v>
      </c>
      <c r="E324" s="62">
        <v>3</v>
      </c>
      <c r="F324" s="62">
        <v>0</v>
      </c>
      <c r="G324" s="62">
        <v>2</v>
      </c>
    </row>
    <row r="325" spans="1:7" x14ac:dyDescent="0.3">
      <c r="A325" s="160">
        <v>313</v>
      </c>
      <c r="B325" s="62">
        <v>50999.97</v>
      </c>
      <c r="C325" s="62">
        <v>99.759110000000007</v>
      </c>
      <c r="D325" s="62">
        <v>-4.2508440000000002E-2</v>
      </c>
      <c r="E325" s="62">
        <v>3</v>
      </c>
      <c r="F325" s="62">
        <v>0</v>
      </c>
      <c r="G325" s="62">
        <v>2</v>
      </c>
    </row>
    <row r="326" spans="1:7" x14ac:dyDescent="0.3">
      <c r="A326" s="160">
        <v>314</v>
      </c>
      <c r="B326" s="62">
        <v>50999.97</v>
      </c>
      <c r="C326" s="62">
        <v>99.710840000000005</v>
      </c>
      <c r="D326" s="62">
        <v>-4.8049639999999998E-2</v>
      </c>
      <c r="E326" s="62">
        <v>3</v>
      </c>
      <c r="F326" s="62">
        <v>0</v>
      </c>
      <c r="G326" s="62">
        <v>2</v>
      </c>
    </row>
    <row r="327" spans="1:7" x14ac:dyDescent="0.3">
      <c r="A327" s="160">
        <v>315</v>
      </c>
      <c r="B327" s="62">
        <v>50999.97</v>
      </c>
      <c r="C327" s="62">
        <v>99.768810000000002</v>
      </c>
      <c r="D327" s="62">
        <v>-3.1433950000000002E-2</v>
      </c>
      <c r="E327" s="62">
        <v>3</v>
      </c>
      <c r="F327" s="62">
        <v>0</v>
      </c>
      <c r="G327" s="62">
        <v>2</v>
      </c>
    </row>
    <row r="328" spans="1:7" x14ac:dyDescent="0.3">
      <c r="A328" s="160">
        <v>316</v>
      </c>
      <c r="B328" s="62">
        <v>50999.97</v>
      </c>
      <c r="C328" s="62">
        <v>99.76191</v>
      </c>
      <c r="D328" s="62">
        <v>-3.381907E-2</v>
      </c>
      <c r="E328" s="62">
        <v>3</v>
      </c>
      <c r="F328" s="62">
        <v>0</v>
      </c>
      <c r="G328" s="62">
        <v>2</v>
      </c>
    </row>
    <row r="329" spans="1:7" x14ac:dyDescent="0.3">
      <c r="A329" s="160">
        <v>317</v>
      </c>
      <c r="B329" s="62">
        <v>50999.97</v>
      </c>
      <c r="C329" s="62">
        <v>99.64058</v>
      </c>
      <c r="D329" s="62">
        <v>-8.9373610000000006E-2</v>
      </c>
      <c r="E329" s="62">
        <v>3</v>
      </c>
      <c r="F329" s="62">
        <v>0</v>
      </c>
      <c r="G329" s="62">
        <v>2</v>
      </c>
    </row>
    <row r="330" spans="1:7" x14ac:dyDescent="0.3">
      <c r="A330" s="160">
        <v>318</v>
      </c>
      <c r="B330" s="62">
        <v>50999.97</v>
      </c>
      <c r="C330" s="62">
        <v>99.741879999999995</v>
      </c>
      <c r="D330" s="62">
        <v>-4.6022349999999997E-2</v>
      </c>
      <c r="E330" s="62">
        <v>3</v>
      </c>
      <c r="F330" s="62">
        <v>0</v>
      </c>
      <c r="G330" s="62">
        <v>2</v>
      </c>
    </row>
    <row r="331" spans="1:7" x14ac:dyDescent="0.3">
      <c r="A331" s="160">
        <v>319</v>
      </c>
      <c r="B331" s="62">
        <v>50999.97</v>
      </c>
      <c r="C331" s="62">
        <v>99.737549999999999</v>
      </c>
      <c r="D331" s="62">
        <v>-4.2828980000000003E-2</v>
      </c>
      <c r="E331" s="62">
        <v>3</v>
      </c>
      <c r="F331" s="62">
        <v>0</v>
      </c>
      <c r="G331" s="62">
        <v>2</v>
      </c>
    </row>
    <row r="332" spans="1:7" x14ac:dyDescent="0.3">
      <c r="A332" s="160">
        <v>320</v>
      </c>
      <c r="B332" s="62">
        <v>50999.97</v>
      </c>
      <c r="C332" s="62">
        <v>99.777690000000007</v>
      </c>
      <c r="D332" s="62">
        <v>-4.3066479999999997E-2</v>
      </c>
      <c r="E332" s="62">
        <v>3</v>
      </c>
      <c r="F332" s="62">
        <v>0</v>
      </c>
      <c r="G332" s="62">
        <v>2</v>
      </c>
    </row>
    <row r="333" spans="1:7" x14ac:dyDescent="0.3">
      <c r="A333" s="160">
        <v>321</v>
      </c>
      <c r="B333" s="62">
        <v>1000000</v>
      </c>
      <c r="C333" s="62">
        <v>100.501</v>
      </c>
      <c r="D333" s="62">
        <v>-1.706612</v>
      </c>
      <c r="E333" s="62">
        <v>10</v>
      </c>
      <c r="F333" s="62">
        <v>0</v>
      </c>
      <c r="G333" s="62">
        <v>2</v>
      </c>
    </row>
    <row r="334" spans="1:7" x14ac:dyDescent="0.3">
      <c r="A334" s="160">
        <v>322</v>
      </c>
      <c r="B334" s="62">
        <v>1000000</v>
      </c>
      <c r="C334" s="62">
        <v>100.514</v>
      </c>
      <c r="D334" s="62">
        <v>-1.8548929999999999</v>
      </c>
      <c r="E334" s="62">
        <v>10</v>
      </c>
      <c r="F334" s="62">
        <v>0</v>
      </c>
      <c r="G334" s="62">
        <v>2</v>
      </c>
    </row>
    <row r="335" spans="1:7" x14ac:dyDescent="0.3">
      <c r="A335" s="160">
        <v>323</v>
      </c>
      <c r="B335" s="62">
        <v>1000000</v>
      </c>
      <c r="C335" s="62">
        <v>100.7274</v>
      </c>
      <c r="D335" s="62">
        <v>-1.7128699999999999</v>
      </c>
      <c r="E335" s="62">
        <v>10</v>
      </c>
      <c r="F335" s="62">
        <v>0</v>
      </c>
      <c r="G335" s="62">
        <v>2</v>
      </c>
    </row>
    <row r="336" spans="1:7" x14ac:dyDescent="0.3">
      <c r="A336" s="160">
        <v>324</v>
      </c>
      <c r="B336" s="62">
        <v>1000000</v>
      </c>
      <c r="C336" s="62">
        <v>100.71729999999999</v>
      </c>
      <c r="D336" s="62">
        <v>-1.7013799999999999</v>
      </c>
      <c r="E336" s="62">
        <v>10</v>
      </c>
      <c r="F336" s="62">
        <v>0</v>
      </c>
      <c r="G336" s="62">
        <v>2</v>
      </c>
    </row>
    <row r="337" spans="1:7" x14ac:dyDescent="0.3">
      <c r="A337" s="160">
        <v>325</v>
      </c>
      <c r="B337" s="62">
        <v>1000000</v>
      </c>
      <c r="C337" s="62">
        <v>100.5997</v>
      </c>
      <c r="D337" s="62">
        <v>-1.763749</v>
      </c>
      <c r="E337" s="62">
        <v>10</v>
      </c>
      <c r="F337" s="62">
        <v>0</v>
      </c>
      <c r="G337" s="62">
        <v>2</v>
      </c>
    </row>
    <row r="338" spans="1:7" x14ac:dyDescent="0.3">
      <c r="A338" s="160">
        <v>326</v>
      </c>
      <c r="B338" s="62">
        <v>1000000</v>
      </c>
      <c r="C338" s="62">
        <v>100.4639</v>
      </c>
      <c r="D338" s="62">
        <v>-1.8093570000000001</v>
      </c>
      <c r="E338" s="62">
        <v>10</v>
      </c>
      <c r="F338" s="62">
        <v>0</v>
      </c>
      <c r="G338" s="62">
        <v>2</v>
      </c>
    </row>
    <row r="339" spans="1:7" x14ac:dyDescent="0.3">
      <c r="A339" s="160">
        <v>327</v>
      </c>
      <c r="B339" s="62">
        <v>1000000</v>
      </c>
      <c r="C339" s="62">
        <v>100.6212</v>
      </c>
      <c r="D339" s="62">
        <v>-1.689117</v>
      </c>
      <c r="E339" s="62">
        <v>10</v>
      </c>
      <c r="F339" s="62">
        <v>0</v>
      </c>
      <c r="G339" s="62">
        <v>2</v>
      </c>
    </row>
    <row r="340" spans="1:7" x14ac:dyDescent="0.3">
      <c r="A340" s="160">
        <v>328</v>
      </c>
      <c r="B340" s="62">
        <v>1000000</v>
      </c>
      <c r="C340" s="62">
        <v>100.5587</v>
      </c>
      <c r="D340" s="62">
        <v>-1.7249699999999999</v>
      </c>
      <c r="E340" s="62">
        <v>10</v>
      </c>
      <c r="F340" s="62">
        <v>0</v>
      </c>
      <c r="G340" s="62">
        <v>2</v>
      </c>
    </row>
    <row r="341" spans="1:7" x14ac:dyDescent="0.3">
      <c r="A341" s="160">
        <v>329</v>
      </c>
      <c r="B341" s="62">
        <v>1000000</v>
      </c>
      <c r="C341" s="62">
        <v>100.5617</v>
      </c>
      <c r="D341" s="62">
        <v>-1.809056</v>
      </c>
      <c r="E341" s="62">
        <v>10</v>
      </c>
      <c r="F341" s="62">
        <v>0</v>
      </c>
      <c r="G341" s="62">
        <v>2</v>
      </c>
    </row>
    <row r="342" spans="1:7" x14ac:dyDescent="0.3">
      <c r="A342" s="160">
        <v>330</v>
      </c>
      <c r="B342" s="62">
        <v>1000000</v>
      </c>
      <c r="C342" s="62">
        <v>100.5941</v>
      </c>
      <c r="D342" s="62">
        <v>-1.77834</v>
      </c>
      <c r="E342" s="62">
        <v>10</v>
      </c>
      <c r="F342" s="62">
        <v>0</v>
      </c>
      <c r="G342" s="62">
        <v>2</v>
      </c>
    </row>
    <row r="343" spans="1:7" x14ac:dyDescent="0.3">
      <c r="A343" s="160">
        <v>331</v>
      </c>
      <c r="B343" s="62">
        <v>859999.9</v>
      </c>
      <c r="C343" s="62">
        <v>100.047</v>
      </c>
      <c r="D343" s="62">
        <v>-2.0540620000000001</v>
      </c>
      <c r="E343" s="62">
        <v>10</v>
      </c>
      <c r="F343" s="62">
        <v>0</v>
      </c>
      <c r="G343" s="62">
        <v>2</v>
      </c>
    </row>
    <row r="344" spans="1:7" x14ac:dyDescent="0.3">
      <c r="A344" s="160">
        <v>332</v>
      </c>
      <c r="B344" s="62">
        <v>859999.9</v>
      </c>
      <c r="C344" s="62">
        <v>100.0496</v>
      </c>
      <c r="D344" s="62">
        <v>-2.0470920000000001</v>
      </c>
      <c r="E344" s="62">
        <v>10</v>
      </c>
      <c r="F344" s="62">
        <v>0</v>
      </c>
      <c r="G344" s="62">
        <v>2</v>
      </c>
    </row>
    <row r="345" spans="1:7" x14ac:dyDescent="0.3">
      <c r="A345" s="160">
        <v>333</v>
      </c>
      <c r="B345" s="62">
        <v>859999.9</v>
      </c>
      <c r="C345" s="62">
        <v>100.039</v>
      </c>
      <c r="D345" s="62">
        <v>-2.0482990000000001</v>
      </c>
      <c r="E345" s="62">
        <v>10</v>
      </c>
      <c r="F345" s="62">
        <v>0</v>
      </c>
      <c r="G345" s="62">
        <v>2</v>
      </c>
    </row>
    <row r="346" spans="1:7" x14ac:dyDescent="0.3">
      <c r="A346" s="160">
        <v>334</v>
      </c>
      <c r="B346" s="62">
        <v>859999.9</v>
      </c>
      <c r="C346" s="62">
        <v>100.1429</v>
      </c>
      <c r="D346" s="62">
        <v>-2.0421619999999998</v>
      </c>
      <c r="E346" s="62">
        <v>10</v>
      </c>
      <c r="F346" s="62">
        <v>0</v>
      </c>
      <c r="G346" s="62">
        <v>2</v>
      </c>
    </row>
    <row r="347" spans="1:7" x14ac:dyDescent="0.3">
      <c r="A347" s="160">
        <v>335</v>
      </c>
      <c r="B347" s="62">
        <v>859999.9</v>
      </c>
      <c r="C347" s="62">
        <v>100.0106</v>
      </c>
      <c r="D347" s="62">
        <v>-2.1089169999999999</v>
      </c>
      <c r="E347" s="62">
        <v>10</v>
      </c>
      <c r="F347" s="62">
        <v>0</v>
      </c>
      <c r="G347" s="62">
        <v>2</v>
      </c>
    </row>
    <row r="348" spans="1:7" x14ac:dyDescent="0.3">
      <c r="A348" s="160">
        <v>336</v>
      </c>
      <c r="B348" s="62">
        <v>859999.9</v>
      </c>
      <c r="C348" s="62">
        <v>100.0556</v>
      </c>
      <c r="D348" s="62">
        <v>-2.049369</v>
      </c>
      <c r="E348" s="62">
        <v>10</v>
      </c>
      <c r="F348" s="62">
        <v>0</v>
      </c>
      <c r="G348" s="62">
        <v>2</v>
      </c>
    </row>
    <row r="349" spans="1:7" x14ac:dyDescent="0.3">
      <c r="A349" s="160">
        <v>337</v>
      </c>
      <c r="B349" s="62">
        <v>859999.9</v>
      </c>
      <c r="C349" s="62">
        <v>100.0478</v>
      </c>
      <c r="D349" s="62">
        <v>-2.0486119999999999</v>
      </c>
      <c r="E349" s="62">
        <v>10</v>
      </c>
      <c r="F349" s="62">
        <v>0</v>
      </c>
      <c r="G349" s="62">
        <v>2</v>
      </c>
    </row>
    <row r="350" spans="1:7" x14ac:dyDescent="0.3">
      <c r="A350" s="160">
        <v>338</v>
      </c>
      <c r="B350" s="62">
        <v>859999.9</v>
      </c>
      <c r="C350" s="62">
        <v>100.0586</v>
      </c>
      <c r="D350" s="62">
        <v>-2.0606900000000001</v>
      </c>
      <c r="E350" s="62">
        <v>10</v>
      </c>
      <c r="F350" s="62">
        <v>0</v>
      </c>
      <c r="G350" s="62">
        <v>2</v>
      </c>
    </row>
    <row r="351" spans="1:7" x14ac:dyDescent="0.3">
      <c r="A351" s="160">
        <v>339</v>
      </c>
      <c r="B351" s="62">
        <v>859999.9</v>
      </c>
      <c r="C351" s="62">
        <v>100.041</v>
      </c>
      <c r="D351" s="62">
        <v>-2.0497359999999998</v>
      </c>
      <c r="E351" s="62">
        <v>10</v>
      </c>
      <c r="F351" s="62">
        <v>0</v>
      </c>
      <c r="G351" s="62">
        <v>2</v>
      </c>
    </row>
    <row r="352" spans="1:7" x14ac:dyDescent="0.3">
      <c r="A352" s="160">
        <v>340</v>
      </c>
      <c r="B352" s="62">
        <v>859999.9</v>
      </c>
      <c r="C352" s="62">
        <v>100.0069</v>
      </c>
      <c r="D352" s="62">
        <v>-2.104679</v>
      </c>
      <c r="E352" s="62">
        <v>10</v>
      </c>
      <c r="F352" s="62">
        <v>0</v>
      </c>
      <c r="G352" s="62">
        <v>2</v>
      </c>
    </row>
    <row r="353" spans="1:7" x14ac:dyDescent="0.3">
      <c r="A353" s="160">
        <v>341</v>
      </c>
      <c r="B353" s="62">
        <v>730000</v>
      </c>
      <c r="C353" s="62">
        <v>99.823459999999997</v>
      </c>
      <c r="D353" s="62">
        <v>-2.1650070000000001</v>
      </c>
      <c r="E353" s="62">
        <v>10</v>
      </c>
      <c r="F353" s="62">
        <v>0</v>
      </c>
      <c r="G353" s="62">
        <v>2</v>
      </c>
    </row>
    <row r="354" spans="1:7" x14ac:dyDescent="0.3">
      <c r="A354" s="160">
        <v>342</v>
      </c>
      <c r="B354" s="62">
        <v>730000</v>
      </c>
      <c r="C354" s="62">
        <v>99.790850000000006</v>
      </c>
      <c r="D354" s="62">
        <v>-2.2312630000000002</v>
      </c>
      <c r="E354" s="62">
        <v>10</v>
      </c>
      <c r="F354" s="62">
        <v>0</v>
      </c>
      <c r="G354" s="62">
        <v>2</v>
      </c>
    </row>
    <row r="355" spans="1:7" x14ac:dyDescent="0.3">
      <c r="A355" s="160">
        <v>343</v>
      </c>
      <c r="B355" s="62">
        <v>730000</v>
      </c>
      <c r="C355" s="62">
        <v>99.753140000000002</v>
      </c>
      <c r="D355" s="62">
        <v>-2.1146419999999999</v>
      </c>
      <c r="E355" s="62">
        <v>10</v>
      </c>
      <c r="F355" s="62">
        <v>0</v>
      </c>
      <c r="G355" s="62">
        <v>2</v>
      </c>
    </row>
    <row r="356" spans="1:7" x14ac:dyDescent="0.3">
      <c r="A356" s="160">
        <v>344</v>
      </c>
      <c r="B356" s="62">
        <v>730000</v>
      </c>
      <c r="C356" s="62">
        <v>99.814779999999999</v>
      </c>
      <c r="D356" s="62">
        <v>-2.1688040000000002</v>
      </c>
      <c r="E356" s="62">
        <v>10</v>
      </c>
      <c r="F356" s="62">
        <v>0</v>
      </c>
      <c r="G356" s="62">
        <v>2</v>
      </c>
    </row>
    <row r="357" spans="1:7" x14ac:dyDescent="0.3">
      <c r="A357" s="160">
        <v>345</v>
      </c>
      <c r="B357" s="62">
        <v>730000</v>
      </c>
      <c r="C357" s="62">
        <v>99.779319999999998</v>
      </c>
      <c r="D357" s="62">
        <v>-2.1136430000000002</v>
      </c>
      <c r="E357" s="62">
        <v>10</v>
      </c>
      <c r="F357" s="62">
        <v>0</v>
      </c>
      <c r="G357" s="62">
        <v>2</v>
      </c>
    </row>
    <row r="358" spans="1:7" x14ac:dyDescent="0.3">
      <c r="A358" s="160">
        <v>346</v>
      </c>
      <c r="B358" s="62">
        <v>730000</v>
      </c>
      <c r="C358" s="62">
        <v>99.723690000000005</v>
      </c>
      <c r="D358" s="62">
        <v>-2.1643180000000002</v>
      </c>
      <c r="E358" s="62">
        <v>10</v>
      </c>
      <c r="F358" s="62">
        <v>0</v>
      </c>
      <c r="G358" s="62">
        <v>2</v>
      </c>
    </row>
    <row r="359" spans="1:7" x14ac:dyDescent="0.3">
      <c r="A359" s="160">
        <v>347</v>
      </c>
      <c r="B359" s="62">
        <v>730000</v>
      </c>
      <c r="C359" s="62">
        <v>99.812659999999994</v>
      </c>
      <c r="D359" s="62">
        <v>-2.1729569999999998</v>
      </c>
      <c r="E359" s="62">
        <v>10</v>
      </c>
      <c r="F359" s="62">
        <v>0</v>
      </c>
      <c r="G359" s="62">
        <v>2</v>
      </c>
    </row>
    <row r="360" spans="1:7" x14ac:dyDescent="0.3">
      <c r="A360" s="160">
        <v>348</v>
      </c>
      <c r="B360" s="62">
        <v>730000</v>
      </c>
      <c r="C360" s="62">
        <v>99.792689999999993</v>
      </c>
      <c r="D360" s="62">
        <v>-2.168371</v>
      </c>
      <c r="E360" s="62">
        <v>10</v>
      </c>
      <c r="F360" s="62">
        <v>0</v>
      </c>
      <c r="G360" s="62">
        <v>2</v>
      </c>
    </row>
    <row r="361" spans="1:7" x14ac:dyDescent="0.3">
      <c r="A361" s="160">
        <v>349</v>
      </c>
      <c r="B361" s="62">
        <v>730000</v>
      </c>
      <c r="C361" s="62">
        <v>99.909880000000001</v>
      </c>
      <c r="D361" s="62">
        <v>-2.1592449999999999</v>
      </c>
      <c r="E361" s="62">
        <v>10</v>
      </c>
      <c r="F361" s="62">
        <v>0</v>
      </c>
      <c r="G361" s="62">
        <v>2</v>
      </c>
    </row>
    <row r="362" spans="1:7" x14ac:dyDescent="0.3">
      <c r="A362" s="160">
        <v>350</v>
      </c>
      <c r="B362" s="62">
        <v>730000</v>
      </c>
      <c r="C362" s="62">
        <v>99.821659999999994</v>
      </c>
      <c r="D362" s="62">
        <v>-2.1652049999999998</v>
      </c>
      <c r="E362" s="62">
        <v>10</v>
      </c>
      <c r="F362" s="62">
        <v>0</v>
      </c>
      <c r="G362" s="62">
        <v>2</v>
      </c>
    </row>
    <row r="363" spans="1:7" x14ac:dyDescent="0.3">
      <c r="A363" s="160">
        <v>351</v>
      </c>
      <c r="B363" s="62">
        <v>589999.9</v>
      </c>
      <c r="C363" s="62">
        <v>99.800439999999995</v>
      </c>
      <c r="D363" s="62">
        <v>-2.1115879999999998</v>
      </c>
      <c r="E363" s="62">
        <v>10</v>
      </c>
      <c r="F363" s="62">
        <v>0</v>
      </c>
      <c r="G363" s="62">
        <v>2</v>
      </c>
    </row>
    <row r="364" spans="1:7" x14ac:dyDescent="0.3">
      <c r="A364" s="160">
        <v>352</v>
      </c>
      <c r="B364" s="62">
        <v>589999.9</v>
      </c>
      <c r="C364" s="62">
        <v>99.852680000000007</v>
      </c>
      <c r="D364" s="62">
        <v>-2.1661679999999999</v>
      </c>
      <c r="E364" s="62">
        <v>10</v>
      </c>
      <c r="F364" s="62">
        <v>0</v>
      </c>
      <c r="G364" s="62">
        <v>2</v>
      </c>
    </row>
    <row r="365" spans="1:7" x14ac:dyDescent="0.3">
      <c r="A365" s="160">
        <v>353</v>
      </c>
      <c r="B365" s="62">
        <v>589999.9</v>
      </c>
      <c r="C365" s="62">
        <v>99.786649999999995</v>
      </c>
      <c r="D365" s="62">
        <v>-2.0526789999999999</v>
      </c>
      <c r="E365" s="62">
        <v>10</v>
      </c>
      <c r="F365" s="62">
        <v>0</v>
      </c>
      <c r="G365" s="62">
        <v>2</v>
      </c>
    </row>
    <row r="366" spans="1:7" x14ac:dyDescent="0.3">
      <c r="A366" s="160">
        <v>354</v>
      </c>
      <c r="B366" s="62">
        <v>589999.9</v>
      </c>
      <c r="C366" s="62">
        <v>99.806129999999996</v>
      </c>
      <c r="D366" s="62">
        <v>-2.105855</v>
      </c>
      <c r="E366" s="62">
        <v>10</v>
      </c>
      <c r="F366" s="62">
        <v>0</v>
      </c>
      <c r="G366" s="62">
        <v>2</v>
      </c>
    </row>
    <row r="367" spans="1:7" x14ac:dyDescent="0.3">
      <c r="A367" s="160">
        <v>355</v>
      </c>
      <c r="B367" s="62">
        <v>589999.9</v>
      </c>
      <c r="C367" s="62">
        <v>99.813209999999998</v>
      </c>
      <c r="D367" s="62">
        <v>-2.1694230000000001</v>
      </c>
      <c r="E367" s="62">
        <v>10</v>
      </c>
      <c r="F367" s="62">
        <v>0</v>
      </c>
      <c r="G367" s="62">
        <v>2</v>
      </c>
    </row>
    <row r="368" spans="1:7" x14ac:dyDescent="0.3">
      <c r="A368" s="160">
        <v>356</v>
      </c>
      <c r="B368" s="62">
        <v>589999.9</v>
      </c>
      <c r="C368" s="62">
        <v>99.885530000000003</v>
      </c>
      <c r="D368" s="62">
        <v>-2.0588929999999999</v>
      </c>
      <c r="E368" s="62">
        <v>10</v>
      </c>
      <c r="F368" s="62">
        <v>0</v>
      </c>
      <c r="G368" s="62">
        <v>2</v>
      </c>
    </row>
    <row r="369" spans="1:7" x14ac:dyDescent="0.3">
      <c r="A369" s="160">
        <v>357</v>
      </c>
      <c r="B369" s="62">
        <v>589999.9</v>
      </c>
      <c r="C369" s="62">
        <v>99.893180000000001</v>
      </c>
      <c r="D369" s="62">
        <v>-2.2184699999999999</v>
      </c>
      <c r="E369" s="62">
        <v>10</v>
      </c>
      <c r="F369" s="62">
        <v>0</v>
      </c>
      <c r="G369" s="62">
        <v>2</v>
      </c>
    </row>
    <row r="370" spans="1:7" x14ac:dyDescent="0.3">
      <c r="A370" s="160">
        <v>358</v>
      </c>
      <c r="B370" s="62">
        <v>589999.9</v>
      </c>
      <c r="C370" s="62">
        <v>99.816580000000002</v>
      </c>
      <c r="D370" s="62">
        <v>-2.0986509999999998</v>
      </c>
      <c r="E370" s="62">
        <v>10</v>
      </c>
      <c r="F370" s="62">
        <v>0</v>
      </c>
      <c r="G370" s="62">
        <v>2</v>
      </c>
    </row>
    <row r="371" spans="1:7" x14ac:dyDescent="0.3">
      <c r="A371" s="160">
        <v>359</v>
      </c>
      <c r="B371" s="62">
        <v>589999.9</v>
      </c>
      <c r="C371" s="62">
        <v>99.807940000000002</v>
      </c>
      <c r="D371" s="62">
        <v>-2.0517639999999999</v>
      </c>
      <c r="E371" s="62">
        <v>10</v>
      </c>
      <c r="F371" s="62">
        <v>0</v>
      </c>
      <c r="G371" s="62">
        <v>2</v>
      </c>
    </row>
    <row r="372" spans="1:7" x14ac:dyDescent="0.3">
      <c r="A372" s="160">
        <v>360</v>
      </c>
      <c r="B372" s="62">
        <v>589999.9</v>
      </c>
      <c r="C372" s="62">
        <v>99.680080000000004</v>
      </c>
      <c r="D372" s="62">
        <v>-2.169289</v>
      </c>
      <c r="E372" s="62">
        <v>10</v>
      </c>
      <c r="F372" s="62">
        <v>0</v>
      </c>
      <c r="G372" s="62">
        <v>2</v>
      </c>
    </row>
    <row r="373" spans="1:7" x14ac:dyDescent="0.3">
      <c r="A373" s="160">
        <v>361</v>
      </c>
      <c r="B373" s="62">
        <v>460000</v>
      </c>
      <c r="C373" s="62">
        <v>100.2473</v>
      </c>
      <c r="D373" s="62">
        <v>-1.9868939999999999</v>
      </c>
      <c r="E373" s="62">
        <v>10</v>
      </c>
      <c r="F373" s="62">
        <v>0</v>
      </c>
      <c r="G373" s="62">
        <v>2</v>
      </c>
    </row>
    <row r="374" spans="1:7" x14ac:dyDescent="0.3">
      <c r="A374" s="160">
        <v>362</v>
      </c>
      <c r="B374" s="62">
        <v>460000</v>
      </c>
      <c r="C374" s="62">
        <v>100.21339999999999</v>
      </c>
      <c r="D374" s="62">
        <v>-1.944601</v>
      </c>
      <c r="E374" s="62">
        <v>10</v>
      </c>
      <c r="F374" s="62">
        <v>0</v>
      </c>
      <c r="G374" s="62">
        <v>2</v>
      </c>
    </row>
    <row r="375" spans="1:7" x14ac:dyDescent="0.3">
      <c r="A375" s="160">
        <v>363</v>
      </c>
      <c r="B375" s="62">
        <v>460000</v>
      </c>
      <c r="C375" s="62">
        <v>100.0042</v>
      </c>
      <c r="D375" s="62">
        <v>-1.896093</v>
      </c>
      <c r="E375" s="62">
        <v>10</v>
      </c>
      <c r="F375" s="62">
        <v>0</v>
      </c>
      <c r="G375" s="62">
        <v>2</v>
      </c>
    </row>
    <row r="376" spans="1:7" x14ac:dyDescent="0.3">
      <c r="A376" s="160">
        <v>364</v>
      </c>
      <c r="B376" s="62">
        <v>460000</v>
      </c>
      <c r="C376" s="62">
        <v>100.1742</v>
      </c>
      <c r="D376" s="62">
        <v>-1.9721359999999999</v>
      </c>
      <c r="E376" s="62">
        <v>10</v>
      </c>
      <c r="F376" s="62">
        <v>0</v>
      </c>
      <c r="G376" s="62">
        <v>2</v>
      </c>
    </row>
    <row r="377" spans="1:7" x14ac:dyDescent="0.3">
      <c r="A377" s="160">
        <v>365</v>
      </c>
      <c r="B377" s="62">
        <v>460000</v>
      </c>
      <c r="C377" s="62">
        <v>100.0776</v>
      </c>
      <c r="D377" s="62">
        <v>-1.903008</v>
      </c>
      <c r="E377" s="62">
        <v>10</v>
      </c>
      <c r="F377" s="62">
        <v>0</v>
      </c>
      <c r="G377" s="62">
        <v>2</v>
      </c>
    </row>
    <row r="378" spans="1:7" x14ac:dyDescent="0.3">
      <c r="A378" s="160">
        <v>366</v>
      </c>
      <c r="B378" s="62">
        <v>460000</v>
      </c>
      <c r="C378" s="62">
        <v>100.1062</v>
      </c>
      <c r="D378" s="62">
        <v>-2.008953</v>
      </c>
      <c r="E378" s="62">
        <v>10</v>
      </c>
      <c r="F378" s="62">
        <v>0</v>
      </c>
      <c r="G378" s="62">
        <v>2</v>
      </c>
    </row>
    <row r="379" spans="1:7" x14ac:dyDescent="0.3">
      <c r="A379" s="160">
        <v>367</v>
      </c>
      <c r="B379" s="62">
        <v>460000</v>
      </c>
      <c r="C379" s="62">
        <v>100.19540000000001</v>
      </c>
      <c r="D379" s="62">
        <v>-1.923926</v>
      </c>
      <c r="E379" s="62">
        <v>10</v>
      </c>
      <c r="F379" s="62">
        <v>0</v>
      </c>
      <c r="G379" s="62">
        <v>2</v>
      </c>
    </row>
    <row r="380" spans="1:7" x14ac:dyDescent="0.3">
      <c r="A380" s="160">
        <v>368</v>
      </c>
      <c r="B380" s="62">
        <v>460000</v>
      </c>
      <c r="C380" s="62">
        <v>100.03870000000001</v>
      </c>
      <c r="D380" s="62">
        <v>-2.043234</v>
      </c>
      <c r="E380" s="62">
        <v>10</v>
      </c>
      <c r="F380" s="62">
        <v>0</v>
      </c>
      <c r="G380" s="62">
        <v>2</v>
      </c>
    </row>
    <row r="381" spans="1:7" x14ac:dyDescent="0.3">
      <c r="A381" s="160">
        <v>369</v>
      </c>
      <c r="B381" s="62">
        <v>460000</v>
      </c>
      <c r="C381" s="62">
        <v>100.1348</v>
      </c>
      <c r="D381" s="62">
        <v>-1.9956419999999999</v>
      </c>
      <c r="E381" s="62">
        <v>10</v>
      </c>
      <c r="F381" s="62">
        <v>0</v>
      </c>
      <c r="G381" s="62">
        <v>2</v>
      </c>
    </row>
    <row r="382" spans="1:7" x14ac:dyDescent="0.3">
      <c r="A382" s="160">
        <v>370</v>
      </c>
      <c r="B382" s="62">
        <v>460000</v>
      </c>
      <c r="C382" s="62">
        <v>100.0338</v>
      </c>
      <c r="D382" s="62">
        <v>-1.9650160000000001</v>
      </c>
      <c r="E382" s="62">
        <v>10</v>
      </c>
      <c r="F382" s="62">
        <v>0</v>
      </c>
      <c r="G382" s="62">
        <v>2</v>
      </c>
    </row>
    <row r="383" spans="1:7" x14ac:dyDescent="0.3">
      <c r="A383" s="160">
        <v>371</v>
      </c>
      <c r="B383" s="62">
        <v>319999.90000000002</v>
      </c>
      <c r="C383" s="62">
        <v>100.40089999999999</v>
      </c>
      <c r="D383" s="62">
        <v>-1.39012</v>
      </c>
      <c r="E383" s="62">
        <v>10</v>
      </c>
      <c r="F383" s="62">
        <v>0</v>
      </c>
      <c r="G383" s="62">
        <v>2</v>
      </c>
    </row>
    <row r="384" spans="1:7" x14ac:dyDescent="0.3">
      <c r="A384" s="160">
        <v>372</v>
      </c>
      <c r="B384" s="62">
        <v>319999.90000000002</v>
      </c>
      <c r="C384" s="62">
        <v>100.4662</v>
      </c>
      <c r="D384" s="62">
        <v>-1.598071</v>
      </c>
      <c r="E384" s="62">
        <v>10</v>
      </c>
      <c r="F384" s="62">
        <v>0</v>
      </c>
      <c r="G384" s="62">
        <v>2</v>
      </c>
    </row>
    <row r="385" spans="1:7" x14ac:dyDescent="0.3">
      <c r="A385" s="160">
        <v>373</v>
      </c>
      <c r="B385" s="62">
        <v>319999.90000000002</v>
      </c>
      <c r="C385" s="62">
        <v>100.5424</v>
      </c>
      <c r="D385" s="62">
        <v>-1.5777460000000001</v>
      </c>
      <c r="E385" s="62">
        <v>10</v>
      </c>
      <c r="F385" s="62">
        <v>0</v>
      </c>
      <c r="G385" s="62">
        <v>2</v>
      </c>
    </row>
    <row r="386" spans="1:7" x14ac:dyDescent="0.3">
      <c r="A386" s="160">
        <v>374</v>
      </c>
      <c r="B386" s="62">
        <v>319999.90000000002</v>
      </c>
      <c r="C386" s="62">
        <v>100.62560000000001</v>
      </c>
      <c r="D386" s="62">
        <v>-1.4538450000000001</v>
      </c>
      <c r="E386" s="62">
        <v>10</v>
      </c>
      <c r="F386" s="62">
        <v>0</v>
      </c>
      <c r="G386" s="62">
        <v>2</v>
      </c>
    </row>
    <row r="387" spans="1:7" x14ac:dyDescent="0.3">
      <c r="A387" s="160">
        <v>375</v>
      </c>
      <c r="B387" s="62">
        <v>319999.90000000002</v>
      </c>
      <c r="C387" s="62">
        <v>100.4832</v>
      </c>
      <c r="D387" s="62">
        <v>-1.4177200000000001</v>
      </c>
      <c r="E387" s="62">
        <v>10</v>
      </c>
      <c r="F387" s="62">
        <v>0</v>
      </c>
      <c r="G387" s="62">
        <v>2</v>
      </c>
    </row>
    <row r="388" spans="1:7" x14ac:dyDescent="0.3">
      <c r="A388" s="160">
        <v>376</v>
      </c>
      <c r="B388" s="62">
        <v>319999.90000000002</v>
      </c>
      <c r="C388" s="62">
        <v>100.4876</v>
      </c>
      <c r="D388" s="62">
        <v>-1.491015</v>
      </c>
      <c r="E388" s="62">
        <v>10</v>
      </c>
      <c r="F388" s="62">
        <v>0</v>
      </c>
      <c r="G388" s="62">
        <v>2</v>
      </c>
    </row>
    <row r="389" spans="1:7" x14ac:dyDescent="0.3">
      <c r="A389" s="160">
        <v>377</v>
      </c>
      <c r="B389" s="62">
        <v>319999.90000000002</v>
      </c>
      <c r="C389" s="62">
        <v>100.53360000000001</v>
      </c>
      <c r="D389" s="62">
        <v>-1.5473300000000001</v>
      </c>
      <c r="E389" s="62">
        <v>10</v>
      </c>
      <c r="F389" s="62">
        <v>0</v>
      </c>
      <c r="G389" s="62">
        <v>2</v>
      </c>
    </row>
    <row r="390" spans="1:7" x14ac:dyDescent="0.3">
      <c r="A390" s="160">
        <v>378</v>
      </c>
      <c r="B390" s="62">
        <v>319999.90000000002</v>
      </c>
      <c r="C390" s="62">
        <v>100.3843</v>
      </c>
      <c r="D390" s="62">
        <v>-1.396434</v>
      </c>
      <c r="E390" s="62">
        <v>10</v>
      </c>
      <c r="F390" s="62">
        <v>0</v>
      </c>
      <c r="G390" s="62">
        <v>2</v>
      </c>
    </row>
    <row r="391" spans="1:7" x14ac:dyDescent="0.3">
      <c r="A391" s="160">
        <v>379</v>
      </c>
      <c r="B391" s="62">
        <v>319999.90000000002</v>
      </c>
      <c r="C391" s="62">
        <v>100.4682</v>
      </c>
      <c r="D391" s="62">
        <v>-1.456561</v>
      </c>
      <c r="E391" s="62">
        <v>10</v>
      </c>
      <c r="F391" s="62">
        <v>0</v>
      </c>
      <c r="G391" s="62">
        <v>2</v>
      </c>
    </row>
    <row r="392" spans="1:7" x14ac:dyDescent="0.3">
      <c r="A392" s="160">
        <v>380</v>
      </c>
      <c r="B392" s="62">
        <v>319999.90000000002</v>
      </c>
      <c r="C392" s="62">
        <v>100.4843</v>
      </c>
      <c r="D392" s="62">
        <v>-1.461738</v>
      </c>
      <c r="E392" s="62">
        <v>10</v>
      </c>
      <c r="F392" s="62">
        <v>0</v>
      </c>
      <c r="G392" s="62">
        <v>2</v>
      </c>
    </row>
    <row r="393" spans="1:7" x14ac:dyDescent="0.3">
      <c r="A393" s="160">
        <v>381</v>
      </c>
      <c r="B393" s="62">
        <v>190000</v>
      </c>
      <c r="C393" s="62">
        <v>100.58240000000001</v>
      </c>
      <c r="D393" s="62">
        <v>-0.83584970000000003</v>
      </c>
      <c r="E393" s="62">
        <v>10</v>
      </c>
      <c r="F393" s="62">
        <v>0</v>
      </c>
      <c r="G393" s="62">
        <v>2</v>
      </c>
    </row>
    <row r="394" spans="1:7" x14ac:dyDescent="0.3">
      <c r="A394" s="160">
        <v>382</v>
      </c>
      <c r="B394" s="62">
        <v>190000</v>
      </c>
      <c r="C394" s="62">
        <v>100.8057</v>
      </c>
      <c r="D394" s="62">
        <v>-0.97715669999999999</v>
      </c>
      <c r="E394" s="62">
        <v>10</v>
      </c>
      <c r="F394" s="62">
        <v>0</v>
      </c>
      <c r="G394" s="62">
        <v>2</v>
      </c>
    </row>
    <row r="395" spans="1:7" x14ac:dyDescent="0.3">
      <c r="A395" s="160">
        <v>383</v>
      </c>
      <c r="B395" s="62">
        <v>190000</v>
      </c>
      <c r="C395" s="62">
        <v>100.8974</v>
      </c>
      <c r="D395" s="62">
        <v>-0.91129899999999997</v>
      </c>
      <c r="E395" s="62">
        <v>10</v>
      </c>
      <c r="F395" s="62">
        <v>0</v>
      </c>
      <c r="G395" s="62">
        <v>2</v>
      </c>
    </row>
    <row r="396" spans="1:7" x14ac:dyDescent="0.3">
      <c r="A396" s="160">
        <v>384</v>
      </c>
      <c r="B396" s="62">
        <v>190000</v>
      </c>
      <c r="C396" s="62">
        <v>100.89579999999999</v>
      </c>
      <c r="D396" s="62">
        <v>-0.89760289999999998</v>
      </c>
      <c r="E396" s="62">
        <v>10</v>
      </c>
      <c r="F396" s="62">
        <v>0</v>
      </c>
      <c r="G396" s="62">
        <v>2</v>
      </c>
    </row>
    <row r="397" spans="1:7" x14ac:dyDescent="0.3">
      <c r="A397" s="160">
        <v>385</v>
      </c>
      <c r="B397" s="62">
        <v>190000</v>
      </c>
      <c r="C397" s="62">
        <v>100.7046</v>
      </c>
      <c r="D397" s="62">
        <v>-1.048421</v>
      </c>
      <c r="E397" s="62">
        <v>10</v>
      </c>
      <c r="F397" s="62">
        <v>0</v>
      </c>
      <c r="G397" s="62">
        <v>2</v>
      </c>
    </row>
    <row r="398" spans="1:7" x14ac:dyDescent="0.3">
      <c r="A398" s="160">
        <v>386</v>
      </c>
      <c r="B398" s="62">
        <v>190000</v>
      </c>
      <c r="C398" s="62">
        <v>101.0337</v>
      </c>
      <c r="D398" s="62">
        <v>-0.87156219999999995</v>
      </c>
      <c r="E398" s="62">
        <v>10</v>
      </c>
      <c r="F398" s="62">
        <v>0</v>
      </c>
      <c r="G398" s="62">
        <v>2</v>
      </c>
    </row>
    <row r="399" spans="1:7" x14ac:dyDescent="0.3">
      <c r="A399" s="160">
        <v>387</v>
      </c>
      <c r="B399" s="62">
        <v>190000</v>
      </c>
      <c r="C399" s="62">
        <v>100.7383</v>
      </c>
      <c r="D399" s="62">
        <v>-0.85552919999999999</v>
      </c>
      <c r="E399" s="62">
        <v>10</v>
      </c>
      <c r="F399" s="62">
        <v>0</v>
      </c>
      <c r="G399" s="62">
        <v>2</v>
      </c>
    </row>
    <row r="400" spans="1:7" x14ac:dyDescent="0.3">
      <c r="A400" s="160">
        <v>388</v>
      </c>
      <c r="B400" s="62">
        <v>190000</v>
      </c>
      <c r="C400" s="62">
        <v>100.91</v>
      </c>
      <c r="D400" s="62">
        <v>-0.82640389999999997</v>
      </c>
      <c r="E400" s="62">
        <v>10</v>
      </c>
      <c r="F400" s="62">
        <v>0</v>
      </c>
      <c r="G400" s="62">
        <v>2</v>
      </c>
    </row>
    <row r="401" spans="1:7" x14ac:dyDescent="0.3">
      <c r="A401" s="160">
        <v>389</v>
      </c>
      <c r="B401" s="62">
        <v>190000</v>
      </c>
      <c r="C401" s="62">
        <v>101.0074</v>
      </c>
      <c r="D401" s="62">
        <v>-0.99579629999999997</v>
      </c>
      <c r="E401" s="62">
        <v>10</v>
      </c>
      <c r="F401" s="62">
        <v>0</v>
      </c>
      <c r="G401" s="62">
        <v>2</v>
      </c>
    </row>
    <row r="402" spans="1:7" x14ac:dyDescent="0.3">
      <c r="A402" s="160">
        <v>390</v>
      </c>
      <c r="B402" s="62">
        <v>190000</v>
      </c>
      <c r="C402" s="62">
        <v>100.6403</v>
      </c>
      <c r="D402" s="62">
        <v>-0.98935450000000003</v>
      </c>
      <c r="E402" s="62">
        <v>10</v>
      </c>
      <c r="F402" s="62">
        <v>0</v>
      </c>
      <c r="G402" s="62">
        <v>2</v>
      </c>
    </row>
    <row r="403" spans="1:7" x14ac:dyDescent="0.3">
      <c r="A403" s="160">
        <v>391</v>
      </c>
      <c r="B403" s="62">
        <v>50999.97</v>
      </c>
      <c r="C403" s="62">
        <v>100.74679999999999</v>
      </c>
      <c r="D403" s="62">
        <v>-0.31397839999999999</v>
      </c>
      <c r="E403" s="62">
        <v>10</v>
      </c>
      <c r="F403" s="62">
        <v>0</v>
      </c>
      <c r="G403" s="62">
        <v>2</v>
      </c>
    </row>
    <row r="404" spans="1:7" x14ac:dyDescent="0.3">
      <c r="A404" s="160">
        <v>392</v>
      </c>
      <c r="B404" s="62">
        <v>50999.97</v>
      </c>
      <c r="C404" s="62">
        <v>100.92140000000001</v>
      </c>
      <c r="D404" s="62">
        <v>-0.2091702</v>
      </c>
      <c r="E404" s="62">
        <v>10</v>
      </c>
      <c r="F404" s="62">
        <v>0</v>
      </c>
      <c r="G404" s="62">
        <v>2</v>
      </c>
    </row>
    <row r="405" spans="1:7" x14ac:dyDescent="0.3">
      <c r="A405" s="160">
        <v>393</v>
      </c>
      <c r="B405" s="62">
        <v>50999.97</v>
      </c>
      <c r="C405" s="62">
        <v>100.8092</v>
      </c>
      <c r="D405" s="62">
        <v>-0.23850869999999999</v>
      </c>
      <c r="E405" s="62">
        <v>10</v>
      </c>
      <c r="F405" s="62">
        <v>0</v>
      </c>
      <c r="G405" s="62">
        <v>2</v>
      </c>
    </row>
    <row r="406" spans="1:7" x14ac:dyDescent="0.3">
      <c r="A406" s="160">
        <v>394</v>
      </c>
      <c r="B406" s="62">
        <v>50999.97</v>
      </c>
      <c r="C406" s="62">
        <v>100.9932</v>
      </c>
      <c r="D406" s="62">
        <v>-0.21828549999999999</v>
      </c>
      <c r="E406" s="62">
        <v>10</v>
      </c>
      <c r="F406" s="62">
        <v>0</v>
      </c>
      <c r="G406" s="62">
        <v>2</v>
      </c>
    </row>
    <row r="407" spans="1:7" x14ac:dyDescent="0.3">
      <c r="A407" s="160">
        <v>395</v>
      </c>
      <c r="B407" s="62">
        <v>50999.97</v>
      </c>
      <c r="C407" s="62">
        <v>100.7124</v>
      </c>
      <c r="D407" s="62">
        <v>-0.17799190000000001</v>
      </c>
      <c r="E407" s="62">
        <v>10</v>
      </c>
      <c r="F407" s="62">
        <v>0</v>
      </c>
      <c r="G407" s="62">
        <v>2</v>
      </c>
    </row>
    <row r="408" spans="1:7" x14ac:dyDescent="0.3">
      <c r="A408" s="160">
        <v>396</v>
      </c>
      <c r="B408" s="62">
        <v>50999.97</v>
      </c>
      <c r="C408" s="62">
        <v>100.67140000000001</v>
      </c>
      <c r="D408" s="62">
        <v>-0.26824229999999999</v>
      </c>
      <c r="E408" s="62">
        <v>10</v>
      </c>
      <c r="F408" s="62">
        <v>0</v>
      </c>
      <c r="G408" s="62">
        <v>2</v>
      </c>
    </row>
    <row r="409" spans="1:7" x14ac:dyDescent="0.3">
      <c r="A409" s="160">
        <v>397</v>
      </c>
      <c r="B409" s="62">
        <v>50999.97</v>
      </c>
      <c r="C409" s="62">
        <v>100.7898</v>
      </c>
      <c r="D409" s="62">
        <v>-0.24085570000000001</v>
      </c>
      <c r="E409" s="62">
        <v>10</v>
      </c>
      <c r="F409" s="62">
        <v>0</v>
      </c>
      <c r="G409" s="62">
        <v>2</v>
      </c>
    </row>
    <row r="410" spans="1:7" x14ac:dyDescent="0.3">
      <c r="A410" s="160">
        <v>398</v>
      </c>
      <c r="B410" s="62">
        <v>50999.97</v>
      </c>
      <c r="C410" s="62">
        <v>100.8112</v>
      </c>
      <c r="D410" s="62">
        <v>-0.2453275</v>
      </c>
      <c r="E410" s="62">
        <v>10</v>
      </c>
      <c r="F410" s="62">
        <v>0</v>
      </c>
      <c r="G410" s="62">
        <v>2</v>
      </c>
    </row>
    <row r="411" spans="1:7" x14ac:dyDescent="0.3">
      <c r="A411" s="160">
        <v>399</v>
      </c>
      <c r="B411" s="62">
        <v>50999.97</v>
      </c>
      <c r="C411" s="62">
        <v>100.93259999999999</v>
      </c>
      <c r="D411" s="62">
        <v>-0.25257869999999999</v>
      </c>
      <c r="E411" s="62">
        <v>10</v>
      </c>
      <c r="F411" s="62">
        <v>0</v>
      </c>
      <c r="G411" s="62">
        <v>2</v>
      </c>
    </row>
    <row r="412" spans="1:7" x14ac:dyDescent="0.3">
      <c r="A412" s="160">
        <v>400</v>
      </c>
      <c r="B412" s="62">
        <v>50999.97</v>
      </c>
      <c r="C412" s="62">
        <v>100.80549999999999</v>
      </c>
      <c r="D412" s="62">
        <v>-0.24816569999999999</v>
      </c>
      <c r="E412" s="62">
        <v>10</v>
      </c>
      <c r="F412" s="62">
        <v>0</v>
      </c>
      <c r="G412" s="62">
        <v>2</v>
      </c>
    </row>
    <row r="413" spans="1:7" x14ac:dyDescent="0.3">
      <c r="A413" s="160">
        <v>401</v>
      </c>
      <c r="B413" s="62">
        <v>1000000</v>
      </c>
      <c r="C413" s="62">
        <v>100.6127</v>
      </c>
      <c r="D413" s="62">
        <v>-1.8594839999999999</v>
      </c>
      <c r="E413" s="62">
        <v>11</v>
      </c>
      <c r="F413" s="62">
        <v>0</v>
      </c>
      <c r="G413" s="62">
        <v>2</v>
      </c>
    </row>
    <row r="414" spans="1:7" x14ac:dyDescent="0.3">
      <c r="A414" s="160">
        <v>402</v>
      </c>
      <c r="B414" s="62">
        <v>1000000</v>
      </c>
      <c r="C414" s="62">
        <v>100.51049999999999</v>
      </c>
      <c r="D414" s="62">
        <v>-1.7805550000000001</v>
      </c>
      <c r="E414" s="62">
        <v>11</v>
      </c>
      <c r="F414" s="62">
        <v>0</v>
      </c>
      <c r="G414" s="62">
        <v>2</v>
      </c>
    </row>
    <row r="415" spans="1:7" x14ac:dyDescent="0.3">
      <c r="A415" s="160">
        <v>403</v>
      </c>
      <c r="B415" s="62">
        <v>1000000</v>
      </c>
      <c r="C415" s="62">
        <v>100.53149999999999</v>
      </c>
      <c r="D415" s="62">
        <v>-1.7197979999999999</v>
      </c>
      <c r="E415" s="62">
        <v>11</v>
      </c>
      <c r="F415" s="62">
        <v>0</v>
      </c>
      <c r="G415" s="62">
        <v>2</v>
      </c>
    </row>
    <row r="416" spans="1:7" x14ac:dyDescent="0.3">
      <c r="A416" s="160">
        <v>404</v>
      </c>
      <c r="B416" s="62">
        <v>1000000</v>
      </c>
      <c r="C416" s="62">
        <v>100.53449999999999</v>
      </c>
      <c r="D416" s="62">
        <v>-1.7246220000000001</v>
      </c>
      <c r="E416" s="62">
        <v>11</v>
      </c>
      <c r="F416" s="62">
        <v>0</v>
      </c>
      <c r="G416" s="62">
        <v>2</v>
      </c>
    </row>
    <row r="417" spans="1:7" x14ac:dyDescent="0.3">
      <c r="A417" s="160">
        <v>405</v>
      </c>
      <c r="B417" s="62">
        <v>1000000</v>
      </c>
      <c r="C417" s="62">
        <v>100.6618</v>
      </c>
      <c r="D417" s="62">
        <v>-1.675311</v>
      </c>
      <c r="E417" s="62">
        <v>11</v>
      </c>
      <c r="F417" s="62">
        <v>0</v>
      </c>
      <c r="G417" s="62">
        <v>2</v>
      </c>
    </row>
    <row r="418" spans="1:7" x14ac:dyDescent="0.3">
      <c r="A418" s="160">
        <v>406</v>
      </c>
      <c r="B418" s="62">
        <v>1000000</v>
      </c>
      <c r="C418" s="62">
        <v>100.68510000000001</v>
      </c>
      <c r="D418" s="62">
        <v>-1.774187</v>
      </c>
      <c r="E418" s="62">
        <v>11</v>
      </c>
      <c r="F418" s="62">
        <v>0</v>
      </c>
      <c r="G418" s="62">
        <v>2</v>
      </c>
    </row>
    <row r="419" spans="1:7" x14ac:dyDescent="0.3">
      <c r="A419" s="160">
        <v>407</v>
      </c>
      <c r="B419" s="62">
        <v>1000000</v>
      </c>
      <c r="C419" s="62">
        <v>100.5091</v>
      </c>
      <c r="D419" s="62">
        <v>-1.739744</v>
      </c>
      <c r="E419" s="62">
        <v>11</v>
      </c>
      <c r="F419" s="62">
        <v>0</v>
      </c>
      <c r="G419" s="62">
        <v>2</v>
      </c>
    </row>
    <row r="420" spans="1:7" x14ac:dyDescent="0.3">
      <c r="A420" s="160">
        <v>408</v>
      </c>
      <c r="B420" s="62">
        <v>1000000</v>
      </c>
      <c r="C420" s="62">
        <v>100.6837</v>
      </c>
      <c r="D420" s="62">
        <v>-1.777714</v>
      </c>
      <c r="E420" s="62">
        <v>11</v>
      </c>
      <c r="F420" s="62">
        <v>0</v>
      </c>
      <c r="G420" s="62">
        <v>2</v>
      </c>
    </row>
    <row r="421" spans="1:7" x14ac:dyDescent="0.3">
      <c r="A421" s="160">
        <v>409</v>
      </c>
      <c r="B421" s="62">
        <v>1000000</v>
      </c>
      <c r="C421" s="62">
        <v>100.694</v>
      </c>
      <c r="D421" s="62">
        <v>-1.7647040000000001</v>
      </c>
      <c r="E421" s="62">
        <v>11</v>
      </c>
      <c r="F421" s="62">
        <v>0</v>
      </c>
      <c r="G421" s="62">
        <v>2</v>
      </c>
    </row>
    <row r="422" spans="1:7" x14ac:dyDescent="0.3">
      <c r="A422" s="160">
        <v>410</v>
      </c>
      <c r="B422" s="62">
        <v>1000000</v>
      </c>
      <c r="C422" s="62">
        <v>100.6035</v>
      </c>
      <c r="D422" s="62">
        <v>-1.7761480000000001</v>
      </c>
      <c r="E422" s="62">
        <v>11</v>
      </c>
      <c r="F422" s="62">
        <v>0</v>
      </c>
      <c r="G422" s="62">
        <v>2</v>
      </c>
    </row>
    <row r="423" spans="1:7" x14ac:dyDescent="0.3">
      <c r="A423" s="160">
        <v>411</v>
      </c>
      <c r="B423" s="62">
        <v>859999.9</v>
      </c>
      <c r="C423" s="62">
        <v>100.0483</v>
      </c>
      <c r="D423" s="62">
        <v>-2.0386190000000002</v>
      </c>
      <c r="E423" s="62">
        <v>11</v>
      </c>
      <c r="F423" s="62">
        <v>0</v>
      </c>
      <c r="G423" s="62">
        <v>2</v>
      </c>
    </row>
    <row r="424" spans="1:7" x14ac:dyDescent="0.3">
      <c r="A424" s="160">
        <v>412</v>
      </c>
      <c r="B424" s="62">
        <v>859999.9</v>
      </c>
      <c r="C424" s="62">
        <v>100.05719999999999</v>
      </c>
      <c r="D424" s="62">
        <v>-2.0499689999999999</v>
      </c>
      <c r="E424" s="62">
        <v>11</v>
      </c>
      <c r="F424" s="62">
        <v>0</v>
      </c>
      <c r="G424" s="62">
        <v>2</v>
      </c>
    </row>
    <row r="425" spans="1:7" x14ac:dyDescent="0.3">
      <c r="A425" s="160">
        <v>413</v>
      </c>
      <c r="B425" s="62">
        <v>859999.9</v>
      </c>
      <c r="C425" s="62">
        <v>100.0903</v>
      </c>
      <c r="D425" s="62">
        <v>-2.0940699999999999</v>
      </c>
      <c r="E425" s="62">
        <v>11</v>
      </c>
      <c r="F425" s="62">
        <v>0</v>
      </c>
      <c r="G425" s="62">
        <v>2</v>
      </c>
    </row>
    <row r="426" spans="1:7" x14ac:dyDescent="0.3">
      <c r="A426" s="160">
        <v>414</v>
      </c>
      <c r="B426" s="62">
        <v>859999.9</v>
      </c>
      <c r="C426" s="62">
        <v>100.0093</v>
      </c>
      <c r="D426" s="62">
        <v>-1.9934449999999999</v>
      </c>
      <c r="E426" s="62">
        <v>11</v>
      </c>
      <c r="F426" s="62">
        <v>0</v>
      </c>
      <c r="G426" s="62">
        <v>2</v>
      </c>
    </row>
    <row r="427" spans="1:7" x14ac:dyDescent="0.3">
      <c r="A427" s="160">
        <v>415</v>
      </c>
      <c r="B427" s="62">
        <v>859999.9</v>
      </c>
      <c r="C427" s="62">
        <v>99.955529999999996</v>
      </c>
      <c r="D427" s="62">
        <v>-2.0727790000000001</v>
      </c>
      <c r="E427" s="62">
        <v>11</v>
      </c>
      <c r="F427" s="62">
        <v>0</v>
      </c>
      <c r="G427" s="62">
        <v>2</v>
      </c>
    </row>
    <row r="428" spans="1:7" x14ac:dyDescent="0.3">
      <c r="A428" s="160">
        <v>416</v>
      </c>
      <c r="B428" s="62">
        <v>859999.9</v>
      </c>
      <c r="C428" s="62">
        <v>100.04470000000001</v>
      </c>
      <c r="D428" s="62">
        <v>-2.0472990000000002</v>
      </c>
      <c r="E428" s="62">
        <v>11</v>
      </c>
      <c r="F428" s="62">
        <v>0</v>
      </c>
      <c r="G428" s="62">
        <v>2</v>
      </c>
    </row>
    <row r="429" spans="1:7" x14ac:dyDescent="0.3">
      <c r="A429" s="160">
        <v>417</v>
      </c>
      <c r="B429" s="62">
        <v>859999.9</v>
      </c>
      <c r="C429" s="62">
        <v>100.12779999999999</v>
      </c>
      <c r="D429" s="62">
        <v>-2.0779909999999999</v>
      </c>
      <c r="E429" s="62">
        <v>11</v>
      </c>
      <c r="F429" s="62">
        <v>0</v>
      </c>
      <c r="G429" s="62">
        <v>2</v>
      </c>
    </row>
    <row r="430" spans="1:7" x14ac:dyDescent="0.3">
      <c r="A430" s="160">
        <v>418</v>
      </c>
      <c r="B430" s="62">
        <v>859999.9</v>
      </c>
      <c r="C430" s="62">
        <v>100.1407</v>
      </c>
      <c r="D430" s="62">
        <v>-2.0417200000000002</v>
      </c>
      <c r="E430" s="62">
        <v>11</v>
      </c>
      <c r="F430" s="62">
        <v>0</v>
      </c>
      <c r="G430" s="62">
        <v>2</v>
      </c>
    </row>
    <row r="431" spans="1:7" x14ac:dyDescent="0.3">
      <c r="A431" s="160">
        <v>419</v>
      </c>
      <c r="B431" s="62">
        <v>859999.9</v>
      </c>
      <c r="C431" s="62">
        <v>100.1236</v>
      </c>
      <c r="D431" s="62">
        <v>-2.013652</v>
      </c>
      <c r="E431" s="62">
        <v>11</v>
      </c>
      <c r="F431" s="62">
        <v>0</v>
      </c>
      <c r="G431" s="62">
        <v>2</v>
      </c>
    </row>
    <row r="432" spans="1:7" x14ac:dyDescent="0.3">
      <c r="A432" s="160">
        <v>420</v>
      </c>
      <c r="B432" s="62">
        <v>859999.9</v>
      </c>
      <c r="C432" s="62">
        <v>100.07940000000001</v>
      </c>
      <c r="D432" s="62">
        <v>-2.091383</v>
      </c>
      <c r="E432" s="62">
        <v>11</v>
      </c>
      <c r="F432" s="62">
        <v>0</v>
      </c>
      <c r="G432" s="62">
        <v>2</v>
      </c>
    </row>
    <row r="433" spans="1:7" x14ac:dyDescent="0.3">
      <c r="A433" s="160">
        <v>421</v>
      </c>
      <c r="B433" s="62">
        <v>730000</v>
      </c>
      <c r="C433" s="62">
        <v>99.723370000000003</v>
      </c>
      <c r="D433" s="62">
        <v>-2.1960389999999999</v>
      </c>
      <c r="E433" s="62">
        <v>11</v>
      </c>
      <c r="F433" s="62">
        <v>0</v>
      </c>
      <c r="G433" s="62">
        <v>2</v>
      </c>
    </row>
    <row r="434" spans="1:7" x14ac:dyDescent="0.3">
      <c r="A434" s="160">
        <v>422</v>
      </c>
      <c r="B434" s="62">
        <v>730000</v>
      </c>
      <c r="C434" s="62">
        <v>99.881569999999996</v>
      </c>
      <c r="D434" s="62">
        <v>-2.133419</v>
      </c>
      <c r="E434" s="62">
        <v>11</v>
      </c>
      <c r="F434" s="62">
        <v>0</v>
      </c>
      <c r="G434" s="62">
        <v>2</v>
      </c>
    </row>
    <row r="435" spans="1:7" x14ac:dyDescent="0.3">
      <c r="A435" s="160">
        <v>423</v>
      </c>
      <c r="B435" s="62">
        <v>730000</v>
      </c>
      <c r="C435" s="62">
        <v>99.90831</v>
      </c>
      <c r="D435" s="62">
        <v>-2.146217</v>
      </c>
      <c r="E435" s="62">
        <v>11</v>
      </c>
      <c r="F435" s="62">
        <v>0</v>
      </c>
      <c r="G435" s="62">
        <v>2</v>
      </c>
    </row>
    <row r="436" spans="1:7" x14ac:dyDescent="0.3">
      <c r="A436" s="160">
        <v>424</v>
      </c>
      <c r="B436" s="62">
        <v>730000</v>
      </c>
      <c r="C436" s="62">
        <v>99.808239999999998</v>
      </c>
      <c r="D436" s="62">
        <v>-2.1641309999999998</v>
      </c>
      <c r="E436" s="62">
        <v>11</v>
      </c>
      <c r="F436" s="62">
        <v>0</v>
      </c>
      <c r="G436" s="62">
        <v>2</v>
      </c>
    </row>
    <row r="437" spans="1:7" x14ac:dyDescent="0.3">
      <c r="A437" s="160">
        <v>425</v>
      </c>
      <c r="B437" s="62">
        <v>730000</v>
      </c>
      <c r="C437" s="62">
        <v>99.812449999999998</v>
      </c>
      <c r="D437" s="62">
        <v>-2.1702219999999999</v>
      </c>
      <c r="E437" s="62">
        <v>11</v>
      </c>
      <c r="F437" s="62">
        <v>0</v>
      </c>
      <c r="G437" s="62">
        <v>2</v>
      </c>
    </row>
    <row r="438" spans="1:7" x14ac:dyDescent="0.3">
      <c r="A438" s="160">
        <v>426</v>
      </c>
      <c r="B438" s="62">
        <v>730000</v>
      </c>
      <c r="C438" s="62">
        <v>99.826160000000002</v>
      </c>
      <c r="D438" s="62">
        <v>-2.1775350000000002</v>
      </c>
      <c r="E438" s="62">
        <v>11</v>
      </c>
      <c r="F438" s="62">
        <v>0</v>
      </c>
      <c r="G438" s="62">
        <v>2</v>
      </c>
    </row>
    <row r="439" spans="1:7" x14ac:dyDescent="0.3">
      <c r="A439" s="160">
        <v>427</v>
      </c>
      <c r="B439" s="62">
        <v>730000</v>
      </c>
      <c r="C439" s="62">
        <v>99.769279999999995</v>
      </c>
      <c r="D439" s="62">
        <v>-2.2190590000000001</v>
      </c>
      <c r="E439" s="62">
        <v>11</v>
      </c>
      <c r="F439" s="62">
        <v>0</v>
      </c>
      <c r="G439" s="62">
        <v>2</v>
      </c>
    </row>
    <row r="440" spans="1:7" x14ac:dyDescent="0.3">
      <c r="A440" s="160">
        <v>428</v>
      </c>
      <c r="B440" s="62">
        <v>730000</v>
      </c>
      <c r="C440" s="62">
        <v>99.813900000000004</v>
      </c>
      <c r="D440" s="62">
        <v>-2.1681460000000001</v>
      </c>
      <c r="E440" s="62">
        <v>11</v>
      </c>
      <c r="F440" s="62">
        <v>0</v>
      </c>
      <c r="G440" s="62">
        <v>2</v>
      </c>
    </row>
    <row r="441" spans="1:7" x14ac:dyDescent="0.3">
      <c r="A441" s="160">
        <v>429</v>
      </c>
      <c r="B441" s="62">
        <v>730000</v>
      </c>
      <c r="C441" s="62">
        <v>99.778130000000004</v>
      </c>
      <c r="D441" s="62">
        <v>-2.217479</v>
      </c>
      <c r="E441" s="62">
        <v>11</v>
      </c>
      <c r="F441" s="62">
        <v>0</v>
      </c>
      <c r="G441" s="62">
        <v>2</v>
      </c>
    </row>
    <row r="442" spans="1:7" x14ac:dyDescent="0.3">
      <c r="A442" s="160">
        <v>430</v>
      </c>
      <c r="B442" s="62">
        <v>730000</v>
      </c>
      <c r="C442" s="62">
        <v>99.800700000000006</v>
      </c>
      <c r="D442" s="62">
        <v>-2.1549969999999998</v>
      </c>
      <c r="E442" s="62">
        <v>11</v>
      </c>
      <c r="F442" s="62">
        <v>0</v>
      </c>
      <c r="G442" s="62">
        <v>2</v>
      </c>
    </row>
    <row r="443" spans="1:7" x14ac:dyDescent="0.3">
      <c r="A443" s="160">
        <v>431</v>
      </c>
      <c r="B443" s="62">
        <v>589999.9</v>
      </c>
      <c r="C443" s="62">
        <v>99.798169999999999</v>
      </c>
      <c r="D443" s="62">
        <v>-2.1143670000000001</v>
      </c>
      <c r="E443" s="62">
        <v>11</v>
      </c>
      <c r="F443" s="62">
        <v>0</v>
      </c>
      <c r="G443" s="62">
        <v>2</v>
      </c>
    </row>
    <row r="444" spans="1:7" x14ac:dyDescent="0.3">
      <c r="A444" s="160">
        <v>432</v>
      </c>
      <c r="B444" s="62">
        <v>589999.9</v>
      </c>
      <c r="C444" s="62">
        <v>99.659450000000007</v>
      </c>
      <c r="D444" s="62">
        <v>-2.1256699999999999</v>
      </c>
      <c r="E444" s="62">
        <v>11</v>
      </c>
      <c r="F444" s="62">
        <v>0</v>
      </c>
      <c r="G444" s="62">
        <v>2</v>
      </c>
    </row>
    <row r="445" spans="1:7" x14ac:dyDescent="0.3">
      <c r="A445" s="160">
        <v>433</v>
      </c>
      <c r="B445" s="62">
        <v>589999.9</v>
      </c>
      <c r="C445" s="62">
        <v>99.86824</v>
      </c>
      <c r="D445" s="62">
        <v>-2.0447679999999999</v>
      </c>
      <c r="E445" s="62">
        <v>11</v>
      </c>
      <c r="F445" s="62">
        <v>0</v>
      </c>
      <c r="G445" s="62">
        <v>2</v>
      </c>
    </row>
    <row r="446" spans="1:7" x14ac:dyDescent="0.3">
      <c r="A446" s="160">
        <v>434</v>
      </c>
      <c r="B446" s="62">
        <v>589999.9</v>
      </c>
      <c r="C446" s="62">
        <v>99.884379999999993</v>
      </c>
      <c r="D446" s="62">
        <v>-2.2074250000000002</v>
      </c>
      <c r="E446" s="62">
        <v>11</v>
      </c>
      <c r="F446" s="62">
        <v>0</v>
      </c>
      <c r="G446" s="62">
        <v>2</v>
      </c>
    </row>
    <row r="447" spans="1:7" x14ac:dyDescent="0.3">
      <c r="A447" s="160">
        <v>435</v>
      </c>
      <c r="B447" s="62">
        <v>589999.9</v>
      </c>
      <c r="C447" s="62">
        <v>99.815790000000007</v>
      </c>
      <c r="D447" s="62">
        <v>-2.0939380000000001</v>
      </c>
      <c r="E447" s="62">
        <v>11</v>
      </c>
      <c r="F447" s="62">
        <v>0</v>
      </c>
      <c r="G447" s="62">
        <v>2</v>
      </c>
    </row>
    <row r="448" spans="1:7" x14ac:dyDescent="0.3">
      <c r="A448" s="160">
        <v>436</v>
      </c>
      <c r="B448" s="62">
        <v>589999.9</v>
      </c>
      <c r="C448" s="62">
        <v>99.803430000000006</v>
      </c>
      <c r="D448" s="62">
        <v>-2.1029650000000002</v>
      </c>
      <c r="E448" s="62">
        <v>11</v>
      </c>
      <c r="F448" s="62">
        <v>0</v>
      </c>
      <c r="G448" s="62">
        <v>2</v>
      </c>
    </row>
    <row r="449" spans="1:7" x14ac:dyDescent="0.3">
      <c r="A449" s="160">
        <v>437</v>
      </c>
      <c r="B449" s="62">
        <v>589999.9</v>
      </c>
      <c r="C449" s="62">
        <v>99.731890000000007</v>
      </c>
      <c r="D449" s="62">
        <v>-2.0611130000000002</v>
      </c>
      <c r="E449" s="62">
        <v>11</v>
      </c>
      <c r="F449" s="62">
        <v>0</v>
      </c>
      <c r="G449" s="62">
        <v>2</v>
      </c>
    </row>
    <row r="450" spans="1:7" x14ac:dyDescent="0.3">
      <c r="A450" s="160">
        <v>438</v>
      </c>
      <c r="B450" s="62">
        <v>589999.9</v>
      </c>
      <c r="C450" s="62">
        <v>99.876670000000004</v>
      </c>
      <c r="D450" s="62">
        <v>-2.1350609999999999</v>
      </c>
      <c r="E450" s="62">
        <v>11</v>
      </c>
      <c r="F450" s="62">
        <v>0</v>
      </c>
      <c r="G450" s="62">
        <v>2</v>
      </c>
    </row>
    <row r="451" spans="1:7" x14ac:dyDescent="0.3">
      <c r="A451" s="160">
        <v>439</v>
      </c>
      <c r="B451" s="62">
        <v>589999.9</v>
      </c>
      <c r="C451" s="62">
        <v>99.885900000000007</v>
      </c>
      <c r="D451" s="62">
        <v>-2.2103670000000002</v>
      </c>
      <c r="E451" s="62">
        <v>11</v>
      </c>
      <c r="F451" s="62">
        <v>0</v>
      </c>
      <c r="G451" s="62">
        <v>2</v>
      </c>
    </row>
    <row r="452" spans="1:7" x14ac:dyDescent="0.3">
      <c r="A452" s="160">
        <v>440</v>
      </c>
      <c r="B452" s="62">
        <v>589999.9</v>
      </c>
      <c r="C452" s="62">
        <v>99.774770000000004</v>
      </c>
      <c r="D452" s="62">
        <v>-2.1358929999999998</v>
      </c>
      <c r="E452" s="62">
        <v>11</v>
      </c>
      <c r="F452" s="62">
        <v>0</v>
      </c>
      <c r="G452" s="62">
        <v>2</v>
      </c>
    </row>
    <row r="453" spans="1:7" x14ac:dyDescent="0.3">
      <c r="A453" s="160">
        <v>441</v>
      </c>
      <c r="B453" s="62">
        <v>460000</v>
      </c>
      <c r="C453" s="62">
        <v>100.15479999999999</v>
      </c>
      <c r="D453" s="62">
        <v>-1.964251</v>
      </c>
      <c r="E453" s="62">
        <v>11</v>
      </c>
      <c r="F453" s="62">
        <v>0</v>
      </c>
      <c r="G453" s="62">
        <v>2</v>
      </c>
    </row>
    <row r="454" spans="1:7" x14ac:dyDescent="0.3">
      <c r="A454" s="160">
        <v>442</v>
      </c>
      <c r="B454" s="62">
        <v>460000</v>
      </c>
      <c r="C454" s="62">
        <v>100.0823</v>
      </c>
      <c r="D454" s="62">
        <v>-1.9428449999999999</v>
      </c>
      <c r="E454" s="62">
        <v>11</v>
      </c>
      <c r="F454" s="62">
        <v>0</v>
      </c>
      <c r="G454" s="62">
        <v>2</v>
      </c>
    </row>
    <row r="455" spans="1:7" x14ac:dyDescent="0.3">
      <c r="A455" s="160">
        <v>443</v>
      </c>
      <c r="B455" s="62">
        <v>460000</v>
      </c>
      <c r="C455" s="62">
        <v>99.982990000000001</v>
      </c>
      <c r="D455" s="62">
        <v>-1.895753</v>
      </c>
      <c r="E455" s="62">
        <v>11</v>
      </c>
      <c r="F455" s="62">
        <v>0</v>
      </c>
      <c r="G455" s="62">
        <v>2</v>
      </c>
    </row>
    <row r="456" spans="1:7" x14ac:dyDescent="0.3">
      <c r="A456" s="160">
        <v>444</v>
      </c>
      <c r="B456" s="62">
        <v>460000</v>
      </c>
      <c r="C456" s="62">
        <v>99.959680000000006</v>
      </c>
      <c r="D456" s="62">
        <v>-1.8444370000000001</v>
      </c>
      <c r="E456" s="62">
        <v>11</v>
      </c>
      <c r="F456" s="62">
        <v>0</v>
      </c>
      <c r="G456" s="62">
        <v>2</v>
      </c>
    </row>
    <row r="457" spans="1:7" x14ac:dyDescent="0.3">
      <c r="A457" s="160">
        <v>445</v>
      </c>
      <c r="B457" s="62">
        <v>460000</v>
      </c>
      <c r="C457" s="62">
        <v>100.05719999999999</v>
      </c>
      <c r="D457" s="62">
        <v>-1.8900170000000001</v>
      </c>
      <c r="E457" s="62">
        <v>11</v>
      </c>
      <c r="F457" s="62">
        <v>0</v>
      </c>
      <c r="G457" s="62">
        <v>2</v>
      </c>
    </row>
    <row r="458" spans="1:7" x14ac:dyDescent="0.3">
      <c r="A458" s="160">
        <v>446</v>
      </c>
      <c r="B458" s="62">
        <v>460000</v>
      </c>
      <c r="C458" s="62">
        <v>100.08320000000001</v>
      </c>
      <c r="D458" s="62">
        <v>-1.9294009999999999</v>
      </c>
      <c r="E458" s="62">
        <v>11</v>
      </c>
      <c r="F458" s="62">
        <v>0</v>
      </c>
      <c r="G458" s="62">
        <v>2</v>
      </c>
    </row>
    <row r="459" spans="1:7" x14ac:dyDescent="0.3">
      <c r="A459" s="160">
        <v>447</v>
      </c>
      <c r="B459" s="62">
        <v>460000</v>
      </c>
      <c r="C459" s="62">
        <v>99.979960000000005</v>
      </c>
      <c r="D459" s="62">
        <v>-1.904887</v>
      </c>
      <c r="E459" s="62">
        <v>11</v>
      </c>
      <c r="F459" s="62">
        <v>0</v>
      </c>
      <c r="G459" s="62">
        <v>2</v>
      </c>
    </row>
    <row r="460" spans="1:7" x14ac:dyDescent="0.3">
      <c r="A460" s="160">
        <v>448</v>
      </c>
      <c r="B460" s="62">
        <v>460000</v>
      </c>
      <c r="C460" s="62">
        <v>100.08450000000001</v>
      </c>
      <c r="D460" s="62">
        <v>-1.9334579999999999</v>
      </c>
      <c r="E460" s="62">
        <v>11</v>
      </c>
      <c r="F460" s="62">
        <v>0</v>
      </c>
      <c r="G460" s="62">
        <v>2</v>
      </c>
    </row>
    <row r="461" spans="1:7" x14ac:dyDescent="0.3">
      <c r="A461" s="160">
        <v>449</v>
      </c>
      <c r="B461" s="62">
        <v>460000</v>
      </c>
      <c r="C461" s="62">
        <v>100.18680000000001</v>
      </c>
      <c r="D461" s="62">
        <v>-1.898622</v>
      </c>
      <c r="E461" s="62">
        <v>11</v>
      </c>
      <c r="F461" s="62">
        <v>0</v>
      </c>
      <c r="G461" s="62">
        <v>2</v>
      </c>
    </row>
    <row r="462" spans="1:7" x14ac:dyDescent="0.3">
      <c r="A462" s="160">
        <v>450</v>
      </c>
      <c r="B462" s="62">
        <v>460000</v>
      </c>
      <c r="C462" s="62">
        <v>100.0975</v>
      </c>
      <c r="D462" s="62">
        <v>-1.968329</v>
      </c>
      <c r="E462" s="62">
        <v>11</v>
      </c>
      <c r="F462" s="62">
        <v>0</v>
      </c>
      <c r="G462" s="62">
        <v>2</v>
      </c>
    </row>
    <row r="463" spans="1:7" x14ac:dyDescent="0.3">
      <c r="A463" s="160">
        <v>451</v>
      </c>
      <c r="B463" s="62">
        <v>319999.90000000002</v>
      </c>
      <c r="C463" s="62">
        <v>100.4881</v>
      </c>
      <c r="D463" s="62">
        <v>-1.3829610000000001</v>
      </c>
      <c r="E463" s="62">
        <v>11</v>
      </c>
      <c r="F463" s="62">
        <v>0</v>
      </c>
      <c r="G463" s="62">
        <v>2</v>
      </c>
    </row>
    <row r="464" spans="1:7" x14ac:dyDescent="0.3">
      <c r="A464" s="160">
        <v>452</v>
      </c>
      <c r="B464" s="62">
        <v>319999.90000000002</v>
      </c>
      <c r="C464" s="62">
        <v>100.3605</v>
      </c>
      <c r="D464" s="62">
        <v>-1.605032</v>
      </c>
      <c r="E464" s="62">
        <v>11</v>
      </c>
      <c r="F464" s="62">
        <v>0</v>
      </c>
      <c r="G464" s="62">
        <v>2</v>
      </c>
    </row>
    <row r="465" spans="1:7" x14ac:dyDescent="0.3">
      <c r="A465" s="160">
        <v>453</v>
      </c>
      <c r="B465" s="62">
        <v>319999.90000000002</v>
      </c>
      <c r="C465" s="62">
        <v>100.44240000000001</v>
      </c>
      <c r="D465" s="62">
        <v>-1.5471870000000001</v>
      </c>
      <c r="E465" s="62">
        <v>11</v>
      </c>
      <c r="F465" s="62">
        <v>0</v>
      </c>
      <c r="G465" s="62">
        <v>2</v>
      </c>
    </row>
    <row r="466" spans="1:7" x14ac:dyDescent="0.3">
      <c r="A466" s="160">
        <v>454</v>
      </c>
      <c r="B466" s="62">
        <v>319999.90000000002</v>
      </c>
      <c r="C466" s="62">
        <v>100.374</v>
      </c>
      <c r="D466" s="62">
        <v>-1.575034</v>
      </c>
      <c r="E466" s="62">
        <v>11</v>
      </c>
      <c r="F466" s="62">
        <v>0</v>
      </c>
      <c r="G466" s="62">
        <v>2</v>
      </c>
    </row>
    <row r="467" spans="1:7" x14ac:dyDescent="0.3">
      <c r="A467" s="160">
        <v>455</v>
      </c>
      <c r="B467" s="62">
        <v>319999.90000000002</v>
      </c>
      <c r="C467" s="62">
        <v>100.5167</v>
      </c>
      <c r="D467" s="62">
        <v>-1.456053</v>
      </c>
      <c r="E467" s="62">
        <v>11</v>
      </c>
      <c r="F467" s="62">
        <v>0</v>
      </c>
      <c r="G467" s="62">
        <v>2</v>
      </c>
    </row>
    <row r="468" spans="1:7" x14ac:dyDescent="0.3">
      <c r="A468" s="160">
        <v>456</v>
      </c>
      <c r="B468" s="62">
        <v>319999.90000000002</v>
      </c>
      <c r="C468" s="62">
        <v>100.4863</v>
      </c>
      <c r="D468" s="62">
        <v>-1.509965</v>
      </c>
      <c r="E468" s="62">
        <v>11</v>
      </c>
      <c r="F468" s="62">
        <v>0</v>
      </c>
      <c r="G468" s="62">
        <v>2</v>
      </c>
    </row>
    <row r="469" spans="1:7" x14ac:dyDescent="0.3">
      <c r="A469" s="160">
        <v>457</v>
      </c>
      <c r="B469" s="62">
        <v>319999.90000000002</v>
      </c>
      <c r="C469" s="62">
        <v>100.4104</v>
      </c>
      <c r="D469" s="62">
        <v>-1.4661470000000001</v>
      </c>
      <c r="E469" s="62">
        <v>11</v>
      </c>
      <c r="F469" s="62">
        <v>0</v>
      </c>
      <c r="G469" s="62">
        <v>2</v>
      </c>
    </row>
    <row r="470" spans="1:7" x14ac:dyDescent="0.3">
      <c r="A470" s="160">
        <v>458</v>
      </c>
      <c r="B470" s="62">
        <v>319999.90000000002</v>
      </c>
      <c r="C470" s="62">
        <v>100.5569</v>
      </c>
      <c r="D470" s="62">
        <v>-1.4877130000000001</v>
      </c>
      <c r="E470" s="62">
        <v>11</v>
      </c>
      <c r="F470" s="62">
        <v>0</v>
      </c>
      <c r="G470" s="62">
        <v>2</v>
      </c>
    </row>
    <row r="471" spans="1:7" x14ac:dyDescent="0.3">
      <c r="A471" s="160">
        <v>459</v>
      </c>
      <c r="B471" s="62">
        <v>319999.90000000002</v>
      </c>
      <c r="C471" s="62">
        <v>100.3068</v>
      </c>
      <c r="D471" s="62">
        <v>-1.4754100000000001</v>
      </c>
      <c r="E471" s="62">
        <v>11</v>
      </c>
      <c r="F471" s="62">
        <v>0</v>
      </c>
      <c r="G471" s="62">
        <v>2</v>
      </c>
    </row>
    <row r="472" spans="1:7" x14ac:dyDescent="0.3">
      <c r="A472" s="160">
        <v>460</v>
      </c>
      <c r="B472" s="62">
        <v>319999.90000000002</v>
      </c>
      <c r="C472" s="62">
        <v>100.4995</v>
      </c>
      <c r="D472" s="62">
        <v>-1.4296009999999999</v>
      </c>
      <c r="E472" s="62">
        <v>11</v>
      </c>
      <c r="F472" s="62">
        <v>0</v>
      </c>
      <c r="G472" s="62">
        <v>2</v>
      </c>
    </row>
    <row r="473" spans="1:7" x14ac:dyDescent="0.3">
      <c r="A473" s="160">
        <v>461</v>
      </c>
      <c r="B473" s="62">
        <v>190000</v>
      </c>
      <c r="C473" s="62">
        <v>100.8901</v>
      </c>
      <c r="D473" s="62">
        <v>-0.933863</v>
      </c>
      <c r="E473" s="62">
        <v>11</v>
      </c>
      <c r="F473" s="62">
        <v>0</v>
      </c>
      <c r="G473" s="62">
        <v>2</v>
      </c>
    </row>
    <row r="474" spans="1:7" x14ac:dyDescent="0.3">
      <c r="A474" s="160">
        <v>462</v>
      </c>
      <c r="B474" s="62">
        <v>190000</v>
      </c>
      <c r="C474" s="62">
        <v>100.8822</v>
      </c>
      <c r="D474" s="62">
        <v>-0.89236420000000005</v>
      </c>
      <c r="E474" s="62">
        <v>11</v>
      </c>
      <c r="F474" s="62">
        <v>0</v>
      </c>
      <c r="G474" s="62">
        <v>2</v>
      </c>
    </row>
    <row r="475" spans="1:7" x14ac:dyDescent="0.3">
      <c r="A475" s="160">
        <v>463</v>
      </c>
      <c r="B475" s="62">
        <v>190000</v>
      </c>
      <c r="C475" s="62">
        <v>100.7623</v>
      </c>
      <c r="D475" s="62">
        <v>-0.85325050000000002</v>
      </c>
      <c r="E475" s="62">
        <v>11</v>
      </c>
      <c r="F475" s="62">
        <v>0</v>
      </c>
      <c r="G475" s="62">
        <v>2</v>
      </c>
    </row>
    <row r="476" spans="1:7" x14ac:dyDescent="0.3">
      <c r="A476" s="160">
        <v>464</v>
      </c>
      <c r="B476" s="62">
        <v>190000</v>
      </c>
      <c r="C476" s="62">
        <v>100.8327</v>
      </c>
      <c r="D476" s="62">
        <v>-0.9792187</v>
      </c>
      <c r="E476" s="62">
        <v>11</v>
      </c>
      <c r="F476" s="62">
        <v>0</v>
      </c>
      <c r="G476" s="62">
        <v>2</v>
      </c>
    </row>
    <row r="477" spans="1:7" x14ac:dyDescent="0.3">
      <c r="A477" s="160">
        <v>465</v>
      </c>
      <c r="B477" s="62">
        <v>190000</v>
      </c>
      <c r="C477" s="62">
        <v>100.70820000000001</v>
      </c>
      <c r="D477" s="62">
        <v>-0.96608499999999997</v>
      </c>
      <c r="E477" s="62">
        <v>11</v>
      </c>
      <c r="F477" s="62">
        <v>0</v>
      </c>
      <c r="G477" s="62">
        <v>2</v>
      </c>
    </row>
    <row r="478" spans="1:7" x14ac:dyDescent="0.3">
      <c r="A478" s="160">
        <v>466</v>
      </c>
      <c r="B478" s="62">
        <v>190000</v>
      </c>
      <c r="C478" s="62">
        <v>100.848</v>
      </c>
      <c r="D478" s="62">
        <v>-1.0500750000000001</v>
      </c>
      <c r="E478" s="62">
        <v>11</v>
      </c>
      <c r="F478" s="62">
        <v>0</v>
      </c>
      <c r="G478" s="62">
        <v>2</v>
      </c>
    </row>
    <row r="479" spans="1:7" x14ac:dyDescent="0.3">
      <c r="A479" s="160">
        <v>467</v>
      </c>
      <c r="B479" s="62">
        <v>190000</v>
      </c>
      <c r="C479" s="62">
        <v>100.8319</v>
      </c>
      <c r="D479" s="62">
        <v>-0.9724294</v>
      </c>
      <c r="E479" s="62">
        <v>11</v>
      </c>
      <c r="F479" s="62">
        <v>0</v>
      </c>
      <c r="G479" s="62">
        <v>2</v>
      </c>
    </row>
    <row r="480" spans="1:7" x14ac:dyDescent="0.3">
      <c r="A480" s="160">
        <v>468</v>
      </c>
      <c r="B480" s="62">
        <v>190000</v>
      </c>
      <c r="C480" s="62">
        <v>100.88290000000001</v>
      </c>
      <c r="D480" s="62">
        <v>-0.94493360000000004</v>
      </c>
      <c r="E480" s="62">
        <v>11</v>
      </c>
      <c r="F480" s="62">
        <v>0</v>
      </c>
      <c r="G480" s="62">
        <v>2</v>
      </c>
    </row>
    <row r="481" spans="1:7" x14ac:dyDescent="0.3">
      <c r="A481" s="160">
        <v>469</v>
      </c>
      <c r="B481" s="62">
        <v>190000</v>
      </c>
      <c r="C481" s="62">
        <v>100.66200000000001</v>
      </c>
      <c r="D481" s="62">
        <v>-0.78630820000000001</v>
      </c>
      <c r="E481" s="62">
        <v>11</v>
      </c>
      <c r="F481" s="62">
        <v>0</v>
      </c>
      <c r="G481" s="62">
        <v>2</v>
      </c>
    </row>
    <row r="482" spans="1:7" x14ac:dyDescent="0.3">
      <c r="A482" s="160">
        <v>470</v>
      </c>
      <c r="B482" s="62">
        <v>190000</v>
      </c>
      <c r="C482" s="62">
        <v>100.8177</v>
      </c>
      <c r="D482" s="62">
        <v>-0.85214599999999996</v>
      </c>
      <c r="E482" s="62">
        <v>11</v>
      </c>
      <c r="F482" s="62">
        <v>0</v>
      </c>
      <c r="G482" s="62">
        <v>2</v>
      </c>
    </row>
    <row r="483" spans="1:7" x14ac:dyDescent="0.3">
      <c r="A483" s="160">
        <v>471</v>
      </c>
      <c r="B483" s="62">
        <v>50999.97</v>
      </c>
      <c r="C483" s="62">
        <v>100.8245</v>
      </c>
      <c r="D483" s="62">
        <v>-0.24563550000000001</v>
      </c>
      <c r="E483" s="62">
        <v>11</v>
      </c>
      <c r="F483" s="62">
        <v>0</v>
      </c>
      <c r="G483" s="62">
        <v>2</v>
      </c>
    </row>
    <row r="484" spans="1:7" x14ac:dyDescent="0.3">
      <c r="A484" s="160">
        <v>472</v>
      </c>
      <c r="B484" s="62">
        <v>50999.97</v>
      </c>
      <c r="C484" s="62">
        <v>100.7946</v>
      </c>
      <c r="D484" s="62">
        <v>-0.246584</v>
      </c>
      <c r="E484" s="62">
        <v>11</v>
      </c>
      <c r="F484" s="62">
        <v>0</v>
      </c>
      <c r="G484" s="62">
        <v>2</v>
      </c>
    </row>
    <row r="485" spans="1:7" x14ac:dyDescent="0.3">
      <c r="A485" s="160">
        <v>473</v>
      </c>
      <c r="B485" s="62">
        <v>50999.97</v>
      </c>
      <c r="C485" s="62">
        <v>101.0257</v>
      </c>
      <c r="D485" s="62">
        <v>-0.2227527</v>
      </c>
      <c r="E485" s="62">
        <v>11</v>
      </c>
      <c r="F485" s="62">
        <v>0</v>
      </c>
      <c r="G485" s="62">
        <v>2</v>
      </c>
    </row>
    <row r="486" spans="1:7" x14ac:dyDescent="0.3">
      <c r="A486" s="160">
        <v>474</v>
      </c>
      <c r="B486" s="62">
        <v>50999.97</v>
      </c>
      <c r="C486" s="62">
        <v>100.7323</v>
      </c>
      <c r="D486" s="62">
        <v>-0.30630210000000002</v>
      </c>
      <c r="E486" s="62">
        <v>11</v>
      </c>
      <c r="F486" s="62">
        <v>0</v>
      </c>
      <c r="G486" s="62">
        <v>2</v>
      </c>
    </row>
    <row r="487" spans="1:7" x14ac:dyDescent="0.3">
      <c r="A487" s="160">
        <v>475</v>
      </c>
      <c r="B487" s="62">
        <v>50999.97</v>
      </c>
      <c r="C487" s="62">
        <v>100.8073</v>
      </c>
      <c r="D487" s="62">
        <v>-0.24811140000000001</v>
      </c>
      <c r="E487" s="62">
        <v>11</v>
      </c>
      <c r="F487" s="62">
        <v>0</v>
      </c>
      <c r="G487" s="62">
        <v>2</v>
      </c>
    </row>
    <row r="488" spans="1:7" x14ac:dyDescent="0.3">
      <c r="A488" s="160">
        <v>476</v>
      </c>
      <c r="B488" s="62">
        <v>50999.97</v>
      </c>
      <c r="C488" s="62">
        <v>100.82089999999999</v>
      </c>
      <c r="D488" s="62">
        <v>-0.24081449999999999</v>
      </c>
      <c r="E488" s="62">
        <v>11</v>
      </c>
      <c r="F488" s="62">
        <v>0</v>
      </c>
      <c r="G488" s="62">
        <v>2</v>
      </c>
    </row>
    <row r="489" spans="1:7" x14ac:dyDescent="0.3">
      <c r="A489" s="160">
        <v>477</v>
      </c>
      <c r="B489" s="62">
        <v>50999.97</v>
      </c>
      <c r="C489" s="62">
        <v>100.648</v>
      </c>
      <c r="D489" s="62">
        <v>-0.26666719999999999</v>
      </c>
      <c r="E489" s="62">
        <v>11</v>
      </c>
      <c r="F489" s="62">
        <v>0</v>
      </c>
      <c r="G489" s="62">
        <v>2</v>
      </c>
    </row>
    <row r="490" spans="1:7" x14ac:dyDescent="0.3">
      <c r="A490" s="160">
        <v>478</v>
      </c>
      <c r="B490" s="62">
        <v>50999.97</v>
      </c>
      <c r="C490" s="62">
        <v>100.66970000000001</v>
      </c>
      <c r="D490" s="62">
        <v>-0.26414769999999999</v>
      </c>
      <c r="E490" s="62">
        <v>11</v>
      </c>
      <c r="F490" s="62">
        <v>0</v>
      </c>
      <c r="G490" s="62">
        <v>2</v>
      </c>
    </row>
    <row r="491" spans="1:7" x14ac:dyDescent="0.3">
      <c r="A491" s="160">
        <v>479</v>
      </c>
      <c r="B491" s="62">
        <v>50999.97</v>
      </c>
      <c r="C491" s="62">
        <v>100.7954</v>
      </c>
      <c r="D491" s="62">
        <v>-0.2377099</v>
      </c>
      <c r="E491" s="62">
        <v>11</v>
      </c>
      <c r="F491" s="62">
        <v>0</v>
      </c>
      <c r="G491" s="62">
        <v>2</v>
      </c>
    </row>
    <row r="492" spans="1:7" x14ac:dyDescent="0.3">
      <c r="A492" s="160">
        <v>480</v>
      </c>
      <c r="B492" s="62">
        <v>50999.97</v>
      </c>
      <c r="C492" s="62">
        <v>100.6353</v>
      </c>
      <c r="D492" s="62">
        <v>-0.26241249999999999</v>
      </c>
      <c r="E492" s="62">
        <v>11</v>
      </c>
      <c r="F492" s="62">
        <v>0</v>
      </c>
      <c r="G492" s="62">
        <v>2</v>
      </c>
    </row>
    <row r="493" spans="1:7" x14ac:dyDescent="0.3">
      <c r="A493" s="160">
        <v>481</v>
      </c>
      <c r="B493" s="62">
        <v>1000000</v>
      </c>
      <c r="C493" s="62">
        <v>98.464560000000006</v>
      </c>
      <c r="D493" s="62">
        <v>-6.9749999999999996</v>
      </c>
      <c r="E493" s="62">
        <v>0</v>
      </c>
      <c r="F493" s="62">
        <v>1</v>
      </c>
      <c r="G493" s="62">
        <v>2</v>
      </c>
    </row>
    <row r="494" spans="1:7" x14ac:dyDescent="0.3">
      <c r="A494" s="160">
        <v>482</v>
      </c>
      <c r="B494" s="62">
        <v>1000000</v>
      </c>
      <c r="C494" s="62">
        <v>98.439059999999998</v>
      </c>
      <c r="D494" s="62">
        <v>-6.9773569999999996</v>
      </c>
      <c r="E494" s="62">
        <v>0</v>
      </c>
      <c r="F494" s="62">
        <v>1</v>
      </c>
      <c r="G494" s="62">
        <v>2</v>
      </c>
    </row>
    <row r="495" spans="1:7" x14ac:dyDescent="0.3">
      <c r="A495" s="160">
        <v>483</v>
      </c>
      <c r="B495" s="62">
        <v>1000000</v>
      </c>
      <c r="C495" s="62">
        <v>98.449799999999996</v>
      </c>
      <c r="D495" s="62">
        <v>-6.9727959999999998</v>
      </c>
      <c r="E495" s="62">
        <v>0</v>
      </c>
      <c r="F495" s="62">
        <v>1</v>
      </c>
      <c r="G495" s="62">
        <v>2</v>
      </c>
    </row>
    <row r="496" spans="1:7" x14ac:dyDescent="0.3">
      <c r="A496" s="160">
        <v>484</v>
      </c>
      <c r="B496" s="62">
        <v>1000000</v>
      </c>
      <c r="C496" s="62">
        <v>98.441749999999999</v>
      </c>
      <c r="D496" s="62">
        <v>-6.9673150000000001</v>
      </c>
      <c r="E496" s="62">
        <v>0</v>
      </c>
      <c r="F496" s="62">
        <v>1</v>
      </c>
      <c r="G496" s="62">
        <v>2</v>
      </c>
    </row>
    <row r="497" spans="1:7" x14ac:dyDescent="0.3">
      <c r="A497" s="160">
        <v>485</v>
      </c>
      <c r="B497" s="62">
        <v>1000000</v>
      </c>
      <c r="C497" s="62">
        <v>98.450460000000007</v>
      </c>
      <c r="D497" s="62">
        <v>-6.96</v>
      </c>
      <c r="E497" s="62">
        <v>0</v>
      </c>
      <c r="F497" s="62">
        <v>1</v>
      </c>
      <c r="G497" s="62">
        <v>2</v>
      </c>
    </row>
    <row r="498" spans="1:7" x14ac:dyDescent="0.3">
      <c r="A498" s="160">
        <v>486</v>
      </c>
      <c r="B498" s="62">
        <v>1000000</v>
      </c>
      <c r="C498" s="62">
        <v>98.364829999999998</v>
      </c>
      <c r="D498" s="62">
        <v>-7.0030029999999996</v>
      </c>
      <c r="E498" s="62">
        <v>0</v>
      </c>
      <c r="F498" s="62">
        <v>1</v>
      </c>
      <c r="G498" s="62">
        <v>2</v>
      </c>
    </row>
    <row r="499" spans="1:7" x14ac:dyDescent="0.3">
      <c r="A499" s="160">
        <v>487</v>
      </c>
      <c r="B499" s="62">
        <v>1000000</v>
      </c>
      <c r="C499" s="62">
        <v>98.487750000000005</v>
      </c>
      <c r="D499" s="62">
        <v>-6.982024</v>
      </c>
      <c r="E499" s="62">
        <v>0</v>
      </c>
      <c r="F499" s="62">
        <v>1</v>
      </c>
      <c r="G499" s="62">
        <v>2</v>
      </c>
    </row>
    <row r="500" spans="1:7" x14ac:dyDescent="0.3">
      <c r="A500" s="160">
        <v>488</v>
      </c>
      <c r="B500" s="62">
        <v>1000000</v>
      </c>
      <c r="C500" s="62">
        <v>98.440730000000002</v>
      </c>
      <c r="D500" s="62">
        <v>-6.9604030000000003</v>
      </c>
      <c r="E500" s="62">
        <v>0</v>
      </c>
      <c r="F500" s="62">
        <v>1</v>
      </c>
      <c r="G500" s="62">
        <v>2</v>
      </c>
    </row>
    <row r="501" spans="1:7" x14ac:dyDescent="0.3">
      <c r="A501" s="160">
        <v>489</v>
      </c>
      <c r="B501" s="62">
        <v>1000000</v>
      </c>
      <c r="C501" s="62">
        <v>98.436520000000002</v>
      </c>
      <c r="D501" s="62">
        <v>-6.9215260000000001</v>
      </c>
      <c r="E501" s="62">
        <v>0</v>
      </c>
      <c r="F501" s="62">
        <v>1</v>
      </c>
      <c r="G501" s="62">
        <v>2</v>
      </c>
    </row>
    <row r="502" spans="1:7" x14ac:dyDescent="0.3">
      <c r="A502" s="160">
        <v>490</v>
      </c>
      <c r="B502" s="62">
        <v>1000000</v>
      </c>
      <c r="C502" s="62">
        <v>98.388459999999995</v>
      </c>
      <c r="D502" s="62">
        <v>-6.9153690000000001</v>
      </c>
      <c r="E502" s="62">
        <v>0</v>
      </c>
      <c r="F502" s="62">
        <v>1</v>
      </c>
      <c r="G502" s="62">
        <v>2</v>
      </c>
    </row>
    <row r="503" spans="1:7" x14ac:dyDescent="0.3">
      <c r="A503" s="160">
        <v>491</v>
      </c>
      <c r="B503" s="62">
        <v>859999.9</v>
      </c>
      <c r="C503" s="62">
        <v>98.240070000000003</v>
      </c>
      <c r="D503" s="62">
        <v>-6.5272670000000002</v>
      </c>
      <c r="E503" s="62">
        <v>0</v>
      </c>
      <c r="F503" s="62">
        <v>1</v>
      </c>
      <c r="G503" s="62">
        <v>2</v>
      </c>
    </row>
    <row r="504" spans="1:7" x14ac:dyDescent="0.3">
      <c r="A504" s="160">
        <v>492</v>
      </c>
      <c r="B504" s="62">
        <v>859999.9</v>
      </c>
      <c r="C504" s="62">
        <v>98.285629999999998</v>
      </c>
      <c r="D504" s="62">
        <v>-6.5265519999999997</v>
      </c>
      <c r="E504" s="62">
        <v>0</v>
      </c>
      <c r="F504" s="62">
        <v>1</v>
      </c>
      <c r="G504" s="62">
        <v>2</v>
      </c>
    </row>
    <row r="505" spans="1:7" x14ac:dyDescent="0.3">
      <c r="A505" s="160">
        <v>493</v>
      </c>
      <c r="B505" s="62">
        <v>859999.9</v>
      </c>
      <c r="C505" s="62">
        <v>98.275450000000006</v>
      </c>
      <c r="D505" s="62">
        <v>-6.5142110000000004</v>
      </c>
      <c r="E505" s="62">
        <v>0</v>
      </c>
      <c r="F505" s="62">
        <v>1</v>
      </c>
      <c r="G505" s="62">
        <v>2</v>
      </c>
    </row>
    <row r="506" spans="1:7" x14ac:dyDescent="0.3">
      <c r="A506" s="160">
        <v>494</v>
      </c>
      <c r="B506" s="62">
        <v>859999.9</v>
      </c>
      <c r="C506" s="62">
        <v>98.236270000000005</v>
      </c>
      <c r="D506" s="62">
        <v>-6.4815120000000004</v>
      </c>
      <c r="E506" s="62">
        <v>0</v>
      </c>
      <c r="F506" s="62">
        <v>1</v>
      </c>
      <c r="G506" s="62">
        <v>2</v>
      </c>
    </row>
    <row r="507" spans="1:7" x14ac:dyDescent="0.3">
      <c r="A507" s="160">
        <v>495</v>
      </c>
      <c r="B507" s="62">
        <v>859999.9</v>
      </c>
      <c r="C507" s="62">
        <v>98.285989999999998</v>
      </c>
      <c r="D507" s="62">
        <v>-6.5526660000000003</v>
      </c>
      <c r="E507" s="62">
        <v>0</v>
      </c>
      <c r="F507" s="62">
        <v>1</v>
      </c>
      <c r="G507" s="62">
        <v>2</v>
      </c>
    </row>
    <row r="508" spans="1:7" x14ac:dyDescent="0.3">
      <c r="A508" s="160">
        <v>496</v>
      </c>
      <c r="B508" s="62">
        <v>859999.9</v>
      </c>
      <c r="C508" s="62">
        <v>98.290030000000002</v>
      </c>
      <c r="D508" s="62">
        <v>-6.5183689999999999</v>
      </c>
      <c r="E508" s="62">
        <v>0</v>
      </c>
      <c r="F508" s="62">
        <v>1</v>
      </c>
      <c r="G508" s="62">
        <v>2</v>
      </c>
    </row>
    <row r="509" spans="1:7" x14ac:dyDescent="0.3">
      <c r="A509" s="160">
        <v>497</v>
      </c>
      <c r="B509" s="62">
        <v>859999.9</v>
      </c>
      <c r="C509" s="62">
        <v>98.282150000000001</v>
      </c>
      <c r="D509" s="62">
        <v>-6.5154009999999998</v>
      </c>
      <c r="E509" s="62">
        <v>0</v>
      </c>
      <c r="F509" s="62">
        <v>1</v>
      </c>
      <c r="G509" s="62">
        <v>2</v>
      </c>
    </row>
    <row r="510" spans="1:7" x14ac:dyDescent="0.3">
      <c r="A510" s="160">
        <v>498</v>
      </c>
      <c r="B510" s="62">
        <v>859999.9</v>
      </c>
      <c r="C510" s="62">
        <v>98.30162</v>
      </c>
      <c r="D510" s="62">
        <v>-6.535037</v>
      </c>
      <c r="E510" s="62">
        <v>0</v>
      </c>
      <c r="F510" s="62">
        <v>1</v>
      </c>
      <c r="G510" s="62">
        <v>2</v>
      </c>
    </row>
    <row r="511" spans="1:7" x14ac:dyDescent="0.3">
      <c r="A511" s="160">
        <v>499</v>
      </c>
      <c r="B511" s="62">
        <v>859999.9</v>
      </c>
      <c r="C511" s="62">
        <v>98.333020000000005</v>
      </c>
      <c r="D511" s="62">
        <v>-6.494802</v>
      </c>
      <c r="E511" s="62">
        <v>0</v>
      </c>
      <c r="F511" s="62">
        <v>1</v>
      </c>
      <c r="G511" s="62">
        <v>2</v>
      </c>
    </row>
    <row r="512" spans="1:7" x14ac:dyDescent="0.3">
      <c r="A512" s="160">
        <v>500</v>
      </c>
      <c r="B512" s="62">
        <v>859999.9</v>
      </c>
      <c r="C512" s="62">
        <v>98.323909999999998</v>
      </c>
      <c r="D512" s="62">
        <v>-6.5409139999999999</v>
      </c>
      <c r="E512" s="62">
        <v>0</v>
      </c>
      <c r="F512" s="62">
        <v>1</v>
      </c>
      <c r="G512" s="62">
        <v>2</v>
      </c>
    </row>
    <row r="513" spans="1:7" x14ac:dyDescent="0.3">
      <c r="A513" s="160">
        <v>501</v>
      </c>
      <c r="B513" s="62">
        <v>730000</v>
      </c>
      <c r="C513" s="62">
        <v>98.334890000000001</v>
      </c>
      <c r="D513" s="62">
        <v>-5.9668729999999996</v>
      </c>
      <c r="E513" s="62">
        <v>0</v>
      </c>
      <c r="F513" s="62">
        <v>1</v>
      </c>
      <c r="G513" s="62">
        <v>2</v>
      </c>
    </row>
    <row r="514" spans="1:7" x14ac:dyDescent="0.3">
      <c r="A514" s="160">
        <v>502</v>
      </c>
      <c r="B514" s="62">
        <v>730000</v>
      </c>
      <c r="C514" s="62">
        <v>98.340699999999998</v>
      </c>
      <c r="D514" s="62">
        <v>-5.9618310000000001</v>
      </c>
      <c r="E514" s="62">
        <v>0</v>
      </c>
      <c r="F514" s="62">
        <v>1</v>
      </c>
      <c r="G514" s="62">
        <v>2</v>
      </c>
    </row>
    <row r="515" spans="1:7" x14ac:dyDescent="0.3">
      <c r="A515" s="160">
        <v>503</v>
      </c>
      <c r="B515" s="62">
        <v>730000</v>
      </c>
      <c r="C515" s="62">
        <v>98.332610000000003</v>
      </c>
      <c r="D515" s="62">
        <v>-5.9465279999999998</v>
      </c>
      <c r="E515" s="62">
        <v>0</v>
      </c>
      <c r="F515" s="62">
        <v>1</v>
      </c>
      <c r="G515" s="62">
        <v>2</v>
      </c>
    </row>
    <row r="516" spans="1:7" x14ac:dyDescent="0.3">
      <c r="A516" s="160">
        <v>504</v>
      </c>
      <c r="B516" s="62">
        <v>730000</v>
      </c>
      <c r="C516" s="62">
        <v>98.362009999999998</v>
      </c>
      <c r="D516" s="62">
        <v>-5.98447</v>
      </c>
      <c r="E516" s="62">
        <v>0</v>
      </c>
      <c r="F516" s="62">
        <v>1</v>
      </c>
      <c r="G516" s="62">
        <v>2</v>
      </c>
    </row>
    <row r="517" spans="1:7" x14ac:dyDescent="0.3">
      <c r="A517" s="160">
        <v>505</v>
      </c>
      <c r="B517" s="62">
        <v>730000</v>
      </c>
      <c r="C517" s="62">
        <v>98.301900000000003</v>
      </c>
      <c r="D517" s="62">
        <v>-5.9730740000000004</v>
      </c>
      <c r="E517" s="62">
        <v>0</v>
      </c>
      <c r="F517" s="62">
        <v>1</v>
      </c>
      <c r="G517" s="62">
        <v>2</v>
      </c>
    </row>
    <row r="518" spans="1:7" x14ac:dyDescent="0.3">
      <c r="A518" s="160">
        <v>506</v>
      </c>
      <c r="B518" s="62">
        <v>730000</v>
      </c>
      <c r="C518" s="62">
        <v>98.328469999999996</v>
      </c>
      <c r="D518" s="62">
        <v>-5.9136139999999999</v>
      </c>
      <c r="E518" s="62">
        <v>0</v>
      </c>
      <c r="F518" s="62">
        <v>1</v>
      </c>
      <c r="G518" s="62">
        <v>2</v>
      </c>
    </row>
    <row r="519" spans="1:7" x14ac:dyDescent="0.3">
      <c r="A519" s="160">
        <v>507</v>
      </c>
      <c r="B519" s="62">
        <v>730000</v>
      </c>
      <c r="C519" s="62">
        <v>98.414339999999996</v>
      </c>
      <c r="D519" s="62">
        <v>-5.9272130000000001</v>
      </c>
      <c r="E519" s="62">
        <v>0</v>
      </c>
      <c r="F519" s="62">
        <v>1</v>
      </c>
      <c r="G519" s="62">
        <v>2</v>
      </c>
    </row>
    <row r="520" spans="1:7" x14ac:dyDescent="0.3">
      <c r="A520" s="160">
        <v>508</v>
      </c>
      <c r="B520" s="62">
        <v>730000</v>
      </c>
      <c r="C520" s="62">
        <v>98.331000000000003</v>
      </c>
      <c r="D520" s="62">
        <v>-5.9404070000000004</v>
      </c>
      <c r="E520" s="62">
        <v>0</v>
      </c>
      <c r="F520" s="62">
        <v>1</v>
      </c>
      <c r="G520" s="62">
        <v>2</v>
      </c>
    </row>
    <row r="521" spans="1:7" x14ac:dyDescent="0.3">
      <c r="A521" s="160">
        <v>509</v>
      </c>
      <c r="B521" s="62">
        <v>730000</v>
      </c>
      <c r="C521" s="62">
        <v>98.325550000000007</v>
      </c>
      <c r="D521" s="62">
        <v>-5.9485950000000001</v>
      </c>
      <c r="E521" s="62">
        <v>0</v>
      </c>
      <c r="F521" s="62">
        <v>1</v>
      </c>
      <c r="G521" s="62">
        <v>2</v>
      </c>
    </row>
    <row r="522" spans="1:7" x14ac:dyDescent="0.3">
      <c r="A522" s="160">
        <v>510</v>
      </c>
      <c r="B522" s="62">
        <v>730000</v>
      </c>
      <c r="C522" s="62">
        <v>98.325950000000006</v>
      </c>
      <c r="D522" s="62">
        <v>-5.9482759999999999</v>
      </c>
      <c r="E522" s="62">
        <v>0</v>
      </c>
      <c r="F522" s="62">
        <v>1</v>
      </c>
      <c r="G522" s="62">
        <v>2</v>
      </c>
    </row>
    <row r="523" spans="1:7" x14ac:dyDescent="0.3">
      <c r="A523" s="160">
        <v>511</v>
      </c>
      <c r="B523" s="62">
        <v>589999.9</v>
      </c>
      <c r="C523" s="62">
        <v>98.589799999999997</v>
      </c>
      <c r="D523" s="62">
        <v>-5.2260749999999998</v>
      </c>
      <c r="E523" s="62">
        <v>0</v>
      </c>
      <c r="F523" s="62">
        <v>1</v>
      </c>
      <c r="G523" s="62">
        <v>2</v>
      </c>
    </row>
    <row r="524" spans="1:7" x14ac:dyDescent="0.3">
      <c r="A524" s="160">
        <v>512</v>
      </c>
      <c r="B524" s="62">
        <v>589999.9</v>
      </c>
      <c r="C524" s="62">
        <v>98.627700000000004</v>
      </c>
      <c r="D524" s="62">
        <v>-5.1292299999999997</v>
      </c>
      <c r="E524" s="62">
        <v>0</v>
      </c>
      <c r="F524" s="62">
        <v>1</v>
      </c>
      <c r="G524" s="62">
        <v>2</v>
      </c>
    </row>
    <row r="525" spans="1:7" x14ac:dyDescent="0.3">
      <c r="A525" s="160">
        <v>513</v>
      </c>
      <c r="B525" s="62">
        <v>589999.9</v>
      </c>
      <c r="C525" s="62">
        <v>98.646540000000002</v>
      </c>
      <c r="D525" s="62">
        <v>-5.1280349999999997</v>
      </c>
      <c r="E525" s="62">
        <v>0</v>
      </c>
      <c r="F525" s="62">
        <v>1</v>
      </c>
      <c r="G525" s="62">
        <v>2</v>
      </c>
    </row>
    <row r="526" spans="1:7" x14ac:dyDescent="0.3">
      <c r="A526" s="160">
        <v>514</v>
      </c>
      <c r="B526" s="62">
        <v>589999.9</v>
      </c>
      <c r="C526" s="62">
        <v>98.663510000000002</v>
      </c>
      <c r="D526" s="62">
        <v>-5.1759120000000003</v>
      </c>
      <c r="E526" s="62">
        <v>0</v>
      </c>
      <c r="F526" s="62">
        <v>1</v>
      </c>
      <c r="G526" s="62">
        <v>2</v>
      </c>
    </row>
    <row r="527" spans="1:7" x14ac:dyDescent="0.3">
      <c r="A527" s="160">
        <v>515</v>
      </c>
      <c r="B527" s="62">
        <v>589999.9</v>
      </c>
      <c r="C527" s="62">
        <v>98.670360000000002</v>
      </c>
      <c r="D527" s="62">
        <v>-5.1805050000000001</v>
      </c>
      <c r="E527" s="62">
        <v>0</v>
      </c>
      <c r="F527" s="62">
        <v>1</v>
      </c>
      <c r="G527" s="62">
        <v>2</v>
      </c>
    </row>
    <row r="528" spans="1:7" x14ac:dyDescent="0.3">
      <c r="A528" s="160">
        <v>516</v>
      </c>
      <c r="B528" s="62">
        <v>589999.9</v>
      </c>
      <c r="C528" s="62">
        <v>98.717460000000003</v>
      </c>
      <c r="D528" s="62">
        <v>-5.1639239999999997</v>
      </c>
      <c r="E528" s="62">
        <v>0</v>
      </c>
      <c r="F528" s="62">
        <v>1</v>
      </c>
      <c r="G528" s="62">
        <v>2</v>
      </c>
    </row>
    <row r="529" spans="1:7" x14ac:dyDescent="0.3">
      <c r="A529" s="160">
        <v>517</v>
      </c>
      <c r="B529" s="62">
        <v>589999.9</v>
      </c>
      <c r="C529" s="62">
        <v>98.687240000000003</v>
      </c>
      <c r="D529" s="62">
        <v>-5.1364929999999998</v>
      </c>
      <c r="E529" s="62">
        <v>0</v>
      </c>
      <c r="F529" s="62">
        <v>1</v>
      </c>
      <c r="G529" s="62">
        <v>2</v>
      </c>
    </row>
    <row r="530" spans="1:7" x14ac:dyDescent="0.3">
      <c r="A530" s="160">
        <v>518</v>
      </c>
      <c r="B530" s="62">
        <v>589999.9</v>
      </c>
      <c r="C530" s="62">
        <v>98.714820000000003</v>
      </c>
      <c r="D530" s="62">
        <v>-5.1568579999999997</v>
      </c>
      <c r="E530" s="62">
        <v>0</v>
      </c>
      <c r="F530" s="62">
        <v>1</v>
      </c>
      <c r="G530" s="62">
        <v>2</v>
      </c>
    </row>
    <row r="531" spans="1:7" x14ac:dyDescent="0.3">
      <c r="A531" s="160">
        <v>519</v>
      </c>
      <c r="B531" s="62">
        <v>589999.9</v>
      </c>
      <c r="C531" s="62">
        <v>98.609769999999997</v>
      </c>
      <c r="D531" s="62">
        <v>-5.1878609999999998</v>
      </c>
      <c r="E531" s="62">
        <v>0</v>
      </c>
      <c r="F531" s="62">
        <v>1</v>
      </c>
      <c r="G531" s="62">
        <v>2</v>
      </c>
    </row>
    <row r="532" spans="1:7" x14ac:dyDescent="0.3">
      <c r="A532" s="160">
        <v>520</v>
      </c>
      <c r="B532" s="62">
        <v>589999.9</v>
      </c>
      <c r="C532" s="62">
        <v>98.650289999999998</v>
      </c>
      <c r="D532" s="62">
        <v>-5.2343099999999998</v>
      </c>
      <c r="E532" s="62">
        <v>0</v>
      </c>
      <c r="F532" s="62">
        <v>1</v>
      </c>
      <c r="G532" s="62">
        <v>2</v>
      </c>
    </row>
    <row r="533" spans="1:7" x14ac:dyDescent="0.3">
      <c r="A533" s="160">
        <v>521</v>
      </c>
      <c r="B533" s="62">
        <v>460000</v>
      </c>
      <c r="C533" s="62">
        <v>99.084969999999998</v>
      </c>
      <c r="D533" s="62">
        <v>-4.3247920000000004</v>
      </c>
      <c r="E533" s="62">
        <v>0</v>
      </c>
      <c r="F533" s="62">
        <v>1</v>
      </c>
      <c r="G533" s="62">
        <v>2</v>
      </c>
    </row>
    <row r="534" spans="1:7" x14ac:dyDescent="0.3">
      <c r="A534" s="160">
        <v>522</v>
      </c>
      <c r="B534" s="62">
        <v>460000</v>
      </c>
      <c r="C534" s="62">
        <v>99.056269999999998</v>
      </c>
      <c r="D534" s="62">
        <v>-4.31623</v>
      </c>
      <c r="E534" s="62">
        <v>0</v>
      </c>
      <c r="F534" s="62">
        <v>1</v>
      </c>
      <c r="G534" s="62">
        <v>2</v>
      </c>
    </row>
    <row r="535" spans="1:7" x14ac:dyDescent="0.3">
      <c r="A535" s="160">
        <v>523</v>
      </c>
      <c r="B535" s="62">
        <v>460000</v>
      </c>
      <c r="C535" s="62">
        <v>99.020970000000005</v>
      </c>
      <c r="D535" s="62">
        <v>-4.2832790000000003</v>
      </c>
      <c r="E535" s="62">
        <v>0</v>
      </c>
      <c r="F535" s="62">
        <v>1</v>
      </c>
      <c r="G535" s="62">
        <v>2</v>
      </c>
    </row>
    <row r="536" spans="1:7" x14ac:dyDescent="0.3">
      <c r="A536" s="160">
        <v>524</v>
      </c>
      <c r="B536" s="62">
        <v>460000</v>
      </c>
      <c r="C536" s="62">
        <v>99.024680000000004</v>
      </c>
      <c r="D536" s="62">
        <v>-4.3634760000000004</v>
      </c>
      <c r="E536" s="62">
        <v>0</v>
      </c>
      <c r="F536" s="62">
        <v>1</v>
      </c>
      <c r="G536" s="62">
        <v>2</v>
      </c>
    </row>
    <row r="537" spans="1:7" x14ac:dyDescent="0.3">
      <c r="A537" s="160">
        <v>525</v>
      </c>
      <c r="B537" s="62">
        <v>460000</v>
      </c>
      <c r="C537" s="62">
        <v>98.999799999999993</v>
      </c>
      <c r="D537" s="62">
        <v>-4.3624679999999998</v>
      </c>
      <c r="E537" s="62">
        <v>0</v>
      </c>
      <c r="F537" s="62">
        <v>1</v>
      </c>
      <c r="G537" s="62">
        <v>2</v>
      </c>
    </row>
    <row r="538" spans="1:7" x14ac:dyDescent="0.3">
      <c r="A538" s="160">
        <v>526</v>
      </c>
      <c r="B538" s="62">
        <v>460000</v>
      </c>
      <c r="C538" s="62">
        <v>99.111400000000003</v>
      </c>
      <c r="D538" s="62">
        <v>-4.2843689999999999</v>
      </c>
      <c r="E538" s="62">
        <v>0</v>
      </c>
      <c r="F538" s="62">
        <v>1</v>
      </c>
      <c r="G538" s="62">
        <v>2</v>
      </c>
    </row>
    <row r="539" spans="1:7" x14ac:dyDescent="0.3">
      <c r="A539" s="160">
        <v>527</v>
      </c>
      <c r="B539" s="62">
        <v>460000</v>
      </c>
      <c r="C539" s="62">
        <v>99.073759999999993</v>
      </c>
      <c r="D539" s="62">
        <v>-4.2955519999999998</v>
      </c>
      <c r="E539" s="62">
        <v>0</v>
      </c>
      <c r="F539" s="62">
        <v>1</v>
      </c>
      <c r="G539" s="62">
        <v>2</v>
      </c>
    </row>
    <row r="540" spans="1:7" x14ac:dyDescent="0.3">
      <c r="A540" s="160">
        <v>528</v>
      </c>
      <c r="B540" s="62">
        <v>460000</v>
      </c>
      <c r="C540" s="62">
        <v>99.048929999999999</v>
      </c>
      <c r="D540" s="62">
        <v>-4.3087020000000003</v>
      </c>
      <c r="E540" s="62">
        <v>0</v>
      </c>
      <c r="F540" s="62">
        <v>1</v>
      </c>
      <c r="G540" s="62">
        <v>2</v>
      </c>
    </row>
    <row r="541" spans="1:7" x14ac:dyDescent="0.3">
      <c r="A541" s="160">
        <v>529</v>
      </c>
      <c r="B541" s="62">
        <v>460000</v>
      </c>
      <c r="C541" s="62">
        <v>99.052850000000007</v>
      </c>
      <c r="D541" s="62">
        <v>-4.3212219999999997</v>
      </c>
      <c r="E541" s="62">
        <v>0</v>
      </c>
      <c r="F541" s="62">
        <v>1</v>
      </c>
      <c r="G541" s="62">
        <v>2</v>
      </c>
    </row>
    <row r="542" spans="1:7" x14ac:dyDescent="0.3">
      <c r="A542" s="160">
        <v>530</v>
      </c>
      <c r="B542" s="62">
        <v>460000</v>
      </c>
      <c r="C542" s="62">
        <v>99.023089999999996</v>
      </c>
      <c r="D542" s="62">
        <v>-4.3009829999999996</v>
      </c>
      <c r="E542" s="62">
        <v>0</v>
      </c>
      <c r="F542" s="62">
        <v>1</v>
      </c>
      <c r="G542" s="62">
        <v>2</v>
      </c>
    </row>
    <row r="543" spans="1:7" x14ac:dyDescent="0.3">
      <c r="A543" s="160">
        <v>531</v>
      </c>
      <c r="B543" s="62">
        <v>319999.90000000002</v>
      </c>
      <c r="C543" s="62">
        <v>99.610169999999997</v>
      </c>
      <c r="D543" s="62">
        <v>-3.150598</v>
      </c>
      <c r="E543" s="62">
        <v>0</v>
      </c>
      <c r="F543" s="62">
        <v>1</v>
      </c>
      <c r="G543" s="62">
        <v>2</v>
      </c>
    </row>
    <row r="544" spans="1:7" x14ac:dyDescent="0.3">
      <c r="A544" s="160">
        <v>532</v>
      </c>
      <c r="B544" s="62">
        <v>319999.90000000002</v>
      </c>
      <c r="C544" s="62">
        <v>99.672190000000001</v>
      </c>
      <c r="D544" s="62">
        <v>-3.1982439999999999</v>
      </c>
      <c r="E544" s="62">
        <v>0</v>
      </c>
      <c r="F544" s="62">
        <v>1</v>
      </c>
      <c r="G544" s="62">
        <v>2</v>
      </c>
    </row>
    <row r="545" spans="1:7" x14ac:dyDescent="0.3">
      <c r="A545" s="160">
        <v>533</v>
      </c>
      <c r="B545" s="62">
        <v>319999.90000000002</v>
      </c>
      <c r="C545" s="62">
        <v>99.625979999999998</v>
      </c>
      <c r="D545" s="62">
        <v>-3.1430889999999998</v>
      </c>
      <c r="E545" s="62">
        <v>0</v>
      </c>
      <c r="F545" s="62">
        <v>1</v>
      </c>
      <c r="G545" s="62">
        <v>2</v>
      </c>
    </row>
    <row r="546" spans="1:7" x14ac:dyDescent="0.3">
      <c r="A546" s="160">
        <v>534</v>
      </c>
      <c r="B546" s="62">
        <v>319999.90000000002</v>
      </c>
      <c r="C546" s="62">
        <v>99.598960000000005</v>
      </c>
      <c r="D546" s="62">
        <v>-3.1369400000000001</v>
      </c>
      <c r="E546" s="62">
        <v>0</v>
      </c>
      <c r="F546" s="62">
        <v>1</v>
      </c>
      <c r="G546" s="62">
        <v>2</v>
      </c>
    </row>
    <row r="547" spans="1:7" x14ac:dyDescent="0.3">
      <c r="A547" s="160">
        <v>535</v>
      </c>
      <c r="B547" s="62">
        <v>319999.90000000002</v>
      </c>
      <c r="C547" s="62">
        <v>99.601429999999993</v>
      </c>
      <c r="D547" s="62">
        <v>-3.1428579999999999</v>
      </c>
      <c r="E547" s="62">
        <v>0</v>
      </c>
      <c r="F547" s="62">
        <v>1</v>
      </c>
      <c r="G547" s="62">
        <v>2</v>
      </c>
    </row>
    <row r="548" spans="1:7" x14ac:dyDescent="0.3">
      <c r="A548" s="160">
        <v>536</v>
      </c>
      <c r="B548" s="62">
        <v>319999.90000000002</v>
      </c>
      <c r="C548" s="62">
        <v>99.622169999999997</v>
      </c>
      <c r="D548" s="62">
        <v>-3.1448299999999998</v>
      </c>
      <c r="E548" s="62">
        <v>0</v>
      </c>
      <c r="F548" s="62">
        <v>1</v>
      </c>
      <c r="G548" s="62">
        <v>2</v>
      </c>
    </row>
    <row r="549" spans="1:7" x14ac:dyDescent="0.3">
      <c r="A549" s="160">
        <v>537</v>
      </c>
      <c r="B549" s="62">
        <v>319999.90000000002</v>
      </c>
      <c r="C549" s="62">
        <v>99.602680000000007</v>
      </c>
      <c r="D549" s="62">
        <v>-3.1487639999999999</v>
      </c>
      <c r="E549" s="62">
        <v>0</v>
      </c>
      <c r="F549" s="62">
        <v>1</v>
      </c>
      <c r="G549" s="62">
        <v>2</v>
      </c>
    </row>
    <row r="550" spans="1:7" x14ac:dyDescent="0.3">
      <c r="A550" s="160">
        <v>538</v>
      </c>
      <c r="B550" s="62">
        <v>319999.90000000002</v>
      </c>
      <c r="C550" s="62">
        <v>99.5976</v>
      </c>
      <c r="D550" s="62">
        <v>-3.1425339999999999</v>
      </c>
      <c r="E550" s="62">
        <v>0</v>
      </c>
      <c r="F550" s="62">
        <v>1</v>
      </c>
      <c r="G550" s="62">
        <v>2</v>
      </c>
    </row>
    <row r="551" spans="1:7" x14ac:dyDescent="0.3">
      <c r="A551" s="160">
        <v>539</v>
      </c>
      <c r="B551" s="62">
        <v>319999.90000000002</v>
      </c>
      <c r="C551" s="62">
        <v>99.588179999999994</v>
      </c>
      <c r="D551" s="62">
        <v>-3.1152199999999999</v>
      </c>
      <c r="E551" s="62">
        <v>0</v>
      </c>
      <c r="F551" s="62">
        <v>1</v>
      </c>
      <c r="G551" s="62">
        <v>2</v>
      </c>
    </row>
    <row r="552" spans="1:7" x14ac:dyDescent="0.3">
      <c r="A552" s="160">
        <v>540</v>
      </c>
      <c r="B552" s="62">
        <v>319999.90000000002</v>
      </c>
      <c r="C552" s="62">
        <v>99.577070000000006</v>
      </c>
      <c r="D552" s="62">
        <v>-3.1338689999999998</v>
      </c>
      <c r="E552" s="62">
        <v>0</v>
      </c>
      <c r="F552" s="62">
        <v>1</v>
      </c>
      <c r="G552" s="62">
        <v>2</v>
      </c>
    </row>
    <row r="553" spans="1:7" x14ac:dyDescent="0.3">
      <c r="A553" s="160">
        <v>541</v>
      </c>
      <c r="B553" s="62">
        <v>190000</v>
      </c>
      <c r="C553" s="62">
        <v>99.910049999999998</v>
      </c>
      <c r="D553" s="62">
        <v>-1.950866</v>
      </c>
      <c r="E553" s="62">
        <v>0</v>
      </c>
      <c r="F553" s="62">
        <v>1</v>
      </c>
      <c r="G553" s="62">
        <v>2</v>
      </c>
    </row>
    <row r="554" spans="1:7" x14ac:dyDescent="0.3">
      <c r="A554" s="160">
        <v>542</v>
      </c>
      <c r="B554" s="62">
        <v>190000</v>
      </c>
      <c r="C554" s="62">
        <v>100.0714</v>
      </c>
      <c r="D554" s="62">
        <v>-1.9321010000000001</v>
      </c>
      <c r="E554" s="62">
        <v>0</v>
      </c>
      <c r="F554" s="62">
        <v>1</v>
      </c>
      <c r="G554" s="62">
        <v>2</v>
      </c>
    </row>
    <row r="555" spans="1:7" x14ac:dyDescent="0.3">
      <c r="A555" s="160">
        <v>543</v>
      </c>
      <c r="B555" s="62">
        <v>190000</v>
      </c>
      <c r="C555" s="62">
        <v>100.0652</v>
      </c>
      <c r="D555" s="62">
        <v>-1.879734</v>
      </c>
      <c r="E555" s="62">
        <v>0</v>
      </c>
      <c r="F555" s="62">
        <v>1</v>
      </c>
      <c r="G555" s="62">
        <v>2</v>
      </c>
    </row>
    <row r="556" spans="1:7" x14ac:dyDescent="0.3">
      <c r="A556" s="160">
        <v>544</v>
      </c>
      <c r="B556" s="62">
        <v>190000</v>
      </c>
      <c r="C556" s="62">
        <v>100.13630000000001</v>
      </c>
      <c r="D556" s="62">
        <v>-1.8890940000000001</v>
      </c>
      <c r="E556" s="62">
        <v>0</v>
      </c>
      <c r="F556" s="62">
        <v>1</v>
      </c>
      <c r="G556" s="62">
        <v>2</v>
      </c>
    </row>
    <row r="557" spans="1:7" x14ac:dyDescent="0.3">
      <c r="A557" s="160">
        <v>545</v>
      </c>
      <c r="B557" s="62">
        <v>190000</v>
      </c>
      <c r="C557" s="62">
        <v>99.998270000000005</v>
      </c>
      <c r="D557" s="62">
        <v>-1.9923930000000001</v>
      </c>
      <c r="E557" s="62">
        <v>0</v>
      </c>
      <c r="F557" s="62">
        <v>1</v>
      </c>
      <c r="G557" s="62">
        <v>2</v>
      </c>
    </row>
    <row r="558" spans="1:7" x14ac:dyDescent="0.3">
      <c r="A558" s="160">
        <v>546</v>
      </c>
      <c r="B558" s="62">
        <v>190000</v>
      </c>
      <c r="C558" s="62">
        <v>99.957449999999994</v>
      </c>
      <c r="D558" s="62">
        <v>-1.90724</v>
      </c>
      <c r="E558" s="62">
        <v>0</v>
      </c>
      <c r="F558" s="62">
        <v>1</v>
      </c>
      <c r="G558" s="62">
        <v>2</v>
      </c>
    </row>
    <row r="559" spans="1:7" x14ac:dyDescent="0.3">
      <c r="A559" s="160">
        <v>547</v>
      </c>
      <c r="B559" s="62">
        <v>190000</v>
      </c>
      <c r="C559" s="62">
        <v>100.0261</v>
      </c>
      <c r="D559" s="62">
        <v>-1.9142950000000001</v>
      </c>
      <c r="E559" s="62">
        <v>0</v>
      </c>
      <c r="F559" s="62">
        <v>1</v>
      </c>
      <c r="G559" s="62">
        <v>2</v>
      </c>
    </row>
    <row r="560" spans="1:7" x14ac:dyDescent="0.3">
      <c r="A560" s="160">
        <v>548</v>
      </c>
      <c r="B560" s="62">
        <v>190000</v>
      </c>
      <c r="C560" s="62">
        <v>99.889319999999998</v>
      </c>
      <c r="D560" s="62">
        <v>-1.893346</v>
      </c>
      <c r="E560" s="62">
        <v>0</v>
      </c>
      <c r="F560" s="62">
        <v>1</v>
      </c>
      <c r="G560" s="62">
        <v>2</v>
      </c>
    </row>
    <row r="561" spans="1:7" x14ac:dyDescent="0.3">
      <c r="A561" s="160">
        <v>549</v>
      </c>
      <c r="B561" s="62">
        <v>190000</v>
      </c>
      <c r="C561" s="62">
        <v>100.0436</v>
      </c>
      <c r="D561" s="62">
        <v>-1.84137</v>
      </c>
      <c r="E561" s="62">
        <v>0</v>
      </c>
      <c r="F561" s="62">
        <v>1</v>
      </c>
      <c r="G561" s="62">
        <v>2</v>
      </c>
    </row>
    <row r="562" spans="1:7" x14ac:dyDescent="0.3">
      <c r="A562" s="160">
        <v>550</v>
      </c>
      <c r="B562" s="62">
        <v>190000</v>
      </c>
      <c r="C562" s="62">
        <v>100.03570000000001</v>
      </c>
      <c r="D562" s="62">
        <v>-1.9246719999999999</v>
      </c>
      <c r="E562" s="62">
        <v>0</v>
      </c>
      <c r="F562" s="62">
        <v>1</v>
      </c>
      <c r="G562" s="62">
        <v>2</v>
      </c>
    </row>
    <row r="563" spans="1:7" x14ac:dyDescent="0.3">
      <c r="A563" s="160">
        <v>551</v>
      </c>
      <c r="B563" s="62">
        <v>50999.97</v>
      </c>
      <c r="C563" s="62">
        <v>100.32510000000001</v>
      </c>
      <c r="D563" s="62">
        <v>-0.49745050000000002</v>
      </c>
      <c r="E563" s="62">
        <v>0</v>
      </c>
      <c r="F563" s="62">
        <v>1</v>
      </c>
      <c r="G563" s="62">
        <v>2</v>
      </c>
    </row>
    <row r="564" spans="1:7" x14ac:dyDescent="0.3">
      <c r="A564" s="160">
        <v>552</v>
      </c>
      <c r="B564" s="62">
        <v>50999.97</v>
      </c>
      <c r="C564" s="62">
        <v>100.23650000000001</v>
      </c>
      <c r="D564" s="62">
        <v>-0.48156759999999998</v>
      </c>
      <c r="E564" s="62">
        <v>0</v>
      </c>
      <c r="F564" s="62">
        <v>1</v>
      </c>
      <c r="G564" s="62">
        <v>2</v>
      </c>
    </row>
    <row r="565" spans="1:7" x14ac:dyDescent="0.3">
      <c r="A565" s="160">
        <v>553</v>
      </c>
      <c r="B565" s="62">
        <v>50999.97</v>
      </c>
      <c r="C565" s="62">
        <v>100.2315</v>
      </c>
      <c r="D565" s="62">
        <v>-0.49134070000000002</v>
      </c>
      <c r="E565" s="62">
        <v>0</v>
      </c>
      <c r="F565" s="62">
        <v>1</v>
      </c>
      <c r="G565" s="62">
        <v>2</v>
      </c>
    </row>
    <row r="566" spans="1:7" x14ac:dyDescent="0.3">
      <c r="A566" s="160">
        <v>554</v>
      </c>
      <c r="B566" s="62">
        <v>50999.97</v>
      </c>
      <c r="C566" s="62">
        <v>100.2903</v>
      </c>
      <c r="D566" s="62">
        <v>-0.46866809999999998</v>
      </c>
      <c r="E566" s="62">
        <v>0</v>
      </c>
      <c r="F566" s="62">
        <v>1</v>
      </c>
      <c r="G566" s="62">
        <v>2</v>
      </c>
    </row>
    <row r="567" spans="1:7" x14ac:dyDescent="0.3">
      <c r="A567" s="160">
        <v>555</v>
      </c>
      <c r="B567" s="62">
        <v>50999.97</v>
      </c>
      <c r="C567" s="62">
        <v>100.2961</v>
      </c>
      <c r="D567" s="62">
        <v>-0.55324189999999995</v>
      </c>
      <c r="E567" s="62">
        <v>0</v>
      </c>
      <c r="F567" s="62">
        <v>1</v>
      </c>
      <c r="G567" s="62">
        <v>2</v>
      </c>
    </row>
    <row r="568" spans="1:7" x14ac:dyDescent="0.3">
      <c r="A568" s="160">
        <v>556</v>
      </c>
      <c r="B568" s="62">
        <v>50999.97</v>
      </c>
      <c r="C568" s="62">
        <v>100.27589999999999</v>
      </c>
      <c r="D568" s="62">
        <v>-0.51187229999999995</v>
      </c>
      <c r="E568" s="62">
        <v>0</v>
      </c>
      <c r="F568" s="62">
        <v>1</v>
      </c>
      <c r="G568" s="62">
        <v>2</v>
      </c>
    </row>
    <row r="569" spans="1:7" x14ac:dyDescent="0.3">
      <c r="A569" s="160">
        <v>557</v>
      </c>
      <c r="B569" s="62">
        <v>50999.97</v>
      </c>
      <c r="C569" s="62">
        <v>100.26309999999999</v>
      </c>
      <c r="D569" s="62">
        <v>-0.51935920000000002</v>
      </c>
      <c r="E569" s="62">
        <v>0</v>
      </c>
      <c r="F569" s="62">
        <v>1</v>
      </c>
      <c r="G569" s="62">
        <v>2</v>
      </c>
    </row>
    <row r="570" spans="1:7" x14ac:dyDescent="0.3">
      <c r="A570" s="160">
        <v>558</v>
      </c>
      <c r="B570" s="62">
        <v>50999.97</v>
      </c>
      <c r="C570" s="62">
        <v>100.2942</v>
      </c>
      <c r="D570" s="62">
        <v>-0.52533189999999996</v>
      </c>
      <c r="E570" s="62">
        <v>0</v>
      </c>
      <c r="F570" s="62">
        <v>1</v>
      </c>
      <c r="G570" s="62">
        <v>2</v>
      </c>
    </row>
    <row r="571" spans="1:7" x14ac:dyDescent="0.3">
      <c r="A571" s="160">
        <v>559</v>
      </c>
      <c r="B571" s="62">
        <v>50999.97</v>
      </c>
      <c r="C571" s="62">
        <v>100.2865</v>
      </c>
      <c r="D571" s="62">
        <v>-0.54353949999999995</v>
      </c>
      <c r="E571" s="62">
        <v>0</v>
      </c>
      <c r="F571" s="62">
        <v>1</v>
      </c>
      <c r="G571" s="62">
        <v>2</v>
      </c>
    </row>
    <row r="572" spans="1:7" x14ac:dyDescent="0.3">
      <c r="A572" s="160">
        <v>560</v>
      </c>
      <c r="B572" s="62">
        <v>50999.97</v>
      </c>
      <c r="C572" s="62">
        <v>100.3348</v>
      </c>
      <c r="D572" s="62">
        <v>-0.4620379</v>
      </c>
      <c r="E572" s="62">
        <v>0</v>
      </c>
      <c r="F572" s="62">
        <v>1</v>
      </c>
      <c r="G572" s="62">
        <v>2</v>
      </c>
    </row>
    <row r="573" spans="1:7" x14ac:dyDescent="0.3">
      <c r="A573" s="160">
        <v>561</v>
      </c>
      <c r="B573" s="62">
        <v>1000000</v>
      </c>
      <c r="C573" s="62">
        <v>99.056799999999996</v>
      </c>
      <c r="D573" s="62">
        <v>-3.7009400000000001</v>
      </c>
      <c r="E573" s="62">
        <v>0</v>
      </c>
      <c r="F573" s="62">
        <v>2</v>
      </c>
      <c r="G573" s="62">
        <v>2</v>
      </c>
    </row>
    <row r="574" spans="1:7" x14ac:dyDescent="0.3">
      <c r="A574" s="160">
        <v>562</v>
      </c>
      <c r="B574" s="62">
        <v>1000000</v>
      </c>
      <c r="C574" s="62">
        <v>99.158169999999998</v>
      </c>
      <c r="D574" s="62">
        <v>-3.6419320000000002</v>
      </c>
      <c r="E574" s="62">
        <v>0</v>
      </c>
      <c r="F574" s="62">
        <v>2</v>
      </c>
      <c r="G574" s="62">
        <v>2</v>
      </c>
    </row>
    <row r="575" spans="1:7" x14ac:dyDescent="0.3">
      <c r="A575" s="160">
        <v>563</v>
      </c>
      <c r="B575" s="62">
        <v>1000000</v>
      </c>
      <c r="C575" s="62">
        <v>99.036490000000001</v>
      </c>
      <c r="D575" s="62">
        <v>-3.603132</v>
      </c>
      <c r="E575" s="62">
        <v>0</v>
      </c>
      <c r="F575" s="62">
        <v>2</v>
      </c>
      <c r="G575" s="62">
        <v>2</v>
      </c>
    </row>
    <row r="576" spans="1:7" x14ac:dyDescent="0.3">
      <c r="A576" s="160">
        <v>564</v>
      </c>
      <c r="B576" s="62">
        <v>1000000</v>
      </c>
      <c r="C576" s="62">
        <v>99.08323</v>
      </c>
      <c r="D576" s="62">
        <v>-3.6057739999999998</v>
      </c>
      <c r="E576" s="62">
        <v>0</v>
      </c>
      <c r="F576" s="62">
        <v>2</v>
      </c>
      <c r="G576" s="62">
        <v>2</v>
      </c>
    </row>
    <row r="577" spans="1:7" x14ac:dyDescent="0.3">
      <c r="A577" s="160">
        <v>565</v>
      </c>
      <c r="B577" s="62">
        <v>1000000</v>
      </c>
      <c r="C577" s="62">
        <v>99.129760000000005</v>
      </c>
      <c r="D577" s="62">
        <v>-3.5972209999999998</v>
      </c>
      <c r="E577" s="62">
        <v>0</v>
      </c>
      <c r="F577" s="62">
        <v>2</v>
      </c>
      <c r="G577" s="62">
        <v>2</v>
      </c>
    </row>
    <row r="578" spans="1:7" x14ac:dyDescent="0.3">
      <c r="A578" s="160">
        <v>566</v>
      </c>
      <c r="B578" s="62">
        <v>1000000</v>
      </c>
      <c r="C578" s="62">
        <v>99.161659999999998</v>
      </c>
      <c r="D578" s="62">
        <v>-3.655783</v>
      </c>
      <c r="E578" s="62">
        <v>0</v>
      </c>
      <c r="F578" s="62">
        <v>2</v>
      </c>
      <c r="G578" s="62">
        <v>2</v>
      </c>
    </row>
    <row r="579" spans="1:7" x14ac:dyDescent="0.3">
      <c r="A579" s="160">
        <v>567</v>
      </c>
      <c r="B579" s="62">
        <v>1000000</v>
      </c>
      <c r="C579" s="62">
        <v>99.198700000000002</v>
      </c>
      <c r="D579" s="62">
        <v>-3.6337670000000002</v>
      </c>
      <c r="E579" s="62">
        <v>0</v>
      </c>
      <c r="F579" s="62">
        <v>2</v>
      </c>
      <c r="G579" s="62">
        <v>2</v>
      </c>
    </row>
    <row r="580" spans="1:7" x14ac:dyDescent="0.3">
      <c r="A580" s="160">
        <v>568</v>
      </c>
      <c r="B580" s="62">
        <v>1000000</v>
      </c>
      <c r="C580" s="62">
        <v>99.178200000000004</v>
      </c>
      <c r="D580" s="62">
        <v>-3.6310989999999999</v>
      </c>
      <c r="E580" s="62">
        <v>0</v>
      </c>
      <c r="F580" s="62">
        <v>2</v>
      </c>
      <c r="G580" s="62">
        <v>2</v>
      </c>
    </row>
    <row r="581" spans="1:7" x14ac:dyDescent="0.3">
      <c r="A581" s="160">
        <v>569</v>
      </c>
      <c r="B581" s="62">
        <v>1000000</v>
      </c>
      <c r="C581" s="62">
        <v>99.113709999999998</v>
      </c>
      <c r="D581" s="62">
        <v>-3.644774</v>
      </c>
      <c r="E581" s="62">
        <v>0</v>
      </c>
      <c r="F581" s="62">
        <v>2</v>
      </c>
      <c r="G581" s="62">
        <v>2</v>
      </c>
    </row>
    <row r="582" spans="1:7" x14ac:dyDescent="0.3">
      <c r="A582" s="160">
        <v>570</v>
      </c>
      <c r="B582" s="62">
        <v>1000000</v>
      </c>
      <c r="C582" s="62">
        <v>99.19605</v>
      </c>
      <c r="D582" s="62">
        <v>-3.6011090000000001</v>
      </c>
      <c r="E582" s="62">
        <v>0</v>
      </c>
      <c r="F582" s="62">
        <v>2</v>
      </c>
      <c r="G582" s="62">
        <v>2</v>
      </c>
    </row>
    <row r="583" spans="1:7" x14ac:dyDescent="0.3">
      <c r="A583" s="160">
        <v>571</v>
      </c>
      <c r="B583" s="62">
        <v>859999.9</v>
      </c>
      <c r="C583" s="62">
        <v>98.890039999999999</v>
      </c>
      <c r="D583" s="62">
        <v>-3.5956649999999999</v>
      </c>
      <c r="E583" s="62">
        <v>0</v>
      </c>
      <c r="F583" s="62">
        <v>2</v>
      </c>
      <c r="G583" s="62">
        <v>2</v>
      </c>
    </row>
    <row r="584" spans="1:7" x14ac:dyDescent="0.3">
      <c r="A584" s="160">
        <v>572</v>
      </c>
      <c r="B584" s="62">
        <v>859999.9</v>
      </c>
      <c r="C584" s="62">
        <v>98.829729999999998</v>
      </c>
      <c r="D584" s="62">
        <v>-3.6532879999999999</v>
      </c>
      <c r="E584" s="62">
        <v>0</v>
      </c>
      <c r="F584" s="62">
        <v>2</v>
      </c>
      <c r="G584" s="62">
        <v>2</v>
      </c>
    </row>
    <row r="585" spans="1:7" x14ac:dyDescent="0.3">
      <c r="A585" s="160">
        <v>573</v>
      </c>
      <c r="B585" s="62">
        <v>859999.9</v>
      </c>
      <c r="C585" s="62">
        <v>98.769199999999998</v>
      </c>
      <c r="D585" s="62">
        <v>-3.6081159999999999</v>
      </c>
      <c r="E585" s="62">
        <v>0</v>
      </c>
      <c r="F585" s="62">
        <v>2</v>
      </c>
      <c r="G585" s="62">
        <v>2</v>
      </c>
    </row>
    <row r="586" spans="1:7" x14ac:dyDescent="0.3">
      <c r="A586" s="160">
        <v>574</v>
      </c>
      <c r="B586" s="62">
        <v>859999.9</v>
      </c>
      <c r="C586" s="62">
        <v>98.661540000000002</v>
      </c>
      <c r="D586" s="62">
        <v>-3.6218919999999999</v>
      </c>
      <c r="E586" s="62">
        <v>0</v>
      </c>
      <c r="F586" s="62">
        <v>2</v>
      </c>
      <c r="G586" s="62">
        <v>2</v>
      </c>
    </row>
    <row r="587" spans="1:7" x14ac:dyDescent="0.3">
      <c r="A587" s="160">
        <v>575</v>
      </c>
      <c r="B587" s="62">
        <v>859999.9</v>
      </c>
      <c r="C587" s="62">
        <v>98.765969999999996</v>
      </c>
      <c r="D587" s="62">
        <v>-3.6121850000000002</v>
      </c>
      <c r="E587" s="62">
        <v>0</v>
      </c>
      <c r="F587" s="62">
        <v>2</v>
      </c>
      <c r="G587" s="62">
        <v>2</v>
      </c>
    </row>
    <row r="588" spans="1:7" x14ac:dyDescent="0.3">
      <c r="A588" s="160">
        <v>576</v>
      </c>
      <c r="B588" s="62">
        <v>859999.9</v>
      </c>
      <c r="C588" s="62">
        <v>98.689580000000007</v>
      </c>
      <c r="D588" s="62">
        <v>-3.639942</v>
      </c>
      <c r="E588" s="62">
        <v>0</v>
      </c>
      <c r="F588" s="62">
        <v>2</v>
      </c>
      <c r="G588" s="62">
        <v>2</v>
      </c>
    </row>
    <row r="589" spans="1:7" x14ac:dyDescent="0.3">
      <c r="A589" s="160">
        <v>577</v>
      </c>
      <c r="B589" s="62">
        <v>859999.9</v>
      </c>
      <c r="C589" s="62">
        <v>98.783990000000003</v>
      </c>
      <c r="D589" s="62">
        <v>-3.6095999999999999</v>
      </c>
      <c r="E589" s="62">
        <v>0</v>
      </c>
      <c r="F589" s="62">
        <v>2</v>
      </c>
      <c r="G589" s="62">
        <v>2</v>
      </c>
    </row>
    <row r="590" spans="1:7" x14ac:dyDescent="0.3">
      <c r="A590" s="160">
        <v>578</v>
      </c>
      <c r="B590" s="62">
        <v>859999.9</v>
      </c>
      <c r="C590" s="62">
        <v>98.776859999999999</v>
      </c>
      <c r="D590" s="62">
        <v>-3.6074809999999999</v>
      </c>
      <c r="E590" s="62">
        <v>0</v>
      </c>
      <c r="F590" s="62">
        <v>2</v>
      </c>
      <c r="G590" s="62">
        <v>2</v>
      </c>
    </row>
    <row r="591" spans="1:7" x14ac:dyDescent="0.3">
      <c r="A591" s="160">
        <v>579</v>
      </c>
      <c r="B591" s="62">
        <v>859999.9</v>
      </c>
      <c r="C591" s="62">
        <v>98.777240000000006</v>
      </c>
      <c r="D591" s="62">
        <v>-3.6100349999999999</v>
      </c>
      <c r="E591" s="62">
        <v>0</v>
      </c>
      <c r="F591" s="62">
        <v>2</v>
      </c>
      <c r="G591" s="62">
        <v>2</v>
      </c>
    </row>
    <row r="592" spans="1:7" x14ac:dyDescent="0.3">
      <c r="A592" s="160">
        <v>580</v>
      </c>
      <c r="B592" s="62">
        <v>859999.9</v>
      </c>
      <c r="C592" s="62">
        <v>98.802790000000002</v>
      </c>
      <c r="D592" s="62">
        <v>-3.56697</v>
      </c>
      <c r="E592" s="62">
        <v>0</v>
      </c>
      <c r="F592" s="62">
        <v>2</v>
      </c>
      <c r="G592" s="62">
        <v>2</v>
      </c>
    </row>
    <row r="593" spans="1:7" x14ac:dyDescent="0.3">
      <c r="A593" s="160">
        <v>581</v>
      </c>
      <c r="B593" s="62">
        <v>730000</v>
      </c>
      <c r="C593" s="62">
        <v>98.696039999999996</v>
      </c>
      <c r="D593" s="62">
        <v>-3.5284710000000001</v>
      </c>
      <c r="E593" s="62">
        <v>0</v>
      </c>
      <c r="F593" s="62">
        <v>2</v>
      </c>
      <c r="G593" s="62">
        <v>2</v>
      </c>
    </row>
    <row r="594" spans="1:7" x14ac:dyDescent="0.3">
      <c r="A594" s="160">
        <v>582</v>
      </c>
      <c r="B594" s="62">
        <v>730000</v>
      </c>
      <c r="C594" s="62">
        <v>98.695459999999997</v>
      </c>
      <c r="D594" s="62">
        <v>-3.4730449999999999</v>
      </c>
      <c r="E594" s="62">
        <v>0</v>
      </c>
      <c r="F594" s="62">
        <v>2</v>
      </c>
      <c r="G594" s="62">
        <v>2</v>
      </c>
    </row>
    <row r="595" spans="1:7" x14ac:dyDescent="0.3">
      <c r="A595" s="160">
        <v>583</v>
      </c>
      <c r="B595" s="62">
        <v>730000</v>
      </c>
      <c r="C595" s="62">
        <v>98.637370000000004</v>
      </c>
      <c r="D595" s="62">
        <v>-3.5174319999999999</v>
      </c>
      <c r="E595" s="62">
        <v>0</v>
      </c>
      <c r="F595" s="62">
        <v>2</v>
      </c>
      <c r="G595" s="62">
        <v>2</v>
      </c>
    </row>
    <row r="596" spans="1:7" x14ac:dyDescent="0.3">
      <c r="A596" s="160">
        <v>584</v>
      </c>
      <c r="B596" s="62">
        <v>730000</v>
      </c>
      <c r="C596" s="62">
        <v>98.605840000000001</v>
      </c>
      <c r="D596" s="62">
        <v>-3.4918110000000002</v>
      </c>
      <c r="E596" s="62">
        <v>0</v>
      </c>
      <c r="F596" s="62">
        <v>2</v>
      </c>
      <c r="G596" s="62">
        <v>2</v>
      </c>
    </row>
    <row r="597" spans="1:7" x14ac:dyDescent="0.3">
      <c r="A597" s="160">
        <v>585</v>
      </c>
      <c r="B597" s="62">
        <v>730000</v>
      </c>
      <c r="C597" s="62">
        <v>98.699579999999997</v>
      </c>
      <c r="D597" s="62">
        <v>-3.482262</v>
      </c>
      <c r="E597" s="62">
        <v>0</v>
      </c>
      <c r="F597" s="62">
        <v>2</v>
      </c>
      <c r="G597" s="62">
        <v>2</v>
      </c>
    </row>
    <row r="598" spans="1:7" x14ac:dyDescent="0.3">
      <c r="A598" s="160">
        <v>586</v>
      </c>
      <c r="B598" s="62">
        <v>730000</v>
      </c>
      <c r="C598" s="62">
        <v>98.644400000000005</v>
      </c>
      <c r="D598" s="62">
        <v>-3.5239210000000001</v>
      </c>
      <c r="E598" s="62">
        <v>0</v>
      </c>
      <c r="F598" s="62">
        <v>2</v>
      </c>
      <c r="G598" s="62">
        <v>2</v>
      </c>
    </row>
    <row r="599" spans="1:7" x14ac:dyDescent="0.3">
      <c r="A599" s="160">
        <v>587</v>
      </c>
      <c r="B599" s="62">
        <v>730000</v>
      </c>
      <c r="C599" s="62">
        <v>98.841300000000004</v>
      </c>
      <c r="D599" s="62">
        <v>-3.4455909999999998</v>
      </c>
      <c r="E599" s="62">
        <v>0</v>
      </c>
      <c r="F599" s="62">
        <v>2</v>
      </c>
      <c r="G599" s="62">
        <v>2</v>
      </c>
    </row>
    <row r="600" spans="1:7" x14ac:dyDescent="0.3">
      <c r="A600" s="160">
        <v>588</v>
      </c>
      <c r="B600" s="62">
        <v>730000</v>
      </c>
      <c r="C600" s="62">
        <v>98.712819999999994</v>
      </c>
      <c r="D600" s="62">
        <v>-3.480877</v>
      </c>
      <c r="E600" s="62">
        <v>0</v>
      </c>
      <c r="F600" s="62">
        <v>2</v>
      </c>
      <c r="G600" s="62">
        <v>2</v>
      </c>
    </row>
    <row r="601" spans="1:7" x14ac:dyDescent="0.3">
      <c r="A601" s="160">
        <v>589</v>
      </c>
      <c r="B601" s="62">
        <v>730000</v>
      </c>
      <c r="C601" s="62">
        <v>98.691850000000002</v>
      </c>
      <c r="D601" s="62">
        <v>-3.4775360000000002</v>
      </c>
      <c r="E601" s="62">
        <v>0</v>
      </c>
      <c r="F601" s="62">
        <v>2</v>
      </c>
      <c r="G601" s="62">
        <v>2</v>
      </c>
    </row>
    <row r="602" spans="1:7" x14ac:dyDescent="0.3">
      <c r="A602" s="160">
        <v>590</v>
      </c>
      <c r="B602" s="62">
        <v>730000</v>
      </c>
      <c r="C602" s="62">
        <v>98.695459999999997</v>
      </c>
      <c r="D602" s="62">
        <v>-3.4767969999999999</v>
      </c>
      <c r="E602" s="62">
        <v>0</v>
      </c>
      <c r="F602" s="62">
        <v>2</v>
      </c>
      <c r="G602" s="62">
        <v>2</v>
      </c>
    </row>
    <row r="603" spans="1:7" x14ac:dyDescent="0.3">
      <c r="A603" s="160">
        <v>591</v>
      </c>
      <c r="B603" s="62">
        <v>589999.9</v>
      </c>
      <c r="C603" s="62">
        <v>98.93065</v>
      </c>
      <c r="D603" s="62">
        <v>-3.2116169999999999</v>
      </c>
      <c r="E603" s="62">
        <v>0</v>
      </c>
      <c r="F603" s="62">
        <v>2</v>
      </c>
      <c r="G603" s="62">
        <v>2</v>
      </c>
    </row>
    <row r="604" spans="1:7" x14ac:dyDescent="0.3">
      <c r="A604" s="160">
        <v>592</v>
      </c>
      <c r="B604" s="62">
        <v>589999.9</v>
      </c>
      <c r="C604" s="62">
        <v>98.802369999999996</v>
      </c>
      <c r="D604" s="62">
        <v>-3.231544</v>
      </c>
      <c r="E604" s="62">
        <v>0</v>
      </c>
      <c r="F604" s="62">
        <v>2</v>
      </c>
      <c r="G604" s="62">
        <v>2</v>
      </c>
    </row>
    <row r="605" spans="1:7" x14ac:dyDescent="0.3">
      <c r="A605" s="160">
        <v>593</v>
      </c>
      <c r="B605" s="62">
        <v>589999.9</v>
      </c>
      <c r="C605" s="62">
        <v>98.74597</v>
      </c>
      <c r="D605" s="62">
        <v>-3.1877339999999998</v>
      </c>
      <c r="E605" s="62">
        <v>0</v>
      </c>
      <c r="F605" s="62">
        <v>2</v>
      </c>
      <c r="G605" s="62">
        <v>2</v>
      </c>
    </row>
    <row r="606" spans="1:7" x14ac:dyDescent="0.3">
      <c r="A606" s="160">
        <v>594</v>
      </c>
      <c r="B606" s="62">
        <v>589999.9</v>
      </c>
      <c r="C606" s="62">
        <v>98.788039999999995</v>
      </c>
      <c r="D606" s="62">
        <v>-3.1227209999999999</v>
      </c>
      <c r="E606" s="62">
        <v>0</v>
      </c>
      <c r="F606" s="62">
        <v>2</v>
      </c>
      <c r="G606" s="62">
        <v>2</v>
      </c>
    </row>
    <row r="607" spans="1:7" x14ac:dyDescent="0.3">
      <c r="A607" s="160">
        <v>595</v>
      </c>
      <c r="B607" s="62">
        <v>589999.9</v>
      </c>
      <c r="C607" s="62">
        <v>98.847189999999998</v>
      </c>
      <c r="D607" s="62">
        <v>-3.1104409999999998</v>
      </c>
      <c r="E607" s="62">
        <v>0</v>
      </c>
      <c r="F607" s="62">
        <v>2</v>
      </c>
      <c r="G607" s="62">
        <v>2</v>
      </c>
    </row>
    <row r="608" spans="1:7" x14ac:dyDescent="0.3">
      <c r="A608" s="160">
        <v>596</v>
      </c>
      <c r="B608" s="62">
        <v>589999.9</v>
      </c>
      <c r="C608" s="62">
        <v>98.925790000000006</v>
      </c>
      <c r="D608" s="62">
        <v>-3.2043430000000002</v>
      </c>
      <c r="E608" s="62">
        <v>0</v>
      </c>
      <c r="F608" s="62">
        <v>2</v>
      </c>
      <c r="G608" s="62">
        <v>2</v>
      </c>
    </row>
    <row r="609" spans="1:7" x14ac:dyDescent="0.3">
      <c r="A609" s="160">
        <v>597</v>
      </c>
      <c r="B609" s="62">
        <v>589999.9</v>
      </c>
      <c r="C609" s="62">
        <v>98.939369999999997</v>
      </c>
      <c r="D609" s="62">
        <v>-3.1227499999999999</v>
      </c>
      <c r="E609" s="62">
        <v>0</v>
      </c>
      <c r="F609" s="62">
        <v>2</v>
      </c>
      <c r="G609" s="62">
        <v>2</v>
      </c>
    </row>
    <row r="610" spans="1:7" x14ac:dyDescent="0.3">
      <c r="A610" s="160">
        <v>598</v>
      </c>
      <c r="B610" s="62">
        <v>589999.9</v>
      </c>
      <c r="C610" s="62">
        <v>98.852760000000004</v>
      </c>
      <c r="D610" s="62">
        <v>-3.210172</v>
      </c>
      <c r="E610" s="62">
        <v>0</v>
      </c>
      <c r="F610" s="62">
        <v>2</v>
      </c>
      <c r="G610" s="62">
        <v>2</v>
      </c>
    </row>
    <row r="611" spans="1:7" x14ac:dyDescent="0.3">
      <c r="A611" s="160">
        <v>599</v>
      </c>
      <c r="B611" s="62">
        <v>589999.9</v>
      </c>
      <c r="C611" s="62">
        <v>98.867189999999994</v>
      </c>
      <c r="D611" s="62">
        <v>-3.2185570000000001</v>
      </c>
      <c r="E611" s="62">
        <v>0</v>
      </c>
      <c r="F611" s="62">
        <v>2</v>
      </c>
      <c r="G611" s="62">
        <v>2</v>
      </c>
    </row>
    <row r="612" spans="1:7" x14ac:dyDescent="0.3">
      <c r="A612" s="160">
        <v>600</v>
      </c>
      <c r="B612" s="62">
        <v>589999.9</v>
      </c>
      <c r="C612" s="62">
        <v>98.866669999999999</v>
      </c>
      <c r="D612" s="62">
        <v>-3.160209</v>
      </c>
      <c r="E612" s="62">
        <v>0</v>
      </c>
      <c r="F612" s="62">
        <v>2</v>
      </c>
      <c r="G612" s="62">
        <v>2</v>
      </c>
    </row>
    <row r="613" spans="1:7" x14ac:dyDescent="0.3">
      <c r="A613" s="160">
        <v>601</v>
      </c>
      <c r="B613" s="62">
        <v>460000</v>
      </c>
      <c r="C613" s="62">
        <v>99.247500000000002</v>
      </c>
      <c r="D613" s="62">
        <v>-2.6815630000000001</v>
      </c>
      <c r="E613" s="62">
        <v>0</v>
      </c>
      <c r="F613" s="62">
        <v>2</v>
      </c>
      <c r="G613" s="62">
        <v>2</v>
      </c>
    </row>
    <row r="614" spans="1:7" x14ac:dyDescent="0.3">
      <c r="A614" s="160">
        <v>602</v>
      </c>
      <c r="B614" s="62">
        <v>460000</v>
      </c>
      <c r="C614" s="62">
        <v>99.212739999999997</v>
      </c>
      <c r="D614" s="62">
        <v>-2.778486</v>
      </c>
      <c r="E614" s="62">
        <v>0</v>
      </c>
      <c r="F614" s="62">
        <v>2</v>
      </c>
      <c r="G614" s="62">
        <v>2</v>
      </c>
    </row>
    <row r="615" spans="1:7" x14ac:dyDescent="0.3">
      <c r="A615" s="160">
        <v>603</v>
      </c>
      <c r="B615" s="62">
        <v>460000</v>
      </c>
      <c r="C615" s="62">
        <v>99.220039999999997</v>
      </c>
      <c r="D615" s="62">
        <v>-2.7439429999999998</v>
      </c>
      <c r="E615" s="62">
        <v>0</v>
      </c>
      <c r="F615" s="62">
        <v>2</v>
      </c>
      <c r="G615" s="62">
        <v>2</v>
      </c>
    </row>
    <row r="616" spans="1:7" x14ac:dyDescent="0.3">
      <c r="A616" s="160">
        <v>604</v>
      </c>
      <c r="B616" s="62">
        <v>460000</v>
      </c>
      <c r="C616" s="62">
        <v>99.343149999999994</v>
      </c>
      <c r="D616" s="62">
        <v>-2.6794389999999999</v>
      </c>
      <c r="E616" s="62">
        <v>0</v>
      </c>
      <c r="F616" s="62">
        <v>2</v>
      </c>
      <c r="G616" s="62">
        <v>2</v>
      </c>
    </row>
    <row r="617" spans="1:7" x14ac:dyDescent="0.3">
      <c r="A617" s="160">
        <v>605</v>
      </c>
      <c r="B617" s="62">
        <v>460000</v>
      </c>
      <c r="C617" s="62">
        <v>99.265680000000003</v>
      </c>
      <c r="D617" s="62">
        <v>-2.7659379999999998</v>
      </c>
      <c r="E617" s="62">
        <v>0</v>
      </c>
      <c r="F617" s="62">
        <v>2</v>
      </c>
      <c r="G617" s="62">
        <v>2</v>
      </c>
    </row>
    <row r="618" spans="1:7" x14ac:dyDescent="0.3">
      <c r="A618" s="160">
        <v>606</v>
      </c>
      <c r="B618" s="62">
        <v>460000</v>
      </c>
      <c r="C618" s="62">
        <v>99.190190000000001</v>
      </c>
      <c r="D618" s="62">
        <v>-2.714807</v>
      </c>
      <c r="E618" s="62">
        <v>0</v>
      </c>
      <c r="F618" s="62">
        <v>2</v>
      </c>
      <c r="G618" s="62">
        <v>2</v>
      </c>
    </row>
    <row r="619" spans="1:7" x14ac:dyDescent="0.3">
      <c r="A619" s="160">
        <v>607</v>
      </c>
      <c r="B619" s="62">
        <v>460000</v>
      </c>
      <c r="C619" s="62">
        <v>99.219179999999994</v>
      </c>
      <c r="D619" s="62">
        <v>-2.742432</v>
      </c>
      <c r="E619" s="62">
        <v>0</v>
      </c>
      <c r="F619" s="62">
        <v>2</v>
      </c>
      <c r="G619" s="62">
        <v>2</v>
      </c>
    </row>
    <row r="620" spans="1:7" x14ac:dyDescent="0.3">
      <c r="A620" s="160">
        <v>608</v>
      </c>
      <c r="B620" s="62">
        <v>460000</v>
      </c>
      <c r="C620" s="62">
        <v>99.226870000000005</v>
      </c>
      <c r="D620" s="62">
        <v>-2.7455599999999998</v>
      </c>
      <c r="E620" s="62">
        <v>0</v>
      </c>
      <c r="F620" s="62">
        <v>2</v>
      </c>
      <c r="G620" s="62">
        <v>2</v>
      </c>
    </row>
    <row r="621" spans="1:7" x14ac:dyDescent="0.3">
      <c r="A621" s="160">
        <v>609</v>
      </c>
      <c r="B621" s="62">
        <v>460000</v>
      </c>
      <c r="C621" s="62">
        <v>99.126850000000005</v>
      </c>
      <c r="D621" s="62">
        <v>-2.7492770000000002</v>
      </c>
      <c r="E621" s="62">
        <v>0</v>
      </c>
      <c r="F621" s="62">
        <v>2</v>
      </c>
      <c r="G621" s="62">
        <v>2</v>
      </c>
    </row>
    <row r="622" spans="1:7" x14ac:dyDescent="0.3">
      <c r="A622" s="160">
        <v>610</v>
      </c>
      <c r="B622" s="62">
        <v>460000</v>
      </c>
      <c r="C622" s="62">
        <v>99.081559999999996</v>
      </c>
      <c r="D622" s="62">
        <v>-2.7362280000000001</v>
      </c>
      <c r="E622" s="62">
        <v>0</v>
      </c>
      <c r="F622" s="62">
        <v>2</v>
      </c>
      <c r="G622" s="62">
        <v>2</v>
      </c>
    </row>
    <row r="623" spans="1:7" x14ac:dyDescent="0.3">
      <c r="A623" s="160">
        <v>611</v>
      </c>
      <c r="B623" s="62">
        <v>319999.90000000002</v>
      </c>
      <c r="C623" s="62">
        <v>99.872</v>
      </c>
      <c r="D623" s="62">
        <v>-2.0726369999999998</v>
      </c>
      <c r="E623" s="62">
        <v>0</v>
      </c>
      <c r="F623" s="62">
        <v>2</v>
      </c>
      <c r="G623" s="62">
        <v>2</v>
      </c>
    </row>
    <row r="624" spans="1:7" x14ac:dyDescent="0.3">
      <c r="A624" s="160">
        <v>612</v>
      </c>
      <c r="B624" s="62">
        <v>319999.90000000002</v>
      </c>
      <c r="C624" s="62">
        <v>99.63458</v>
      </c>
      <c r="D624" s="62">
        <v>-2.0031870000000001</v>
      </c>
      <c r="E624" s="62">
        <v>0</v>
      </c>
      <c r="F624" s="62">
        <v>2</v>
      </c>
      <c r="G624" s="62">
        <v>2</v>
      </c>
    </row>
    <row r="625" spans="1:7" x14ac:dyDescent="0.3">
      <c r="A625" s="160">
        <v>613</v>
      </c>
      <c r="B625" s="62">
        <v>319999.90000000002</v>
      </c>
      <c r="C625" s="62">
        <v>99.587869999999995</v>
      </c>
      <c r="D625" s="62">
        <v>-1.9740150000000001</v>
      </c>
      <c r="E625" s="62">
        <v>0</v>
      </c>
      <c r="F625" s="62">
        <v>2</v>
      </c>
      <c r="G625" s="62">
        <v>2</v>
      </c>
    </row>
    <row r="626" spans="1:7" x14ac:dyDescent="0.3">
      <c r="A626" s="160">
        <v>614</v>
      </c>
      <c r="B626" s="62">
        <v>319999.90000000002</v>
      </c>
      <c r="C626" s="62">
        <v>99.623320000000007</v>
      </c>
      <c r="D626" s="62">
        <v>-2.0695939999999999</v>
      </c>
      <c r="E626" s="62">
        <v>0</v>
      </c>
      <c r="F626" s="62">
        <v>2</v>
      </c>
      <c r="G626" s="62">
        <v>2</v>
      </c>
    </row>
    <row r="627" spans="1:7" x14ac:dyDescent="0.3">
      <c r="A627" s="160">
        <v>615</v>
      </c>
      <c r="B627" s="62">
        <v>319999.90000000002</v>
      </c>
      <c r="C627" s="62">
        <v>99.516779999999997</v>
      </c>
      <c r="D627" s="62">
        <v>-2.052632</v>
      </c>
      <c r="E627" s="62">
        <v>0</v>
      </c>
      <c r="F627" s="62">
        <v>2</v>
      </c>
      <c r="G627" s="62">
        <v>2</v>
      </c>
    </row>
    <row r="628" spans="1:7" x14ac:dyDescent="0.3">
      <c r="A628" s="160">
        <v>616</v>
      </c>
      <c r="B628" s="62">
        <v>319999.90000000002</v>
      </c>
      <c r="C628" s="62">
        <v>99.650199999999998</v>
      </c>
      <c r="D628" s="62">
        <v>-1.99586</v>
      </c>
      <c r="E628" s="62">
        <v>0</v>
      </c>
      <c r="F628" s="62">
        <v>2</v>
      </c>
      <c r="G628" s="62">
        <v>2</v>
      </c>
    </row>
    <row r="629" spans="1:7" x14ac:dyDescent="0.3">
      <c r="A629" s="160">
        <v>617</v>
      </c>
      <c r="B629" s="62">
        <v>319999.90000000002</v>
      </c>
      <c r="C629" s="62">
        <v>99.736459999999994</v>
      </c>
      <c r="D629" s="62">
        <v>-2.0550950000000001</v>
      </c>
      <c r="E629" s="62">
        <v>0</v>
      </c>
      <c r="F629" s="62">
        <v>2</v>
      </c>
      <c r="G629" s="62">
        <v>2</v>
      </c>
    </row>
    <row r="630" spans="1:7" x14ac:dyDescent="0.3">
      <c r="A630" s="160">
        <v>618</v>
      </c>
      <c r="B630" s="62">
        <v>319999.90000000002</v>
      </c>
      <c r="C630" s="62">
        <v>99.786559999999994</v>
      </c>
      <c r="D630" s="62">
        <v>-1.977257</v>
      </c>
      <c r="E630" s="62">
        <v>0</v>
      </c>
      <c r="F630" s="62">
        <v>2</v>
      </c>
      <c r="G630" s="62">
        <v>2</v>
      </c>
    </row>
    <row r="631" spans="1:7" x14ac:dyDescent="0.3">
      <c r="A631" s="160">
        <v>619</v>
      </c>
      <c r="B631" s="62">
        <v>319999.90000000002</v>
      </c>
      <c r="C631" s="62">
        <v>99.548490000000001</v>
      </c>
      <c r="D631" s="62">
        <v>-2.1271070000000001</v>
      </c>
      <c r="E631" s="62">
        <v>0</v>
      </c>
      <c r="F631" s="62">
        <v>2</v>
      </c>
      <c r="G631" s="62">
        <v>2</v>
      </c>
    </row>
    <row r="632" spans="1:7" x14ac:dyDescent="0.3">
      <c r="A632" s="160">
        <v>620</v>
      </c>
      <c r="B632" s="62">
        <v>319999.90000000002</v>
      </c>
      <c r="C632" s="62">
        <v>99.757800000000003</v>
      </c>
      <c r="D632" s="62">
        <v>-1.969859</v>
      </c>
      <c r="E632" s="62">
        <v>0</v>
      </c>
      <c r="F632" s="62">
        <v>2</v>
      </c>
      <c r="G632" s="62">
        <v>2</v>
      </c>
    </row>
    <row r="633" spans="1:7" x14ac:dyDescent="0.3">
      <c r="A633" s="160">
        <v>621</v>
      </c>
      <c r="B633" s="62">
        <v>190000</v>
      </c>
      <c r="C633" s="62">
        <v>100.02460000000001</v>
      </c>
      <c r="D633" s="62">
        <v>-1.2256089999999999</v>
      </c>
      <c r="E633" s="62">
        <v>0</v>
      </c>
      <c r="F633" s="62">
        <v>2</v>
      </c>
      <c r="G633" s="62">
        <v>2</v>
      </c>
    </row>
    <row r="634" spans="1:7" x14ac:dyDescent="0.3">
      <c r="A634" s="160">
        <v>622</v>
      </c>
      <c r="B634" s="62">
        <v>190000</v>
      </c>
      <c r="C634" s="62">
        <v>100.1478</v>
      </c>
      <c r="D634" s="62">
        <v>-1.2964450000000001</v>
      </c>
      <c r="E634" s="62">
        <v>0</v>
      </c>
      <c r="F634" s="62">
        <v>2</v>
      </c>
      <c r="G634" s="62">
        <v>2</v>
      </c>
    </row>
    <row r="635" spans="1:7" x14ac:dyDescent="0.3">
      <c r="A635" s="160">
        <v>623</v>
      </c>
      <c r="B635" s="62">
        <v>190000</v>
      </c>
      <c r="C635" s="62">
        <v>100.1429</v>
      </c>
      <c r="D635" s="62">
        <v>-1.392479</v>
      </c>
      <c r="E635" s="62">
        <v>0</v>
      </c>
      <c r="F635" s="62">
        <v>2</v>
      </c>
      <c r="G635" s="62">
        <v>2</v>
      </c>
    </row>
    <row r="636" spans="1:7" x14ac:dyDescent="0.3">
      <c r="A636" s="160">
        <v>624</v>
      </c>
      <c r="B636" s="62">
        <v>190000</v>
      </c>
      <c r="C636" s="62">
        <v>99.972650000000002</v>
      </c>
      <c r="D636" s="62">
        <v>-1.2347870000000001</v>
      </c>
      <c r="E636" s="62">
        <v>0</v>
      </c>
      <c r="F636" s="62">
        <v>2</v>
      </c>
      <c r="G636" s="62">
        <v>2</v>
      </c>
    </row>
    <row r="637" spans="1:7" x14ac:dyDescent="0.3">
      <c r="A637" s="160">
        <v>625</v>
      </c>
      <c r="B637" s="62">
        <v>190000</v>
      </c>
      <c r="C637" s="62">
        <v>100.2137</v>
      </c>
      <c r="D637" s="62">
        <v>-1.2145300000000001</v>
      </c>
      <c r="E637" s="62">
        <v>0</v>
      </c>
      <c r="F637" s="62">
        <v>2</v>
      </c>
      <c r="G637" s="62">
        <v>2</v>
      </c>
    </row>
    <row r="638" spans="1:7" x14ac:dyDescent="0.3">
      <c r="A638" s="160">
        <v>626</v>
      </c>
      <c r="B638" s="62">
        <v>190000</v>
      </c>
      <c r="C638" s="62">
        <v>99.997889999999998</v>
      </c>
      <c r="D638" s="62">
        <v>-1.401767</v>
      </c>
      <c r="E638" s="62">
        <v>0</v>
      </c>
      <c r="F638" s="62">
        <v>2</v>
      </c>
      <c r="G638" s="62">
        <v>2</v>
      </c>
    </row>
    <row r="639" spans="1:7" x14ac:dyDescent="0.3">
      <c r="A639" s="160">
        <v>627</v>
      </c>
      <c r="B639" s="62">
        <v>190000</v>
      </c>
      <c r="C639" s="62">
        <v>100.0448</v>
      </c>
      <c r="D639" s="62">
        <v>-1.272262</v>
      </c>
      <c r="E639" s="62">
        <v>0</v>
      </c>
      <c r="F639" s="62">
        <v>2</v>
      </c>
      <c r="G639" s="62">
        <v>2</v>
      </c>
    </row>
    <row r="640" spans="1:7" x14ac:dyDescent="0.3">
      <c r="A640" s="160">
        <v>628</v>
      </c>
      <c r="B640" s="62">
        <v>190000</v>
      </c>
      <c r="C640" s="62">
        <v>99.937669999999997</v>
      </c>
      <c r="D640" s="62">
        <v>-1.268162</v>
      </c>
      <c r="E640" s="62">
        <v>0</v>
      </c>
      <c r="F640" s="62">
        <v>2</v>
      </c>
      <c r="G640" s="62">
        <v>2</v>
      </c>
    </row>
    <row r="641" spans="1:7" x14ac:dyDescent="0.3">
      <c r="A641" s="160">
        <v>629</v>
      </c>
      <c r="B641" s="62">
        <v>190000</v>
      </c>
      <c r="C641" s="62">
        <v>100.1964</v>
      </c>
      <c r="D641" s="62">
        <v>-1.234548</v>
      </c>
      <c r="E641" s="62">
        <v>0</v>
      </c>
      <c r="F641" s="62">
        <v>2</v>
      </c>
      <c r="G641" s="62">
        <v>2</v>
      </c>
    </row>
    <row r="642" spans="1:7" x14ac:dyDescent="0.3">
      <c r="A642" s="160">
        <v>630</v>
      </c>
      <c r="B642" s="62">
        <v>190000</v>
      </c>
      <c r="C642" s="62">
        <v>100.0154</v>
      </c>
      <c r="D642" s="62">
        <v>-1.3279529999999999</v>
      </c>
      <c r="E642" s="62">
        <v>0</v>
      </c>
      <c r="F642" s="62">
        <v>2</v>
      </c>
      <c r="G642" s="62">
        <v>2</v>
      </c>
    </row>
    <row r="643" spans="1:7" x14ac:dyDescent="0.3">
      <c r="A643" s="160">
        <v>631</v>
      </c>
      <c r="B643" s="62">
        <v>50999.97</v>
      </c>
      <c r="C643" s="62">
        <v>100.3077</v>
      </c>
      <c r="D643" s="62">
        <v>-0.33691840000000001</v>
      </c>
      <c r="E643" s="62">
        <v>0</v>
      </c>
      <c r="F643" s="62">
        <v>2</v>
      </c>
      <c r="G643" s="62">
        <v>2</v>
      </c>
    </row>
    <row r="644" spans="1:7" x14ac:dyDescent="0.3">
      <c r="A644" s="160">
        <v>632</v>
      </c>
      <c r="B644" s="62">
        <v>50999.97</v>
      </c>
      <c r="C644" s="62">
        <v>100.2932</v>
      </c>
      <c r="D644" s="62">
        <v>-0.36316280000000001</v>
      </c>
      <c r="E644" s="62">
        <v>0</v>
      </c>
      <c r="F644" s="62">
        <v>2</v>
      </c>
      <c r="G644" s="62">
        <v>2</v>
      </c>
    </row>
    <row r="645" spans="1:7" x14ac:dyDescent="0.3">
      <c r="A645" s="160">
        <v>633</v>
      </c>
      <c r="B645" s="62">
        <v>50999.97</v>
      </c>
      <c r="C645" s="62">
        <v>100.2864</v>
      </c>
      <c r="D645" s="62">
        <v>-0.35291679999999997</v>
      </c>
      <c r="E645" s="62">
        <v>0</v>
      </c>
      <c r="F645" s="62">
        <v>2</v>
      </c>
      <c r="G645" s="62">
        <v>2</v>
      </c>
    </row>
    <row r="646" spans="1:7" x14ac:dyDescent="0.3">
      <c r="A646" s="160">
        <v>634</v>
      </c>
      <c r="B646" s="62">
        <v>50999.97</v>
      </c>
      <c r="C646" s="62">
        <v>100.30929999999999</v>
      </c>
      <c r="D646" s="62">
        <v>-0.35836370000000001</v>
      </c>
      <c r="E646" s="62">
        <v>0</v>
      </c>
      <c r="F646" s="62">
        <v>2</v>
      </c>
      <c r="G646" s="62">
        <v>2</v>
      </c>
    </row>
    <row r="647" spans="1:7" x14ac:dyDescent="0.3">
      <c r="A647" s="160">
        <v>635</v>
      </c>
      <c r="B647" s="62">
        <v>50999.97</v>
      </c>
      <c r="C647" s="62">
        <v>100.309</v>
      </c>
      <c r="D647" s="62">
        <v>-0.27845530000000002</v>
      </c>
      <c r="E647" s="62">
        <v>0</v>
      </c>
      <c r="F647" s="62">
        <v>2</v>
      </c>
      <c r="G647" s="62">
        <v>2</v>
      </c>
    </row>
    <row r="648" spans="1:7" x14ac:dyDescent="0.3">
      <c r="A648" s="160">
        <v>636</v>
      </c>
      <c r="B648" s="62">
        <v>50999.97</v>
      </c>
      <c r="C648" s="62">
        <v>100.3098</v>
      </c>
      <c r="D648" s="62">
        <v>-0.34382459999999998</v>
      </c>
      <c r="E648" s="62">
        <v>0</v>
      </c>
      <c r="F648" s="62">
        <v>2</v>
      </c>
      <c r="G648" s="62">
        <v>2</v>
      </c>
    </row>
    <row r="649" spans="1:7" x14ac:dyDescent="0.3">
      <c r="A649" s="160">
        <v>637</v>
      </c>
      <c r="B649" s="62">
        <v>50999.97</v>
      </c>
      <c r="C649" s="62">
        <v>100.2282</v>
      </c>
      <c r="D649" s="62">
        <v>-0.29329</v>
      </c>
      <c r="E649" s="62">
        <v>0</v>
      </c>
      <c r="F649" s="62">
        <v>2</v>
      </c>
      <c r="G649" s="62">
        <v>2</v>
      </c>
    </row>
    <row r="650" spans="1:7" x14ac:dyDescent="0.3">
      <c r="A650" s="160">
        <v>638</v>
      </c>
      <c r="B650" s="62">
        <v>50999.97</v>
      </c>
      <c r="C650" s="62">
        <v>100.2974</v>
      </c>
      <c r="D650" s="62">
        <v>-0.36104530000000001</v>
      </c>
      <c r="E650" s="62">
        <v>0</v>
      </c>
      <c r="F650" s="62">
        <v>2</v>
      </c>
      <c r="G650" s="62">
        <v>2</v>
      </c>
    </row>
    <row r="651" spans="1:7" x14ac:dyDescent="0.3">
      <c r="A651" s="160">
        <v>639</v>
      </c>
      <c r="B651" s="62">
        <v>50999.97</v>
      </c>
      <c r="C651" s="62">
        <v>100.2996</v>
      </c>
      <c r="D651" s="62">
        <v>-0.34620709999999999</v>
      </c>
      <c r="E651" s="62">
        <v>0</v>
      </c>
      <c r="F651" s="62">
        <v>2</v>
      </c>
      <c r="G651" s="62">
        <v>2</v>
      </c>
    </row>
    <row r="652" spans="1:7" x14ac:dyDescent="0.3">
      <c r="A652" s="160">
        <v>640</v>
      </c>
      <c r="B652" s="62">
        <v>50999.97</v>
      </c>
      <c r="C652" s="62">
        <v>100.29819999999999</v>
      </c>
      <c r="D652" s="62">
        <v>-0.34921289999999999</v>
      </c>
      <c r="E652" s="62">
        <v>0</v>
      </c>
      <c r="F652" s="62">
        <v>2</v>
      </c>
      <c r="G652" s="62">
        <v>2</v>
      </c>
    </row>
    <row r="653" spans="1:7" x14ac:dyDescent="0.3">
      <c r="A653" s="160">
        <v>641</v>
      </c>
      <c r="B653" s="62">
        <v>1000000</v>
      </c>
      <c r="C653" s="62">
        <v>99.760909999999996</v>
      </c>
      <c r="D653" s="62">
        <v>1.0873250000000001</v>
      </c>
      <c r="E653" s="62">
        <v>0</v>
      </c>
      <c r="F653" s="62">
        <v>3</v>
      </c>
      <c r="G653" s="62">
        <v>2</v>
      </c>
    </row>
    <row r="654" spans="1:7" x14ac:dyDescent="0.3">
      <c r="A654" s="160">
        <v>642</v>
      </c>
      <c r="B654" s="62">
        <v>1000000</v>
      </c>
      <c r="C654" s="62">
        <v>99.836320000000001</v>
      </c>
      <c r="D654" s="62">
        <v>1.0050520000000001</v>
      </c>
      <c r="E654" s="62">
        <v>0</v>
      </c>
      <c r="F654" s="62">
        <v>3</v>
      </c>
      <c r="G654" s="62">
        <v>2</v>
      </c>
    </row>
    <row r="655" spans="1:7" x14ac:dyDescent="0.3">
      <c r="A655" s="160">
        <v>643</v>
      </c>
      <c r="B655" s="62">
        <v>1000000</v>
      </c>
      <c r="C655" s="62">
        <v>99.657979999999995</v>
      </c>
      <c r="D655" s="62">
        <v>1.0262450000000001</v>
      </c>
      <c r="E655" s="62">
        <v>0</v>
      </c>
      <c r="F655" s="62">
        <v>3</v>
      </c>
      <c r="G655" s="62">
        <v>2</v>
      </c>
    </row>
    <row r="656" spans="1:7" x14ac:dyDescent="0.3">
      <c r="A656" s="160">
        <v>644</v>
      </c>
      <c r="B656" s="62">
        <v>1000000</v>
      </c>
      <c r="C656" s="62">
        <v>99.813159999999996</v>
      </c>
      <c r="D656" s="62">
        <v>1.057037</v>
      </c>
      <c r="E656" s="62">
        <v>0</v>
      </c>
      <c r="F656" s="62">
        <v>3</v>
      </c>
      <c r="G656" s="62">
        <v>2</v>
      </c>
    </row>
    <row r="657" spans="1:7" x14ac:dyDescent="0.3">
      <c r="A657" s="160">
        <v>645</v>
      </c>
      <c r="B657" s="62">
        <v>1000000</v>
      </c>
      <c r="C657" s="62">
        <v>99.760440000000003</v>
      </c>
      <c r="D657" s="62">
        <v>1.0976379999999999</v>
      </c>
      <c r="E657" s="62">
        <v>0</v>
      </c>
      <c r="F657" s="62">
        <v>3</v>
      </c>
      <c r="G657" s="62">
        <v>2</v>
      </c>
    </row>
    <row r="658" spans="1:7" x14ac:dyDescent="0.3">
      <c r="A658" s="160">
        <v>646</v>
      </c>
      <c r="B658" s="62">
        <v>1000000</v>
      </c>
      <c r="C658" s="62">
        <v>99.84684</v>
      </c>
      <c r="D658" s="62">
        <v>1.0178940000000001</v>
      </c>
      <c r="E658" s="62">
        <v>0</v>
      </c>
      <c r="F658" s="62">
        <v>3</v>
      </c>
      <c r="G658" s="62">
        <v>2</v>
      </c>
    </row>
    <row r="659" spans="1:7" x14ac:dyDescent="0.3">
      <c r="A659" s="160">
        <v>647</v>
      </c>
      <c r="B659" s="62">
        <v>1000000</v>
      </c>
      <c r="C659" s="62">
        <v>99.728129999999993</v>
      </c>
      <c r="D659" s="62">
        <v>1.0051969999999999</v>
      </c>
      <c r="E659" s="62">
        <v>0</v>
      </c>
      <c r="F659" s="62">
        <v>3</v>
      </c>
      <c r="G659" s="62">
        <v>2</v>
      </c>
    </row>
    <row r="660" spans="1:7" x14ac:dyDescent="0.3">
      <c r="A660" s="160">
        <v>648</v>
      </c>
      <c r="B660" s="62">
        <v>1000000</v>
      </c>
      <c r="C660" s="62">
        <v>99.759209999999996</v>
      </c>
      <c r="D660" s="62">
        <v>1.095537</v>
      </c>
      <c r="E660" s="62">
        <v>0</v>
      </c>
      <c r="F660" s="62">
        <v>3</v>
      </c>
      <c r="G660" s="62">
        <v>2</v>
      </c>
    </row>
    <row r="661" spans="1:7" x14ac:dyDescent="0.3">
      <c r="A661" s="160">
        <v>649</v>
      </c>
      <c r="B661" s="62">
        <v>1000000</v>
      </c>
      <c r="C661" s="62">
        <v>99.743799999999993</v>
      </c>
      <c r="D661" s="62">
        <v>1.1771130000000001</v>
      </c>
      <c r="E661" s="62">
        <v>0</v>
      </c>
      <c r="F661" s="62">
        <v>3</v>
      </c>
      <c r="G661" s="62">
        <v>2</v>
      </c>
    </row>
    <row r="662" spans="1:7" x14ac:dyDescent="0.3">
      <c r="A662" s="160">
        <v>650</v>
      </c>
      <c r="B662" s="62">
        <v>1000000</v>
      </c>
      <c r="C662" s="62">
        <v>99.670349999999999</v>
      </c>
      <c r="D662" s="62">
        <v>1.1047260000000001</v>
      </c>
      <c r="E662" s="62">
        <v>0</v>
      </c>
      <c r="F662" s="62">
        <v>3</v>
      </c>
      <c r="G662" s="62">
        <v>2</v>
      </c>
    </row>
    <row r="663" spans="1:7" x14ac:dyDescent="0.3">
      <c r="A663" s="160">
        <v>651</v>
      </c>
      <c r="B663" s="62">
        <v>859999.9</v>
      </c>
      <c r="C663" s="62">
        <v>99.256789999999995</v>
      </c>
      <c r="D663" s="62">
        <v>0.44732379999999999</v>
      </c>
      <c r="E663" s="62">
        <v>0</v>
      </c>
      <c r="F663" s="62">
        <v>3</v>
      </c>
      <c r="G663" s="62">
        <v>2</v>
      </c>
    </row>
    <row r="664" spans="1:7" x14ac:dyDescent="0.3">
      <c r="A664" s="160">
        <v>652</v>
      </c>
      <c r="B664" s="62">
        <v>859999.9</v>
      </c>
      <c r="C664" s="62">
        <v>99.27131</v>
      </c>
      <c r="D664" s="62">
        <v>0.45174229999999999</v>
      </c>
      <c r="E664" s="62">
        <v>0</v>
      </c>
      <c r="F664" s="62">
        <v>3</v>
      </c>
      <c r="G664" s="62">
        <v>2</v>
      </c>
    </row>
    <row r="665" spans="1:7" x14ac:dyDescent="0.3">
      <c r="A665" s="160">
        <v>653</v>
      </c>
      <c r="B665" s="62">
        <v>859999.9</v>
      </c>
      <c r="C665" s="62">
        <v>99.256060000000005</v>
      </c>
      <c r="D665" s="62">
        <v>0.44680609999999998</v>
      </c>
      <c r="E665" s="62">
        <v>0</v>
      </c>
      <c r="F665" s="62">
        <v>3</v>
      </c>
      <c r="G665" s="62">
        <v>2</v>
      </c>
    </row>
    <row r="666" spans="1:7" x14ac:dyDescent="0.3">
      <c r="A666" s="160">
        <v>654</v>
      </c>
      <c r="B666" s="62">
        <v>859999.9</v>
      </c>
      <c r="C666" s="62">
        <v>99.243830000000003</v>
      </c>
      <c r="D666" s="62">
        <v>0.40521380000000001</v>
      </c>
      <c r="E666" s="62">
        <v>0</v>
      </c>
      <c r="F666" s="62">
        <v>3</v>
      </c>
      <c r="G666" s="62">
        <v>2</v>
      </c>
    </row>
    <row r="667" spans="1:7" x14ac:dyDescent="0.3">
      <c r="A667" s="160">
        <v>655</v>
      </c>
      <c r="B667" s="62">
        <v>859999.9</v>
      </c>
      <c r="C667" s="62">
        <v>99.271069999999995</v>
      </c>
      <c r="D667" s="62">
        <v>0.46088570000000001</v>
      </c>
      <c r="E667" s="62">
        <v>0</v>
      </c>
      <c r="F667" s="62">
        <v>3</v>
      </c>
      <c r="G667" s="62">
        <v>2</v>
      </c>
    </row>
    <row r="668" spans="1:7" x14ac:dyDescent="0.3">
      <c r="A668" s="160">
        <v>656</v>
      </c>
      <c r="B668" s="62">
        <v>859999.9</v>
      </c>
      <c r="C668" s="62">
        <v>99.258899999999997</v>
      </c>
      <c r="D668" s="62">
        <v>0.49831170000000002</v>
      </c>
      <c r="E668" s="62">
        <v>0</v>
      </c>
      <c r="F668" s="62">
        <v>3</v>
      </c>
      <c r="G668" s="62">
        <v>2</v>
      </c>
    </row>
    <row r="669" spans="1:7" x14ac:dyDescent="0.3">
      <c r="A669" s="160">
        <v>657</v>
      </c>
      <c r="B669" s="62">
        <v>859999.9</v>
      </c>
      <c r="C669" s="62">
        <v>99.263159999999999</v>
      </c>
      <c r="D669" s="62">
        <v>0.44871549999999999</v>
      </c>
      <c r="E669" s="62">
        <v>0</v>
      </c>
      <c r="F669" s="62">
        <v>3</v>
      </c>
      <c r="G669" s="62">
        <v>2</v>
      </c>
    </row>
    <row r="670" spans="1:7" x14ac:dyDescent="0.3">
      <c r="A670" s="160">
        <v>658</v>
      </c>
      <c r="B670" s="62">
        <v>859999.9</v>
      </c>
      <c r="C670" s="62">
        <v>99.25797</v>
      </c>
      <c r="D670" s="62">
        <v>0.45429950000000002</v>
      </c>
      <c r="E670" s="62">
        <v>0</v>
      </c>
      <c r="F670" s="62">
        <v>3</v>
      </c>
      <c r="G670" s="62">
        <v>2</v>
      </c>
    </row>
    <row r="671" spans="1:7" x14ac:dyDescent="0.3">
      <c r="A671" s="160">
        <v>659</v>
      </c>
      <c r="B671" s="62">
        <v>859999.9</v>
      </c>
      <c r="C671" s="62">
        <v>99.264089999999996</v>
      </c>
      <c r="D671" s="62">
        <v>0.45705849999999998</v>
      </c>
      <c r="E671" s="62">
        <v>0</v>
      </c>
      <c r="F671" s="62">
        <v>3</v>
      </c>
      <c r="G671" s="62">
        <v>2</v>
      </c>
    </row>
    <row r="672" spans="1:7" x14ac:dyDescent="0.3">
      <c r="A672" s="160">
        <v>660</v>
      </c>
      <c r="B672" s="62">
        <v>859999.9</v>
      </c>
      <c r="C672" s="62">
        <v>99.272189999999995</v>
      </c>
      <c r="D672" s="62">
        <v>0.45306370000000001</v>
      </c>
      <c r="E672" s="62">
        <v>0</v>
      </c>
      <c r="F672" s="62">
        <v>3</v>
      </c>
      <c r="G672" s="62">
        <v>2</v>
      </c>
    </row>
    <row r="673" spans="1:7" x14ac:dyDescent="0.3">
      <c r="A673" s="160">
        <v>661</v>
      </c>
      <c r="B673" s="62">
        <v>730000</v>
      </c>
      <c r="C673" s="62">
        <v>99.040649999999999</v>
      </c>
      <c r="D673" s="62">
        <v>-6.01624E-3</v>
      </c>
      <c r="E673" s="62">
        <v>0</v>
      </c>
      <c r="F673" s="62">
        <v>3</v>
      </c>
      <c r="G673" s="62">
        <v>2</v>
      </c>
    </row>
    <row r="674" spans="1:7" x14ac:dyDescent="0.3">
      <c r="A674" s="160">
        <v>662</v>
      </c>
      <c r="B674" s="62">
        <v>730000</v>
      </c>
      <c r="C674" s="62">
        <v>99.046890000000005</v>
      </c>
      <c r="D674" s="62">
        <v>4.474918E-2</v>
      </c>
      <c r="E674" s="62">
        <v>0</v>
      </c>
      <c r="F674" s="62">
        <v>3</v>
      </c>
      <c r="G674" s="62">
        <v>2</v>
      </c>
    </row>
    <row r="675" spans="1:7" x14ac:dyDescent="0.3">
      <c r="A675" s="160">
        <v>663</v>
      </c>
      <c r="B675" s="62">
        <v>730000</v>
      </c>
      <c r="C675" s="62">
        <v>99.049890000000005</v>
      </c>
      <c r="D675" s="62">
        <v>-1.27878E-2</v>
      </c>
      <c r="E675" s="62">
        <v>0</v>
      </c>
      <c r="F675" s="62">
        <v>3</v>
      </c>
      <c r="G675" s="62">
        <v>2</v>
      </c>
    </row>
    <row r="676" spans="1:7" x14ac:dyDescent="0.3">
      <c r="A676" s="160">
        <v>664</v>
      </c>
      <c r="B676" s="62">
        <v>730000</v>
      </c>
      <c r="C676" s="62">
        <v>98.979780000000005</v>
      </c>
      <c r="D676" s="62">
        <v>3.3116979999999997E-2</v>
      </c>
      <c r="E676" s="62">
        <v>0</v>
      </c>
      <c r="F676" s="62">
        <v>3</v>
      </c>
      <c r="G676" s="62">
        <v>2</v>
      </c>
    </row>
    <row r="677" spans="1:7" x14ac:dyDescent="0.3">
      <c r="A677" s="160">
        <v>665</v>
      </c>
      <c r="B677" s="62">
        <v>730000</v>
      </c>
      <c r="C677" s="62">
        <v>99.054239999999993</v>
      </c>
      <c r="D677" s="62">
        <v>-9.7742609999999994E-3</v>
      </c>
      <c r="E677" s="62">
        <v>0</v>
      </c>
      <c r="F677" s="62">
        <v>3</v>
      </c>
      <c r="G677" s="62">
        <v>2</v>
      </c>
    </row>
    <row r="678" spans="1:7" x14ac:dyDescent="0.3">
      <c r="A678" s="160">
        <v>666</v>
      </c>
      <c r="B678" s="62">
        <v>730000</v>
      </c>
      <c r="C678" s="62">
        <v>99.069140000000004</v>
      </c>
      <c r="D678" s="62">
        <v>-1.8777149999999999E-2</v>
      </c>
      <c r="E678" s="62">
        <v>0</v>
      </c>
      <c r="F678" s="62">
        <v>3</v>
      </c>
      <c r="G678" s="62">
        <v>2</v>
      </c>
    </row>
    <row r="679" spans="1:7" x14ac:dyDescent="0.3">
      <c r="A679" s="160">
        <v>667</v>
      </c>
      <c r="B679" s="62">
        <v>730000</v>
      </c>
      <c r="C679" s="62">
        <v>99.061869999999999</v>
      </c>
      <c r="D679" s="62">
        <v>-1.5484879999999999E-2</v>
      </c>
      <c r="E679" s="62">
        <v>0</v>
      </c>
      <c r="F679" s="62">
        <v>3</v>
      </c>
      <c r="G679" s="62">
        <v>2</v>
      </c>
    </row>
    <row r="680" spans="1:7" x14ac:dyDescent="0.3">
      <c r="A680" s="160">
        <v>668</v>
      </c>
      <c r="B680" s="62">
        <v>730000</v>
      </c>
      <c r="C680" s="62">
        <v>99.06335</v>
      </c>
      <c r="D680" s="62">
        <v>-2.1567280000000001E-2</v>
      </c>
      <c r="E680" s="62">
        <v>0</v>
      </c>
      <c r="F680" s="62">
        <v>3</v>
      </c>
      <c r="G680" s="62">
        <v>2</v>
      </c>
    </row>
    <row r="681" spans="1:7" x14ac:dyDescent="0.3">
      <c r="A681" s="160">
        <v>669</v>
      </c>
      <c r="B681" s="62">
        <v>730000</v>
      </c>
      <c r="C681" s="62">
        <v>99.056179999999998</v>
      </c>
      <c r="D681" s="62">
        <v>-1.840632E-2</v>
      </c>
      <c r="E681" s="62">
        <v>0</v>
      </c>
      <c r="F681" s="62">
        <v>3</v>
      </c>
      <c r="G681" s="62">
        <v>2</v>
      </c>
    </row>
    <row r="682" spans="1:7" x14ac:dyDescent="0.3">
      <c r="A682" s="160">
        <v>670</v>
      </c>
      <c r="B682" s="62">
        <v>730000</v>
      </c>
      <c r="C682" s="62">
        <v>99.052800000000005</v>
      </c>
      <c r="D682" s="62">
        <v>-1.5960720000000001E-2</v>
      </c>
      <c r="E682" s="62">
        <v>0</v>
      </c>
      <c r="F682" s="62">
        <v>3</v>
      </c>
      <c r="G682" s="62">
        <v>2</v>
      </c>
    </row>
    <row r="683" spans="1:7" x14ac:dyDescent="0.3">
      <c r="A683" s="160">
        <v>671</v>
      </c>
      <c r="B683" s="62">
        <v>589999.9</v>
      </c>
      <c r="C683" s="62">
        <v>99.148179999999996</v>
      </c>
      <c r="D683" s="62">
        <v>-0.35822199999999998</v>
      </c>
      <c r="E683" s="62">
        <v>0</v>
      </c>
      <c r="F683" s="62">
        <v>3</v>
      </c>
      <c r="G683" s="62">
        <v>2</v>
      </c>
    </row>
    <row r="684" spans="1:7" x14ac:dyDescent="0.3">
      <c r="A684" s="160">
        <v>672</v>
      </c>
      <c r="B684" s="62">
        <v>589999.9</v>
      </c>
      <c r="C684" s="62">
        <v>99.240679999999998</v>
      </c>
      <c r="D684" s="62">
        <v>-0.35267490000000001</v>
      </c>
      <c r="E684" s="62">
        <v>0</v>
      </c>
      <c r="F684" s="62">
        <v>3</v>
      </c>
      <c r="G684" s="62">
        <v>2</v>
      </c>
    </row>
    <row r="685" spans="1:7" x14ac:dyDescent="0.3">
      <c r="A685" s="160">
        <v>673</v>
      </c>
      <c r="B685" s="62">
        <v>589999.9</v>
      </c>
      <c r="C685" s="62">
        <v>99.113330000000005</v>
      </c>
      <c r="D685" s="62">
        <v>-0.39677370000000001</v>
      </c>
      <c r="E685" s="62">
        <v>0</v>
      </c>
      <c r="F685" s="62">
        <v>3</v>
      </c>
      <c r="G685" s="62">
        <v>2</v>
      </c>
    </row>
    <row r="686" spans="1:7" x14ac:dyDescent="0.3">
      <c r="A686" s="160">
        <v>674</v>
      </c>
      <c r="B686" s="62">
        <v>589999.9</v>
      </c>
      <c r="C686" s="62">
        <v>99.250619999999998</v>
      </c>
      <c r="D686" s="62">
        <v>-0.4124621</v>
      </c>
      <c r="E686" s="62">
        <v>0</v>
      </c>
      <c r="F686" s="62">
        <v>3</v>
      </c>
      <c r="G686" s="62">
        <v>2</v>
      </c>
    </row>
    <row r="687" spans="1:7" x14ac:dyDescent="0.3">
      <c r="A687" s="160">
        <v>675</v>
      </c>
      <c r="B687" s="62">
        <v>589999.9</v>
      </c>
      <c r="C687" s="62">
        <v>99.105029999999999</v>
      </c>
      <c r="D687" s="62">
        <v>-0.3905459</v>
      </c>
      <c r="E687" s="62">
        <v>0</v>
      </c>
      <c r="F687" s="62">
        <v>3</v>
      </c>
      <c r="G687" s="62">
        <v>2</v>
      </c>
    </row>
    <row r="688" spans="1:7" x14ac:dyDescent="0.3">
      <c r="A688" s="160">
        <v>676</v>
      </c>
      <c r="B688" s="62">
        <v>589999.9</v>
      </c>
      <c r="C688" s="62">
        <v>99.098920000000007</v>
      </c>
      <c r="D688" s="62">
        <v>-0.29038940000000002</v>
      </c>
      <c r="E688" s="62">
        <v>0</v>
      </c>
      <c r="F688" s="62">
        <v>3</v>
      </c>
      <c r="G688" s="62">
        <v>2</v>
      </c>
    </row>
    <row r="689" spans="1:7" x14ac:dyDescent="0.3">
      <c r="A689" s="160">
        <v>677</v>
      </c>
      <c r="B689" s="62">
        <v>589999.9</v>
      </c>
      <c r="C689" s="62">
        <v>99.096149999999994</v>
      </c>
      <c r="D689" s="62">
        <v>-0.36394759999999998</v>
      </c>
      <c r="E689" s="62">
        <v>0</v>
      </c>
      <c r="F689" s="62">
        <v>3</v>
      </c>
      <c r="G689" s="62">
        <v>2</v>
      </c>
    </row>
    <row r="690" spans="1:7" x14ac:dyDescent="0.3">
      <c r="A690" s="160">
        <v>678</v>
      </c>
      <c r="B690" s="62">
        <v>589999.9</v>
      </c>
      <c r="C690" s="62">
        <v>99.229410000000001</v>
      </c>
      <c r="D690" s="62">
        <v>-0.37861739999999999</v>
      </c>
      <c r="E690" s="62">
        <v>0</v>
      </c>
      <c r="F690" s="62">
        <v>3</v>
      </c>
      <c r="G690" s="62">
        <v>2</v>
      </c>
    </row>
    <row r="691" spans="1:7" x14ac:dyDescent="0.3">
      <c r="A691" s="160">
        <v>679</v>
      </c>
      <c r="B691" s="62">
        <v>589999.9</v>
      </c>
      <c r="C691" s="62">
        <v>99.174809999999994</v>
      </c>
      <c r="D691" s="62">
        <v>-0.30992259999999999</v>
      </c>
      <c r="E691" s="62">
        <v>0</v>
      </c>
      <c r="F691" s="62">
        <v>3</v>
      </c>
      <c r="G691" s="62">
        <v>2</v>
      </c>
    </row>
    <row r="692" spans="1:7" x14ac:dyDescent="0.3">
      <c r="A692" s="160">
        <v>680</v>
      </c>
      <c r="B692" s="62">
        <v>589999.9</v>
      </c>
      <c r="C692" s="62">
        <v>99.073369999999997</v>
      </c>
      <c r="D692" s="62">
        <v>-0.37811669999999997</v>
      </c>
      <c r="E692" s="62">
        <v>0</v>
      </c>
      <c r="F692" s="62">
        <v>3</v>
      </c>
      <c r="G692" s="62">
        <v>2</v>
      </c>
    </row>
    <row r="693" spans="1:7" x14ac:dyDescent="0.3">
      <c r="A693" s="160">
        <v>681</v>
      </c>
      <c r="B693" s="62">
        <v>460000</v>
      </c>
      <c r="C693" s="62">
        <v>99.451620000000005</v>
      </c>
      <c r="D693" s="62">
        <v>-0.52541769999999999</v>
      </c>
      <c r="E693" s="62">
        <v>0</v>
      </c>
      <c r="F693" s="62">
        <v>3</v>
      </c>
      <c r="G693" s="62">
        <v>2</v>
      </c>
    </row>
    <row r="694" spans="1:7" x14ac:dyDescent="0.3">
      <c r="A694" s="160">
        <v>682</v>
      </c>
      <c r="B694" s="62">
        <v>460000</v>
      </c>
      <c r="C694" s="62">
        <v>99.408050000000003</v>
      </c>
      <c r="D694" s="62">
        <v>-0.65182870000000004</v>
      </c>
      <c r="E694" s="62">
        <v>0</v>
      </c>
      <c r="F694" s="62">
        <v>3</v>
      </c>
      <c r="G694" s="62">
        <v>2</v>
      </c>
    </row>
    <row r="695" spans="1:7" x14ac:dyDescent="0.3">
      <c r="A695" s="160">
        <v>683</v>
      </c>
      <c r="B695" s="62">
        <v>460000</v>
      </c>
      <c r="C695" s="62">
        <v>99.347840000000005</v>
      </c>
      <c r="D695" s="62">
        <v>-0.54053790000000002</v>
      </c>
      <c r="E695" s="62">
        <v>0</v>
      </c>
      <c r="F695" s="62">
        <v>3</v>
      </c>
      <c r="G695" s="62">
        <v>2</v>
      </c>
    </row>
    <row r="696" spans="1:7" x14ac:dyDescent="0.3">
      <c r="A696" s="160">
        <v>684</v>
      </c>
      <c r="B696" s="62">
        <v>460000</v>
      </c>
      <c r="C696" s="62">
        <v>99.154259999999994</v>
      </c>
      <c r="D696" s="62">
        <v>-0.52427040000000003</v>
      </c>
      <c r="E696" s="62">
        <v>0</v>
      </c>
      <c r="F696" s="62">
        <v>3</v>
      </c>
      <c r="G696" s="62">
        <v>2</v>
      </c>
    </row>
    <row r="697" spans="1:7" x14ac:dyDescent="0.3">
      <c r="A697" s="160">
        <v>685</v>
      </c>
      <c r="B697" s="62">
        <v>460000</v>
      </c>
      <c r="C697" s="62">
        <v>99.334299999999999</v>
      </c>
      <c r="D697" s="62">
        <v>-0.55230250000000003</v>
      </c>
      <c r="E697" s="62">
        <v>0</v>
      </c>
      <c r="F697" s="62">
        <v>3</v>
      </c>
      <c r="G697" s="62">
        <v>2</v>
      </c>
    </row>
    <row r="698" spans="1:7" x14ac:dyDescent="0.3">
      <c r="A698" s="160">
        <v>686</v>
      </c>
      <c r="B698" s="62">
        <v>460000</v>
      </c>
      <c r="C698" s="62">
        <v>99.338700000000003</v>
      </c>
      <c r="D698" s="62">
        <v>-0.55813360000000001</v>
      </c>
      <c r="E698" s="62">
        <v>0</v>
      </c>
      <c r="F698" s="62">
        <v>3</v>
      </c>
      <c r="G698" s="62">
        <v>2</v>
      </c>
    </row>
    <row r="699" spans="1:7" x14ac:dyDescent="0.3">
      <c r="A699" s="160">
        <v>687</v>
      </c>
      <c r="B699" s="62">
        <v>460000</v>
      </c>
      <c r="C699" s="62">
        <v>99.42774</v>
      </c>
      <c r="D699" s="62">
        <v>-0.50217029999999996</v>
      </c>
      <c r="E699" s="62">
        <v>0</v>
      </c>
      <c r="F699" s="62">
        <v>3</v>
      </c>
      <c r="G699" s="62">
        <v>2</v>
      </c>
    </row>
    <row r="700" spans="1:7" x14ac:dyDescent="0.3">
      <c r="A700" s="160">
        <v>688</v>
      </c>
      <c r="B700" s="62">
        <v>460000</v>
      </c>
      <c r="C700" s="62">
        <v>99.422219999999996</v>
      </c>
      <c r="D700" s="62">
        <v>-0.51598860000000002</v>
      </c>
      <c r="E700" s="62">
        <v>0</v>
      </c>
      <c r="F700" s="62">
        <v>3</v>
      </c>
      <c r="G700" s="62">
        <v>2</v>
      </c>
    </row>
    <row r="701" spans="1:7" x14ac:dyDescent="0.3">
      <c r="A701" s="160">
        <v>689</v>
      </c>
      <c r="B701" s="62">
        <v>460000</v>
      </c>
      <c r="C701" s="62">
        <v>99.338539999999995</v>
      </c>
      <c r="D701" s="62">
        <v>-0.54342100000000004</v>
      </c>
      <c r="E701" s="62">
        <v>0</v>
      </c>
      <c r="F701" s="62">
        <v>3</v>
      </c>
      <c r="G701" s="62">
        <v>2</v>
      </c>
    </row>
    <row r="702" spans="1:7" x14ac:dyDescent="0.3">
      <c r="A702" s="160">
        <v>690</v>
      </c>
      <c r="B702" s="62">
        <v>460000</v>
      </c>
      <c r="C702" s="62">
        <v>99.230149999999995</v>
      </c>
      <c r="D702" s="62">
        <v>-0.52516240000000003</v>
      </c>
      <c r="E702" s="62">
        <v>0</v>
      </c>
      <c r="F702" s="62">
        <v>3</v>
      </c>
      <c r="G702" s="62">
        <v>2</v>
      </c>
    </row>
    <row r="703" spans="1:7" x14ac:dyDescent="0.3">
      <c r="A703" s="160">
        <v>691</v>
      </c>
      <c r="B703" s="62">
        <v>319999.90000000002</v>
      </c>
      <c r="C703" s="62">
        <v>99.641890000000004</v>
      </c>
      <c r="D703" s="62">
        <v>-0.43694450000000001</v>
      </c>
      <c r="E703" s="62">
        <v>0</v>
      </c>
      <c r="F703" s="62">
        <v>3</v>
      </c>
      <c r="G703" s="62">
        <v>2</v>
      </c>
    </row>
    <row r="704" spans="1:7" x14ac:dyDescent="0.3">
      <c r="A704" s="160">
        <v>692</v>
      </c>
      <c r="B704" s="62">
        <v>319999.90000000002</v>
      </c>
      <c r="C704" s="62">
        <v>99.529600000000002</v>
      </c>
      <c r="D704" s="62">
        <v>-0.55357880000000004</v>
      </c>
      <c r="E704" s="62">
        <v>0</v>
      </c>
      <c r="F704" s="62">
        <v>3</v>
      </c>
      <c r="G704" s="62">
        <v>2</v>
      </c>
    </row>
    <row r="705" spans="1:7" x14ac:dyDescent="0.3">
      <c r="A705" s="160">
        <v>693</v>
      </c>
      <c r="B705" s="62">
        <v>319999.90000000002</v>
      </c>
      <c r="C705" s="62">
        <v>99.62567</v>
      </c>
      <c r="D705" s="62">
        <v>-0.55450509999999997</v>
      </c>
      <c r="E705" s="62">
        <v>0</v>
      </c>
      <c r="F705" s="62">
        <v>3</v>
      </c>
      <c r="G705" s="62">
        <v>2</v>
      </c>
    </row>
    <row r="706" spans="1:7" x14ac:dyDescent="0.3">
      <c r="A706" s="160">
        <v>694</v>
      </c>
      <c r="B706" s="62">
        <v>319999.90000000002</v>
      </c>
      <c r="C706" s="62">
        <v>99.657449999999997</v>
      </c>
      <c r="D706" s="62">
        <v>-0.57853869999999996</v>
      </c>
      <c r="E706" s="62">
        <v>0</v>
      </c>
      <c r="F706" s="62">
        <v>3</v>
      </c>
      <c r="G706" s="62">
        <v>2</v>
      </c>
    </row>
    <row r="707" spans="1:7" x14ac:dyDescent="0.3">
      <c r="A707" s="160">
        <v>695</v>
      </c>
      <c r="B707" s="62">
        <v>319999.90000000002</v>
      </c>
      <c r="C707" s="62">
        <v>99.583219999999997</v>
      </c>
      <c r="D707" s="62">
        <v>-0.63918280000000005</v>
      </c>
      <c r="E707" s="62">
        <v>0</v>
      </c>
      <c r="F707" s="62">
        <v>3</v>
      </c>
      <c r="G707" s="62">
        <v>2</v>
      </c>
    </row>
    <row r="708" spans="1:7" x14ac:dyDescent="0.3">
      <c r="A708" s="160">
        <v>696</v>
      </c>
      <c r="B708" s="62">
        <v>319999.90000000002</v>
      </c>
      <c r="C708" s="62">
        <v>99.708320000000001</v>
      </c>
      <c r="D708" s="62">
        <v>-0.58676910000000004</v>
      </c>
      <c r="E708" s="62">
        <v>0</v>
      </c>
      <c r="F708" s="62">
        <v>3</v>
      </c>
      <c r="G708" s="62">
        <v>2</v>
      </c>
    </row>
    <row r="709" spans="1:7" x14ac:dyDescent="0.3">
      <c r="A709" s="160">
        <v>697</v>
      </c>
      <c r="B709" s="62">
        <v>319999.90000000002</v>
      </c>
      <c r="C709" s="62">
        <v>99.679829999999995</v>
      </c>
      <c r="D709" s="62">
        <v>-0.45838489999999998</v>
      </c>
      <c r="E709" s="62">
        <v>0</v>
      </c>
      <c r="F709" s="62">
        <v>3</v>
      </c>
      <c r="G709" s="62">
        <v>2</v>
      </c>
    </row>
    <row r="710" spans="1:7" x14ac:dyDescent="0.3">
      <c r="A710" s="160">
        <v>698</v>
      </c>
      <c r="B710" s="62">
        <v>319999.90000000002</v>
      </c>
      <c r="C710" s="62">
        <v>99.710400000000007</v>
      </c>
      <c r="D710" s="62">
        <v>-0.53198719999999999</v>
      </c>
      <c r="E710" s="62">
        <v>0</v>
      </c>
      <c r="F710" s="62">
        <v>3</v>
      </c>
      <c r="G710" s="62">
        <v>2</v>
      </c>
    </row>
    <row r="711" spans="1:7" x14ac:dyDescent="0.3">
      <c r="A711" s="160">
        <v>699</v>
      </c>
      <c r="B711" s="62">
        <v>319999.90000000002</v>
      </c>
      <c r="C711" s="62">
        <v>99.670479999999998</v>
      </c>
      <c r="D711" s="62">
        <v>-0.4676264</v>
      </c>
      <c r="E711" s="62">
        <v>0</v>
      </c>
      <c r="F711" s="62">
        <v>3</v>
      </c>
      <c r="G711" s="62">
        <v>2</v>
      </c>
    </row>
    <row r="712" spans="1:7" x14ac:dyDescent="0.3">
      <c r="A712" s="160">
        <v>700</v>
      </c>
      <c r="B712" s="62">
        <v>319999.90000000002</v>
      </c>
      <c r="C712" s="62">
        <v>99.663870000000003</v>
      </c>
      <c r="D712" s="62">
        <v>-0.61206190000000005</v>
      </c>
      <c r="E712" s="62">
        <v>0</v>
      </c>
      <c r="F712" s="62">
        <v>3</v>
      </c>
      <c r="G712" s="62">
        <v>2</v>
      </c>
    </row>
    <row r="713" spans="1:7" x14ac:dyDescent="0.3">
      <c r="A713" s="160">
        <v>701</v>
      </c>
      <c r="B713" s="62">
        <v>190000</v>
      </c>
      <c r="C713" s="62">
        <v>100.0376</v>
      </c>
      <c r="D713" s="62">
        <v>-0.44181350000000003</v>
      </c>
      <c r="E713" s="62">
        <v>0</v>
      </c>
      <c r="F713" s="62">
        <v>3</v>
      </c>
      <c r="G713" s="62">
        <v>2</v>
      </c>
    </row>
    <row r="714" spans="1:7" x14ac:dyDescent="0.3">
      <c r="A714" s="160">
        <v>702</v>
      </c>
      <c r="B714" s="62">
        <v>190000</v>
      </c>
      <c r="C714" s="62">
        <v>99.963189999999997</v>
      </c>
      <c r="D714" s="62">
        <v>-0.32442729999999997</v>
      </c>
      <c r="E714" s="62">
        <v>0</v>
      </c>
      <c r="F714" s="62">
        <v>3</v>
      </c>
      <c r="G714" s="62">
        <v>2</v>
      </c>
    </row>
    <row r="715" spans="1:7" x14ac:dyDescent="0.3">
      <c r="A715" s="160">
        <v>703</v>
      </c>
      <c r="B715" s="62">
        <v>190000</v>
      </c>
      <c r="C715" s="62">
        <v>100.0051</v>
      </c>
      <c r="D715" s="62">
        <v>-0.31740940000000001</v>
      </c>
      <c r="E715" s="62">
        <v>0</v>
      </c>
      <c r="F715" s="62">
        <v>3</v>
      </c>
      <c r="G715" s="62">
        <v>2</v>
      </c>
    </row>
    <row r="716" spans="1:7" x14ac:dyDescent="0.3">
      <c r="A716" s="160">
        <v>704</v>
      </c>
      <c r="B716" s="62">
        <v>190000</v>
      </c>
      <c r="C716" s="62">
        <v>100.0801</v>
      </c>
      <c r="D716" s="62">
        <v>-0.32735239999999999</v>
      </c>
      <c r="E716" s="62">
        <v>0</v>
      </c>
      <c r="F716" s="62">
        <v>3</v>
      </c>
      <c r="G716" s="62">
        <v>2</v>
      </c>
    </row>
    <row r="717" spans="1:7" x14ac:dyDescent="0.3">
      <c r="A717" s="160">
        <v>705</v>
      </c>
      <c r="B717" s="62">
        <v>190000</v>
      </c>
      <c r="C717" s="62">
        <v>100.0308</v>
      </c>
      <c r="D717" s="62">
        <v>-0.344385</v>
      </c>
      <c r="E717" s="62">
        <v>0</v>
      </c>
      <c r="F717" s="62">
        <v>3</v>
      </c>
      <c r="G717" s="62">
        <v>2</v>
      </c>
    </row>
    <row r="718" spans="1:7" x14ac:dyDescent="0.3">
      <c r="A718" s="160">
        <v>706</v>
      </c>
      <c r="B718" s="62">
        <v>190000</v>
      </c>
      <c r="C718" s="62">
        <v>99.877529999999993</v>
      </c>
      <c r="D718" s="62">
        <v>-0.30934970000000001</v>
      </c>
      <c r="E718" s="62">
        <v>0</v>
      </c>
      <c r="F718" s="62">
        <v>3</v>
      </c>
      <c r="G718" s="62">
        <v>2</v>
      </c>
    </row>
    <row r="719" spans="1:7" x14ac:dyDescent="0.3">
      <c r="A719" s="160">
        <v>707</v>
      </c>
      <c r="B719" s="62">
        <v>190000</v>
      </c>
      <c r="C719" s="62">
        <v>100.07389999999999</v>
      </c>
      <c r="D719" s="62">
        <v>-0.42078270000000001</v>
      </c>
      <c r="E719" s="62">
        <v>0</v>
      </c>
      <c r="F719" s="62">
        <v>3</v>
      </c>
      <c r="G719" s="62">
        <v>2</v>
      </c>
    </row>
    <row r="720" spans="1:7" x14ac:dyDescent="0.3">
      <c r="A720" s="160">
        <v>708</v>
      </c>
      <c r="B720" s="62">
        <v>190000</v>
      </c>
      <c r="C720" s="62">
        <v>100.2547</v>
      </c>
      <c r="D720" s="62">
        <v>-0.36862070000000002</v>
      </c>
      <c r="E720" s="62">
        <v>0</v>
      </c>
      <c r="F720" s="62">
        <v>3</v>
      </c>
      <c r="G720" s="62">
        <v>2</v>
      </c>
    </row>
    <row r="721" spans="1:7" x14ac:dyDescent="0.3">
      <c r="A721" s="160">
        <v>709</v>
      </c>
      <c r="B721" s="62">
        <v>190000</v>
      </c>
      <c r="C721" s="62">
        <v>100.0308</v>
      </c>
      <c r="D721" s="62">
        <v>-0.31981280000000001</v>
      </c>
      <c r="E721" s="62">
        <v>0</v>
      </c>
      <c r="F721" s="62">
        <v>3</v>
      </c>
      <c r="G721" s="62">
        <v>2</v>
      </c>
    </row>
    <row r="722" spans="1:7" x14ac:dyDescent="0.3">
      <c r="A722" s="160">
        <v>710</v>
      </c>
      <c r="B722" s="62">
        <v>190000</v>
      </c>
      <c r="C722" s="62">
        <v>99.770449999999997</v>
      </c>
      <c r="D722" s="62">
        <v>-0.3622725</v>
      </c>
      <c r="E722" s="62">
        <v>0</v>
      </c>
      <c r="F722" s="62">
        <v>3</v>
      </c>
      <c r="G722" s="62">
        <v>2</v>
      </c>
    </row>
    <row r="723" spans="1:7" x14ac:dyDescent="0.3">
      <c r="A723" s="160">
        <v>711</v>
      </c>
      <c r="B723" s="62">
        <v>50999.97</v>
      </c>
      <c r="C723" s="62">
        <v>100.26349999999999</v>
      </c>
      <c r="D723" s="62">
        <v>-0.1061549</v>
      </c>
      <c r="E723" s="62">
        <v>0</v>
      </c>
      <c r="F723" s="62">
        <v>3</v>
      </c>
      <c r="G723" s="62">
        <v>2</v>
      </c>
    </row>
    <row r="724" spans="1:7" x14ac:dyDescent="0.3">
      <c r="A724" s="160">
        <v>712</v>
      </c>
      <c r="B724" s="62">
        <v>50999.97</v>
      </c>
      <c r="C724" s="62">
        <v>100.2771</v>
      </c>
      <c r="D724" s="62">
        <v>-0.1058641</v>
      </c>
      <c r="E724" s="62">
        <v>0</v>
      </c>
      <c r="F724" s="62">
        <v>3</v>
      </c>
      <c r="G724" s="62">
        <v>2</v>
      </c>
    </row>
    <row r="725" spans="1:7" x14ac:dyDescent="0.3">
      <c r="A725" s="160">
        <v>713</v>
      </c>
      <c r="B725" s="62">
        <v>50999.97</v>
      </c>
      <c r="C725" s="62">
        <v>100.24</v>
      </c>
      <c r="D725" s="62">
        <v>-0.1116018</v>
      </c>
      <c r="E725" s="62">
        <v>0</v>
      </c>
      <c r="F725" s="62">
        <v>3</v>
      </c>
      <c r="G725" s="62">
        <v>2</v>
      </c>
    </row>
    <row r="726" spans="1:7" x14ac:dyDescent="0.3">
      <c r="A726" s="160">
        <v>714</v>
      </c>
      <c r="B726" s="62">
        <v>50999.97</v>
      </c>
      <c r="C726" s="62">
        <v>100.2426</v>
      </c>
      <c r="D726" s="62">
        <v>-0.10193000000000001</v>
      </c>
      <c r="E726" s="62">
        <v>0</v>
      </c>
      <c r="F726" s="62">
        <v>3</v>
      </c>
      <c r="G726" s="62">
        <v>2</v>
      </c>
    </row>
    <row r="727" spans="1:7" x14ac:dyDescent="0.3">
      <c r="A727" s="160">
        <v>715</v>
      </c>
      <c r="B727" s="62">
        <v>50999.97</v>
      </c>
      <c r="C727" s="62">
        <v>100.25660000000001</v>
      </c>
      <c r="D727" s="62">
        <v>-0.10381890000000001</v>
      </c>
      <c r="E727" s="62">
        <v>0</v>
      </c>
      <c r="F727" s="62">
        <v>3</v>
      </c>
      <c r="G727" s="62">
        <v>2</v>
      </c>
    </row>
    <row r="728" spans="1:7" x14ac:dyDescent="0.3">
      <c r="A728" s="160">
        <v>716</v>
      </c>
      <c r="B728" s="62">
        <v>50999.97</v>
      </c>
      <c r="C728" s="62">
        <v>100.2443</v>
      </c>
      <c r="D728" s="62">
        <v>-0.10634299999999999</v>
      </c>
      <c r="E728" s="62">
        <v>0</v>
      </c>
      <c r="F728" s="62">
        <v>3</v>
      </c>
      <c r="G728" s="62">
        <v>2</v>
      </c>
    </row>
    <row r="729" spans="1:7" x14ac:dyDescent="0.3">
      <c r="A729" s="160">
        <v>717</v>
      </c>
      <c r="B729" s="62">
        <v>50999.97</v>
      </c>
      <c r="C729" s="62">
        <v>100.2501</v>
      </c>
      <c r="D729" s="62">
        <v>-0.1136108</v>
      </c>
      <c r="E729" s="62">
        <v>0</v>
      </c>
      <c r="F729" s="62">
        <v>3</v>
      </c>
      <c r="G729" s="62">
        <v>2</v>
      </c>
    </row>
    <row r="730" spans="1:7" x14ac:dyDescent="0.3">
      <c r="A730" s="160">
        <v>718</v>
      </c>
      <c r="B730" s="62">
        <v>50999.97</v>
      </c>
      <c r="C730" s="62">
        <v>100.2595</v>
      </c>
      <c r="D730" s="62">
        <v>-0.1062723</v>
      </c>
      <c r="E730" s="62">
        <v>0</v>
      </c>
      <c r="F730" s="62">
        <v>3</v>
      </c>
      <c r="G730" s="62">
        <v>2</v>
      </c>
    </row>
    <row r="731" spans="1:7" x14ac:dyDescent="0.3">
      <c r="A731" s="160">
        <v>719</v>
      </c>
      <c r="B731" s="62">
        <v>50999.97</v>
      </c>
      <c r="C731" s="62">
        <v>100.2561</v>
      </c>
      <c r="D731" s="62">
        <v>-0.1010379</v>
      </c>
      <c r="E731" s="62">
        <v>0</v>
      </c>
      <c r="F731" s="62">
        <v>3</v>
      </c>
      <c r="G731" s="62">
        <v>2</v>
      </c>
    </row>
    <row r="732" spans="1:7" x14ac:dyDescent="0.3">
      <c r="A732" s="160">
        <v>720</v>
      </c>
      <c r="B732" s="62">
        <v>50999.97</v>
      </c>
      <c r="C732" s="62">
        <v>100.2482</v>
      </c>
      <c r="D732" s="62">
        <v>-0.1049664</v>
      </c>
      <c r="E732" s="62">
        <v>0</v>
      </c>
      <c r="F732" s="62">
        <v>3</v>
      </c>
      <c r="G732" s="62">
        <v>2</v>
      </c>
    </row>
    <row r="733" spans="1:7" x14ac:dyDescent="0.3">
      <c r="A733" s="160">
        <v>721</v>
      </c>
      <c r="B733" s="62">
        <v>1000000</v>
      </c>
      <c r="C733" s="62">
        <v>99.735789999999994</v>
      </c>
      <c r="D733" s="62">
        <v>4.8333570000000003</v>
      </c>
      <c r="E733" s="62">
        <v>0</v>
      </c>
      <c r="F733" s="62">
        <v>10</v>
      </c>
      <c r="G733" s="62">
        <v>2</v>
      </c>
    </row>
    <row r="734" spans="1:7" x14ac:dyDescent="0.3">
      <c r="A734" s="160">
        <v>722</v>
      </c>
      <c r="B734" s="62">
        <v>1000000</v>
      </c>
      <c r="C734" s="62">
        <v>99.674490000000006</v>
      </c>
      <c r="D734" s="62">
        <v>4.7246509999999997</v>
      </c>
      <c r="E734" s="62">
        <v>0</v>
      </c>
      <c r="F734" s="62">
        <v>10</v>
      </c>
      <c r="G734" s="62">
        <v>2</v>
      </c>
    </row>
    <row r="735" spans="1:7" x14ac:dyDescent="0.3">
      <c r="A735" s="160">
        <v>723</v>
      </c>
      <c r="B735" s="62">
        <v>1000000</v>
      </c>
      <c r="C735" s="62">
        <v>99.694749999999999</v>
      </c>
      <c r="D735" s="62">
        <v>4.7343349999999997</v>
      </c>
      <c r="E735" s="62">
        <v>0</v>
      </c>
      <c r="F735" s="62">
        <v>10</v>
      </c>
      <c r="G735" s="62">
        <v>2</v>
      </c>
    </row>
    <row r="736" spans="1:7" x14ac:dyDescent="0.3">
      <c r="A736" s="160">
        <v>724</v>
      </c>
      <c r="B736" s="62">
        <v>1000000</v>
      </c>
      <c r="C736" s="62">
        <v>99.625420000000005</v>
      </c>
      <c r="D736" s="62">
        <v>4.73271</v>
      </c>
      <c r="E736" s="62">
        <v>0</v>
      </c>
      <c r="F736" s="62">
        <v>10</v>
      </c>
      <c r="G736" s="62">
        <v>2</v>
      </c>
    </row>
    <row r="737" spans="1:7" x14ac:dyDescent="0.3">
      <c r="A737" s="160">
        <v>725</v>
      </c>
      <c r="B737" s="62">
        <v>1000000</v>
      </c>
      <c r="C737" s="62">
        <v>99.632540000000006</v>
      </c>
      <c r="D737" s="62">
        <v>4.6831060000000004</v>
      </c>
      <c r="E737" s="62">
        <v>0</v>
      </c>
      <c r="F737" s="62">
        <v>10</v>
      </c>
      <c r="G737" s="62">
        <v>2</v>
      </c>
    </row>
    <row r="738" spans="1:7" x14ac:dyDescent="0.3">
      <c r="A738" s="160">
        <v>726</v>
      </c>
      <c r="B738" s="62">
        <v>1000000</v>
      </c>
      <c r="C738" s="62">
        <v>99.659949999999995</v>
      </c>
      <c r="D738" s="62">
        <v>4.8100480000000001</v>
      </c>
      <c r="E738" s="62">
        <v>0</v>
      </c>
      <c r="F738" s="62">
        <v>10</v>
      </c>
      <c r="G738" s="62">
        <v>2</v>
      </c>
    </row>
    <row r="739" spans="1:7" x14ac:dyDescent="0.3">
      <c r="A739" s="160">
        <v>727</v>
      </c>
      <c r="B739" s="62">
        <v>1000000</v>
      </c>
      <c r="C739" s="62">
        <v>99.69247</v>
      </c>
      <c r="D739" s="62">
        <v>4.6584349999999999</v>
      </c>
      <c r="E739" s="62">
        <v>0</v>
      </c>
      <c r="F739" s="62">
        <v>10</v>
      </c>
      <c r="G739" s="62">
        <v>2</v>
      </c>
    </row>
    <row r="740" spans="1:7" x14ac:dyDescent="0.3">
      <c r="A740" s="160">
        <v>728</v>
      </c>
      <c r="B740" s="62">
        <v>1000000</v>
      </c>
      <c r="C740" s="62">
        <v>99.759889999999999</v>
      </c>
      <c r="D740" s="62">
        <v>4.7058359999999997</v>
      </c>
      <c r="E740" s="62">
        <v>0</v>
      </c>
      <c r="F740" s="62">
        <v>10</v>
      </c>
      <c r="G740" s="62">
        <v>2</v>
      </c>
    </row>
    <row r="741" spans="1:7" x14ac:dyDescent="0.3">
      <c r="A741" s="160">
        <v>729</v>
      </c>
      <c r="B741" s="62">
        <v>1000000</v>
      </c>
      <c r="C741" s="62">
        <v>99.664169999999999</v>
      </c>
      <c r="D741" s="62">
        <v>4.7352069999999999</v>
      </c>
      <c r="E741" s="62">
        <v>0</v>
      </c>
      <c r="F741" s="62">
        <v>10</v>
      </c>
      <c r="G741" s="62">
        <v>2</v>
      </c>
    </row>
    <row r="742" spans="1:7" x14ac:dyDescent="0.3">
      <c r="A742" s="160">
        <v>730</v>
      </c>
      <c r="B742" s="62">
        <v>1000000</v>
      </c>
      <c r="C742" s="62">
        <v>99.687340000000006</v>
      </c>
      <c r="D742" s="62">
        <v>4.7479189999999996</v>
      </c>
      <c r="E742" s="62">
        <v>0</v>
      </c>
      <c r="F742" s="62">
        <v>10</v>
      </c>
      <c r="G742" s="62">
        <v>2</v>
      </c>
    </row>
    <row r="743" spans="1:7" x14ac:dyDescent="0.3">
      <c r="A743" s="160">
        <v>731</v>
      </c>
      <c r="B743" s="62">
        <v>859999.9</v>
      </c>
      <c r="C743" s="62">
        <v>98.80341</v>
      </c>
      <c r="D743" s="62">
        <v>3.5637120000000002</v>
      </c>
      <c r="E743" s="62">
        <v>0</v>
      </c>
      <c r="F743" s="62">
        <v>10</v>
      </c>
      <c r="G743" s="62">
        <v>2</v>
      </c>
    </row>
    <row r="744" spans="1:7" x14ac:dyDescent="0.3">
      <c r="A744" s="160">
        <v>732</v>
      </c>
      <c r="B744" s="62">
        <v>859999.9</v>
      </c>
      <c r="C744" s="62">
        <v>98.918940000000006</v>
      </c>
      <c r="D744" s="62">
        <v>3.5935800000000002</v>
      </c>
      <c r="E744" s="62">
        <v>0</v>
      </c>
      <c r="F744" s="62">
        <v>10</v>
      </c>
      <c r="G744" s="62">
        <v>2</v>
      </c>
    </row>
    <row r="745" spans="1:7" x14ac:dyDescent="0.3">
      <c r="A745" s="160">
        <v>733</v>
      </c>
      <c r="B745" s="62">
        <v>859999.9</v>
      </c>
      <c r="C745" s="62">
        <v>98.922250000000005</v>
      </c>
      <c r="D745" s="62">
        <v>3.59091</v>
      </c>
      <c r="E745" s="62">
        <v>0</v>
      </c>
      <c r="F745" s="62">
        <v>10</v>
      </c>
      <c r="G745" s="62">
        <v>2</v>
      </c>
    </row>
    <row r="746" spans="1:7" x14ac:dyDescent="0.3">
      <c r="A746" s="160">
        <v>734</v>
      </c>
      <c r="B746" s="62">
        <v>859999.9</v>
      </c>
      <c r="C746" s="62">
        <v>98.909790000000001</v>
      </c>
      <c r="D746" s="62">
        <v>3.6542870000000001</v>
      </c>
      <c r="E746" s="62">
        <v>0</v>
      </c>
      <c r="F746" s="62">
        <v>10</v>
      </c>
      <c r="G746" s="62">
        <v>2</v>
      </c>
    </row>
    <row r="747" spans="1:7" x14ac:dyDescent="0.3">
      <c r="A747" s="160">
        <v>735</v>
      </c>
      <c r="B747" s="62">
        <v>859999.9</v>
      </c>
      <c r="C747" s="62">
        <v>98.923410000000004</v>
      </c>
      <c r="D747" s="62">
        <v>3.593442</v>
      </c>
      <c r="E747" s="62">
        <v>0</v>
      </c>
      <c r="F747" s="62">
        <v>10</v>
      </c>
      <c r="G747" s="62">
        <v>2</v>
      </c>
    </row>
    <row r="748" spans="1:7" x14ac:dyDescent="0.3">
      <c r="A748" s="160">
        <v>736</v>
      </c>
      <c r="B748" s="62">
        <v>859999.9</v>
      </c>
      <c r="C748" s="62">
        <v>98.922269999999997</v>
      </c>
      <c r="D748" s="62">
        <v>3.6425260000000002</v>
      </c>
      <c r="E748" s="62">
        <v>0</v>
      </c>
      <c r="F748" s="62">
        <v>10</v>
      </c>
      <c r="G748" s="62">
        <v>2</v>
      </c>
    </row>
    <row r="749" spans="1:7" x14ac:dyDescent="0.3">
      <c r="A749" s="160">
        <v>737</v>
      </c>
      <c r="B749" s="62">
        <v>859999.9</v>
      </c>
      <c r="C749" s="62">
        <v>98.98321</v>
      </c>
      <c r="D749" s="62">
        <v>3.6348690000000001</v>
      </c>
      <c r="E749" s="62">
        <v>0</v>
      </c>
      <c r="F749" s="62">
        <v>10</v>
      </c>
      <c r="G749" s="62">
        <v>2</v>
      </c>
    </row>
    <row r="750" spans="1:7" x14ac:dyDescent="0.3">
      <c r="A750" s="160">
        <v>738</v>
      </c>
      <c r="B750" s="62">
        <v>859999.9</v>
      </c>
      <c r="C750" s="62">
        <v>98.928740000000005</v>
      </c>
      <c r="D750" s="62">
        <v>3.6040320000000001</v>
      </c>
      <c r="E750" s="62">
        <v>0</v>
      </c>
      <c r="F750" s="62">
        <v>10</v>
      </c>
      <c r="G750" s="62">
        <v>2</v>
      </c>
    </row>
    <row r="751" spans="1:7" x14ac:dyDescent="0.3">
      <c r="A751" s="160">
        <v>739</v>
      </c>
      <c r="B751" s="62">
        <v>859999.9</v>
      </c>
      <c r="C751" s="62">
        <v>98.956270000000004</v>
      </c>
      <c r="D751" s="62">
        <v>3.6420689999999998</v>
      </c>
      <c r="E751" s="62">
        <v>0</v>
      </c>
      <c r="F751" s="62">
        <v>10</v>
      </c>
      <c r="G751" s="62">
        <v>2</v>
      </c>
    </row>
    <row r="752" spans="1:7" x14ac:dyDescent="0.3">
      <c r="A752" s="160">
        <v>740</v>
      </c>
      <c r="B752" s="62">
        <v>859999.9</v>
      </c>
      <c r="C752" s="62">
        <v>98.926140000000004</v>
      </c>
      <c r="D752" s="62">
        <v>3.588641</v>
      </c>
      <c r="E752" s="62">
        <v>0</v>
      </c>
      <c r="F752" s="62">
        <v>10</v>
      </c>
      <c r="G752" s="62">
        <v>2</v>
      </c>
    </row>
    <row r="753" spans="1:7" x14ac:dyDescent="0.3">
      <c r="A753" s="160">
        <v>741</v>
      </c>
      <c r="B753" s="62">
        <v>730000</v>
      </c>
      <c r="C753" s="62">
        <v>98.515379999999993</v>
      </c>
      <c r="D753" s="62">
        <v>2.6547529999999999</v>
      </c>
      <c r="E753" s="62">
        <v>0</v>
      </c>
      <c r="F753" s="62">
        <v>10</v>
      </c>
      <c r="G753" s="62">
        <v>2</v>
      </c>
    </row>
    <row r="754" spans="1:7" x14ac:dyDescent="0.3">
      <c r="A754" s="160">
        <v>742</v>
      </c>
      <c r="B754" s="62">
        <v>730000</v>
      </c>
      <c r="C754" s="62">
        <v>98.50506</v>
      </c>
      <c r="D754" s="62">
        <v>2.6556320000000002</v>
      </c>
      <c r="E754" s="62">
        <v>0</v>
      </c>
      <c r="F754" s="62">
        <v>10</v>
      </c>
      <c r="G754" s="62">
        <v>2</v>
      </c>
    </row>
    <row r="755" spans="1:7" x14ac:dyDescent="0.3">
      <c r="A755" s="160">
        <v>743</v>
      </c>
      <c r="B755" s="62">
        <v>730000</v>
      </c>
      <c r="C755" s="62">
        <v>98.487309999999994</v>
      </c>
      <c r="D755" s="62">
        <v>2.7176990000000001</v>
      </c>
      <c r="E755" s="62">
        <v>0</v>
      </c>
      <c r="F755" s="62">
        <v>10</v>
      </c>
      <c r="G755" s="62">
        <v>2</v>
      </c>
    </row>
    <row r="756" spans="1:7" x14ac:dyDescent="0.3">
      <c r="A756" s="160">
        <v>744</v>
      </c>
      <c r="B756" s="62">
        <v>730000</v>
      </c>
      <c r="C756" s="62">
        <v>98.464510000000004</v>
      </c>
      <c r="D756" s="62">
        <v>2.6004339999999999</v>
      </c>
      <c r="E756" s="62">
        <v>0</v>
      </c>
      <c r="F756" s="62">
        <v>10</v>
      </c>
      <c r="G756" s="62">
        <v>2</v>
      </c>
    </row>
    <row r="757" spans="1:7" x14ac:dyDescent="0.3">
      <c r="A757" s="160">
        <v>745</v>
      </c>
      <c r="B757" s="62">
        <v>730000</v>
      </c>
      <c r="C757" s="62">
        <v>98.508080000000007</v>
      </c>
      <c r="D757" s="62">
        <v>2.5974789999999999</v>
      </c>
      <c r="E757" s="62">
        <v>0</v>
      </c>
      <c r="F757" s="62">
        <v>10</v>
      </c>
      <c r="G757" s="62">
        <v>2</v>
      </c>
    </row>
    <row r="758" spans="1:7" x14ac:dyDescent="0.3">
      <c r="A758" s="160">
        <v>746</v>
      </c>
      <c r="B758" s="62">
        <v>730000</v>
      </c>
      <c r="C758" s="62">
        <v>98.446709999999996</v>
      </c>
      <c r="D758" s="62">
        <v>2.7146919999999999</v>
      </c>
      <c r="E758" s="62">
        <v>0</v>
      </c>
      <c r="F758" s="62">
        <v>10</v>
      </c>
      <c r="G758" s="62">
        <v>2</v>
      </c>
    </row>
    <row r="759" spans="1:7" x14ac:dyDescent="0.3">
      <c r="A759" s="160">
        <v>747</v>
      </c>
      <c r="B759" s="62">
        <v>730000</v>
      </c>
      <c r="C759" s="62">
        <v>98.515090000000001</v>
      </c>
      <c r="D759" s="62">
        <v>2.6622490000000001</v>
      </c>
      <c r="E759" s="62">
        <v>0</v>
      </c>
      <c r="F759" s="62">
        <v>10</v>
      </c>
      <c r="G759" s="62">
        <v>2</v>
      </c>
    </row>
    <row r="760" spans="1:7" x14ac:dyDescent="0.3">
      <c r="A760" s="160">
        <v>748</v>
      </c>
      <c r="B760" s="62">
        <v>730000</v>
      </c>
      <c r="C760" s="62">
        <v>98.612229999999997</v>
      </c>
      <c r="D760" s="62">
        <v>2.6638519999999999</v>
      </c>
      <c r="E760" s="62">
        <v>0</v>
      </c>
      <c r="F760" s="62">
        <v>10</v>
      </c>
      <c r="G760" s="62">
        <v>2</v>
      </c>
    </row>
    <row r="761" spans="1:7" x14ac:dyDescent="0.3">
      <c r="A761" s="160">
        <v>749</v>
      </c>
      <c r="B761" s="62">
        <v>730000</v>
      </c>
      <c r="C761" s="62">
        <v>98.415109999999999</v>
      </c>
      <c r="D761" s="62">
        <v>2.6807639999999999</v>
      </c>
      <c r="E761" s="62">
        <v>0</v>
      </c>
      <c r="F761" s="62">
        <v>10</v>
      </c>
      <c r="G761" s="62">
        <v>2</v>
      </c>
    </row>
    <row r="762" spans="1:7" x14ac:dyDescent="0.3">
      <c r="A762" s="160">
        <v>750</v>
      </c>
      <c r="B762" s="62">
        <v>730000</v>
      </c>
      <c r="C762" s="62">
        <v>98.497069999999994</v>
      </c>
      <c r="D762" s="62">
        <v>2.6601900000000001</v>
      </c>
      <c r="E762" s="62">
        <v>0</v>
      </c>
      <c r="F762" s="62">
        <v>10</v>
      </c>
      <c r="G762" s="62">
        <v>2</v>
      </c>
    </row>
    <row r="763" spans="1:7" x14ac:dyDescent="0.3">
      <c r="A763" s="160">
        <v>751</v>
      </c>
      <c r="B763" s="62">
        <v>589999.9</v>
      </c>
      <c r="C763" s="62">
        <v>98.4131</v>
      </c>
      <c r="D763" s="62">
        <v>1.805742</v>
      </c>
      <c r="E763" s="62">
        <v>0</v>
      </c>
      <c r="F763" s="62">
        <v>10</v>
      </c>
      <c r="G763" s="62">
        <v>2</v>
      </c>
    </row>
    <row r="764" spans="1:7" x14ac:dyDescent="0.3">
      <c r="A764" s="160">
        <v>752</v>
      </c>
      <c r="B764" s="62">
        <v>589999.9</v>
      </c>
      <c r="C764" s="62">
        <v>98.301540000000003</v>
      </c>
      <c r="D764" s="62">
        <v>1.7246520000000001</v>
      </c>
      <c r="E764" s="62">
        <v>0</v>
      </c>
      <c r="F764" s="62">
        <v>10</v>
      </c>
      <c r="G764" s="62">
        <v>2</v>
      </c>
    </row>
    <row r="765" spans="1:7" x14ac:dyDescent="0.3">
      <c r="A765" s="160">
        <v>753</v>
      </c>
      <c r="B765" s="62">
        <v>589999.9</v>
      </c>
      <c r="C765" s="62">
        <v>98.325379999999996</v>
      </c>
      <c r="D765" s="62">
        <v>1.8743129999999999</v>
      </c>
      <c r="E765" s="62">
        <v>0</v>
      </c>
      <c r="F765" s="62">
        <v>10</v>
      </c>
      <c r="G765" s="62">
        <v>2</v>
      </c>
    </row>
    <row r="766" spans="1:7" x14ac:dyDescent="0.3">
      <c r="A766" s="160">
        <v>754</v>
      </c>
      <c r="B766" s="62">
        <v>589999.9</v>
      </c>
      <c r="C766" s="62">
        <v>98.379480000000001</v>
      </c>
      <c r="D766" s="62">
        <v>1.7725919999999999</v>
      </c>
      <c r="E766" s="62">
        <v>0</v>
      </c>
      <c r="F766" s="62">
        <v>10</v>
      </c>
      <c r="G766" s="62">
        <v>2</v>
      </c>
    </row>
    <row r="767" spans="1:7" x14ac:dyDescent="0.3">
      <c r="A767" s="160">
        <v>755</v>
      </c>
      <c r="B767" s="62">
        <v>589999.9</v>
      </c>
      <c r="C767" s="62">
        <v>98.221190000000007</v>
      </c>
      <c r="D767" s="62">
        <v>1.7996939999999999</v>
      </c>
      <c r="E767" s="62">
        <v>0</v>
      </c>
      <c r="F767" s="62">
        <v>10</v>
      </c>
      <c r="G767" s="62">
        <v>2</v>
      </c>
    </row>
    <row r="768" spans="1:7" x14ac:dyDescent="0.3">
      <c r="A768" s="160">
        <v>756</v>
      </c>
      <c r="B768" s="62">
        <v>589999.9</v>
      </c>
      <c r="C768" s="62">
        <v>98.391819999999996</v>
      </c>
      <c r="D768" s="62">
        <v>1.710817</v>
      </c>
      <c r="E768" s="62">
        <v>0</v>
      </c>
      <c r="F768" s="62">
        <v>10</v>
      </c>
      <c r="G768" s="62">
        <v>2</v>
      </c>
    </row>
    <row r="769" spans="1:7" x14ac:dyDescent="0.3">
      <c r="A769" s="160">
        <v>757</v>
      </c>
      <c r="B769" s="62">
        <v>589999.9</v>
      </c>
      <c r="C769" s="62">
        <v>98.359099999999998</v>
      </c>
      <c r="D769" s="62">
        <v>1.7947759999999999</v>
      </c>
      <c r="E769" s="62">
        <v>0</v>
      </c>
      <c r="F769" s="62">
        <v>10</v>
      </c>
      <c r="G769" s="62">
        <v>2</v>
      </c>
    </row>
    <row r="770" spans="1:7" x14ac:dyDescent="0.3">
      <c r="A770" s="160">
        <v>758</v>
      </c>
      <c r="B770" s="62">
        <v>589999.9</v>
      </c>
      <c r="C770" s="62">
        <v>98.424019999999999</v>
      </c>
      <c r="D770" s="62">
        <v>1.705222</v>
      </c>
      <c r="E770" s="62">
        <v>0</v>
      </c>
      <c r="F770" s="62">
        <v>10</v>
      </c>
      <c r="G770" s="62">
        <v>2</v>
      </c>
    </row>
    <row r="771" spans="1:7" x14ac:dyDescent="0.3">
      <c r="A771" s="160">
        <v>759</v>
      </c>
      <c r="B771" s="62">
        <v>589999.9</v>
      </c>
      <c r="C771" s="62">
        <v>98.365099999999998</v>
      </c>
      <c r="D771" s="62">
        <v>1.769409</v>
      </c>
      <c r="E771" s="62">
        <v>0</v>
      </c>
      <c r="F771" s="62">
        <v>10</v>
      </c>
      <c r="G771" s="62">
        <v>2</v>
      </c>
    </row>
    <row r="772" spans="1:7" x14ac:dyDescent="0.3">
      <c r="A772" s="160">
        <v>760</v>
      </c>
      <c r="B772" s="62">
        <v>589999.9</v>
      </c>
      <c r="C772" s="62">
        <v>98.386579999999995</v>
      </c>
      <c r="D772" s="62">
        <v>1.8152410000000001</v>
      </c>
      <c r="E772" s="62">
        <v>0</v>
      </c>
      <c r="F772" s="62">
        <v>10</v>
      </c>
      <c r="G772" s="62">
        <v>2</v>
      </c>
    </row>
    <row r="773" spans="1:7" x14ac:dyDescent="0.3">
      <c r="A773" s="160">
        <v>761</v>
      </c>
      <c r="B773" s="62">
        <v>460000</v>
      </c>
      <c r="C773" s="62">
        <v>98.463610000000003</v>
      </c>
      <c r="D773" s="62">
        <v>1.114277</v>
      </c>
      <c r="E773" s="62">
        <v>0</v>
      </c>
      <c r="F773" s="62">
        <v>10</v>
      </c>
      <c r="G773" s="62">
        <v>2</v>
      </c>
    </row>
    <row r="774" spans="1:7" x14ac:dyDescent="0.3">
      <c r="A774" s="160">
        <v>762</v>
      </c>
      <c r="B774" s="62">
        <v>460000</v>
      </c>
      <c r="C774" s="62">
        <v>98.317340000000002</v>
      </c>
      <c r="D774" s="62">
        <v>1.1738299999999999</v>
      </c>
      <c r="E774" s="62">
        <v>0</v>
      </c>
      <c r="F774" s="62">
        <v>10</v>
      </c>
      <c r="G774" s="62">
        <v>2</v>
      </c>
    </row>
    <row r="775" spans="1:7" x14ac:dyDescent="0.3">
      <c r="A775" s="160">
        <v>763</v>
      </c>
      <c r="B775" s="62">
        <v>460000</v>
      </c>
      <c r="C775" s="62">
        <v>98.470709999999997</v>
      </c>
      <c r="D775" s="62">
        <v>1.1151089999999999</v>
      </c>
      <c r="E775" s="62">
        <v>0</v>
      </c>
      <c r="F775" s="62">
        <v>10</v>
      </c>
      <c r="G775" s="62">
        <v>2</v>
      </c>
    </row>
    <row r="776" spans="1:7" x14ac:dyDescent="0.3">
      <c r="A776" s="160">
        <v>764</v>
      </c>
      <c r="B776" s="62">
        <v>460000</v>
      </c>
      <c r="C776" s="62">
        <v>98.429869999999994</v>
      </c>
      <c r="D776" s="62">
        <v>1.164398</v>
      </c>
      <c r="E776" s="62">
        <v>0</v>
      </c>
      <c r="F776" s="62">
        <v>10</v>
      </c>
      <c r="G776" s="62">
        <v>2</v>
      </c>
    </row>
    <row r="777" spans="1:7" x14ac:dyDescent="0.3">
      <c r="A777" s="160">
        <v>765</v>
      </c>
      <c r="B777" s="62">
        <v>460000</v>
      </c>
      <c r="C777" s="62">
        <v>98.413730000000001</v>
      </c>
      <c r="D777" s="62">
        <v>1.128644</v>
      </c>
      <c r="E777" s="62">
        <v>0</v>
      </c>
      <c r="F777" s="62">
        <v>10</v>
      </c>
      <c r="G777" s="62">
        <v>2</v>
      </c>
    </row>
    <row r="778" spans="1:7" x14ac:dyDescent="0.3">
      <c r="A778" s="160">
        <v>766</v>
      </c>
      <c r="B778" s="62">
        <v>460000</v>
      </c>
      <c r="C778" s="62">
        <v>98.463130000000007</v>
      </c>
      <c r="D778" s="62">
        <v>1.2223999999999999</v>
      </c>
      <c r="E778" s="62">
        <v>0</v>
      </c>
      <c r="F778" s="62">
        <v>10</v>
      </c>
      <c r="G778" s="62">
        <v>2</v>
      </c>
    </row>
    <row r="779" spans="1:7" x14ac:dyDescent="0.3">
      <c r="A779" s="160">
        <v>767</v>
      </c>
      <c r="B779" s="62">
        <v>460000</v>
      </c>
      <c r="C779" s="62">
        <v>98.443470000000005</v>
      </c>
      <c r="D779" s="62">
        <v>1.178061</v>
      </c>
      <c r="E779" s="62">
        <v>0</v>
      </c>
      <c r="F779" s="62">
        <v>10</v>
      </c>
      <c r="G779" s="62">
        <v>2</v>
      </c>
    </row>
    <row r="780" spans="1:7" x14ac:dyDescent="0.3">
      <c r="A780" s="160">
        <v>768</v>
      </c>
      <c r="B780" s="62">
        <v>460000</v>
      </c>
      <c r="C780" s="62">
        <v>98.321299999999994</v>
      </c>
      <c r="D780" s="62">
        <v>1.21085</v>
      </c>
      <c r="E780" s="62">
        <v>0</v>
      </c>
      <c r="F780" s="62">
        <v>10</v>
      </c>
      <c r="G780" s="62">
        <v>2</v>
      </c>
    </row>
    <row r="781" spans="1:7" x14ac:dyDescent="0.3">
      <c r="A781" s="160">
        <v>769</v>
      </c>
      <c r="B781" s="62">
        <v>460000</v>
      </c>
      <c r="C781" s="62">
        <v>98.488849999999999</v>
      </c>
      <c r="D781" s="62">
        <v>1.1460509999999999</v>
      </c>
      <c r="E781" s="62">
        <v>0</v>
      </c>
      <c r="F781" s="62">
        <v>10</v>
      </c>
      <c r="G781" s="62">
        <v>2</v>
      </c>
    </row>
    <row r="782" spans="1:7" x14ac:dyDescent="0.3">
      <c r="A782" s="160">
        <v>770</v>
      </c>
      <c r="B782" s="62">
        <v>460000</v>
      </c>
      <c r="C782" s="62">
        <v>98.530240000000006</v>
      </c>
      <c r="D782" s="62">
        <v>1.173902</v>
      </c>
      <c r="E782" s="62">
        <v>0</v>
      </c>
      <c r="F782" s="62">
        <v>10</v>
      </c>
      <c r="G782" s="62">
        <v>2</v>
      </c>
    </row>
    <row r="783" spans="1:7" x14ac:dyDescent="0.3">
      <c r="A783" s="160">
        <v>771</v>
      </c>
      <c r="B783" s="62">
        <v>319999.90000000002</v>
      </c>
      <c r="C783" s="62">
        <v>98.722300000000004</v>
      </c>
      <c r="D783" s="62">
        <v>0.68302759999999996</v>
      </c>
      <c r="E783" s="62">
        <v>0</v>
      </c>
      <c r="F783" s="62">
        <v>10</v>
      </c>
      <c r="G783" s="62">
        <v>2</v>
      </c>
    </row>
    <row r="784" spans="1:7" x14ac:dyDescent="0.3">
      <c r="A784" s="160">
        <v>772</v>
      </c>
      <c r="B784" s="62">
        <v>319999.90000000002</v>
      </c>
      <c r="C784" s="62">
        <v>98.709159999999997</v>
      </c>
      <c r="D784" s="62">
        <v>0.5958599</v>
      </c>
      <c r="E784" s="62">
        <v>0</v>
      </c>
      <c r="F784" s="62">
        <v>10</v>
      </c>
      <c r="G784" s="62">
        <v>2</v>
      </c>
    </row>
    <row r="785" spans="1:7" x14ac:dyDescent="0.3">
      <c r="A785" s="160">
        <v>773</v>
      </c>
      <c r="B785" s="62">
        <v>319999.90000000002</v>
      </c>
      <c r="C785" s="62">
        <v>98.687209999999993</v>
      </c>
      <c r="D785" s="62">
        <v>0.60538449999999999</v>
      </c>
      <c r="E785" s="62">
        <v>0</v>
      </c>
      <c r="F785" s="62">
        <v>10</v>
      </c>
      <c r="G785" s="62">
        <v>2</v>
      </c>
    </row>
    <row r="786" spans="1:7" x14ac:dyDescent="0.3">
      <c r="A786" s="160">
        <v>774</v>
      </c>
      <c r="B786" s="62">
        <v>319999.90000000002</v>
      </c>
      <c r="C786" s="62">
        <v>98.718260000000001</v>
      </c>
      <c r="D786" s="62">
        <v>0.5481492</v>
      </c>
      <c r="E786" s="62">
        <v>0</v>
      </c>
      <c r="F786" s="62">
        <v>10</v>
      </c>
      <c r="G786" s="62">
        <v>2</v>
      </c>
    </row>
    <row r="787" spans="1:7" x14ac:dyDescent="0.3">
      <c r="A787" s="160">
        <v>775</v>
      </c>
      <c r="B787" s="62">
        <v>319999.90000000002</v>
      </c>
      <c r="C787" s="62">
        <v>98.748350000000002</v>
      </c>
      <c r="D787" s="62">
        <v>0.6404531</v>
      </c>
      <c r="E787" s="62">
        <v>0</v>
      </c>
      <c r="F787" s="62">
        <v>10</v>
      </c>
      <c r="G787" s="62">
        <v>2</v>
      </c>
    </row>
    <row r="788" spans="1:7" x14ac:dyDescent="0.3">
      <c r="A788" s="160">
        <v>776</v>
      </c>
      <c r="B788" s="62">
        <v>319999.90000000002</v>
      </c>
      <c r="C788" s="62">
        <v>98.748760000000004</v>
      </c>
      <c r="D788" s="62">
        <v>0.65979759999999998</v>
      </c>
      <c r="E788" s="62">
        <v>0</v>
      </c>
      <c r="F788" s="62">
        <v>10</v>
      </c>
      <c r="G788" s="62">
        <v>2</v>
      </c>
    </row>
    <row r="789" spans="1:7" x14ac:dyDescent="0.3">
      <c r="A789" s="160">
        <v>777</v>
      </c>
      <c r="B789" s="62">
        <v>319999.90000000002</v>
      </c>
      <c r="C789" s="62">
        <v>98.769869999999997</v>
      </c>
      <c r="D789" s="62">
        <v>0.62000880000000003</v>
      </c>
      <c r="E789" s="62">
        <v>0</v>
      </c>
      <c r="F789" s="62">
        <v>10</v>
      </c>
      <c r="G789" s="62">
        <v>2</v>
      </c>
    </row>
    <row r="790" spans="1:7" x14ac:dyDescent="0.3">
      <c r="A790" s="160">
        <v>778</v>
      </c>
      <c r="B790" s="62">
        <v>319999.90000000002</v>
      </c>
      <c r="C790" s="62">
        <v>98.842709999999997</v>
      </c>
      <c r="D790" s="62">
        <v>0.63166069999999996</v>
      </c>
      <c r="E790" s="62">
        <v>0</v>
      </c>
      <c r="F790" s="62">
        <v>10</v>
      </c>
      <c r="G790" s="62">
        <v>2</v>
      </c>
    </row>
    <row r="791" spans="1:7" x14ac:dyDescent="0.3">
      <c r="A791" s="160">
        <v>779</v>
      </c>
      <c r="B791" s="62">
        <v>319999.90000000002</v>
      </c>
      <c r="C791" s="62">
        <v>98.673699999999997</v>
      </c>
      <c r="D791" s="62">
        <v>0.65212499999999995</v>
      </c>
      <c r="E791" s="62">
        <v>0</v>
      </c>
      <c r="F791" s="62">
        <v>10</v>
      </c>
      <c r="G791" s="62">
        <v>2</v>
      </c>
    </row>
    <row r="792" spans="1:7" x14ac:dyDescent="0.3">
      <c r="A792" s="160">
        <v>780</v>
      </c>
      <c r="B792" s="62">
        <v>319999.90000000002</v>
      </c>
      <c r="C792" s="62">
        <v>98.671210000000002</v>
      </c>
      <c r="D792" s="62">
        <v>0.60474819999999996</v>
      </c>
      <c r="E792" s="62">
        <v>0</v>
      </c>
      <c r="F792" s="62">
        <v>10</v>
      </c>
      <c r="G792" s="62">
        <v>2</v>
      </c>
    </row>
    <row r="793" spans="1:7" x14ac:dyDescent="0.3">
      <c r="A793" s="160">
        <v>781</v>
      </c>
      <c r="B793" s="62">
        <v>190000</v>
      </c>
      <c r="C793" s="62">
        <v>99.028769999999994</v>
      </c>
      <c r="D793" s="62">
        <v>0.25614759999999998</v>
      </c>
      <c r="E793" s="62">
        <v>0</v>
      </c>
      <c r="F793" s="62">
        <v>10</v>
      </c>
      <c r="G793" s="62">
        <v>2</v>
      </c>
    </row>
    <row r="794" spans="1:7" x14ac:dyDescent="0.3">
      <c r="A794" s="160">
        <v>782</v>
      </c>
      <c r="B794" s="62">
        <v>190000</v>
      </c>
      <c r="C794" s="62">
        <v>99.225849999999994</v>
      </c>
      <c r="D794" s="62">
        <v>0.31455630000000001</v>
      </c>
      <c r="E794" s="62">
        <v>0</v>
      </c>
      <c r="F794" s="62">
        <v>10</v>
      </c>
      <c r="G794" s="62">
        <v>2</v>
      </c>
    </row>
    <row r="795" spans="1:7" x14ac:dyDescent="0.3">
      <c r="A795" s="160">
        <v>783</v>
      </c>
      <c r="B795" s="62">
        <v>190000</v>
      </c>
      <c r="C795" s="62">
        <v>99.157229999999998</v>
      </c>
      <c r="D795" s="62">
        <v>0.42423159999999999</v>
      </c>
      <c r="E795" s="62">
        <v>0</v>
      </c>
      <c r="F795" s="62">
        <v>10</v>
      </c>
      <c r="G795" s="62">
        <v>2</v>
      </c>
    </row>
    <row r="796" spans="1:7" x14ac:dyDescent="0.3">
      <c r="A796" s="160">
        <v>784</v>
      </c>
      <c r="B796" s="62">
        <v>190000</v>
      </c>
      <c r="C796" s="62">
        <v>99.162689999999998</v>
      </c>
      <c r="D796" s="62">
        <v>0.3422828</v>
      </c>
      <c r="E796" s="62">
        <v>0</v>
      </c>
      <c r="F796" s="62">
        <v>10</v>
      </c>
      <c r="G796" s="62">
        <v>2</v>
      </c>
    </row>
    <row r="797" spans="1:7" x14ac:dyDescent="0.3">
      <c r="A797" s="160">
        <v>785</v>
      </c>
      <c r="B797" s="62">
        <v>190000</v>
      </c>
      <c r="C797" s="62">
        <v>98.937060000000002</v>
      </c>
      <c r="D797" s="62">
        <v>0.37206400000000001</v>
      </c>
      <c r="E797" s="62">
        <v>0</v>
      </c>
      <c r="F797" s="62">
        <v>10</v>
      </c>
      <c r="G797" s="62">
        <v>2</v>
      </c>
    </row>
    <row r="798" spans="1:7" x14ac:dyDescent="0.3">
      <c r="A798" s="160">
        <v>786</v>
      </c>
      <c r="B798" s="62">
        <v>190000</v>
      </c>
      <c r="C798" s="62">
        <v>99.159940000000006</v>
      </c>
      <c r="D798" s="62">
        <v>0.2210231</v>
      </c>
      <c r="E798" s="62">
        <v>0</v>
      </c>
      <c r="F798" s="62">
        <v>10</v>
      </c>
      <c r="G798" s="62">
        <v>2</v>
      </c>
    </row>
    <row r="799" spans="1:7" x14ac:dyDescent="0.3">
      <c r="A799" s="160">
        <v>787</v>
      </c>
      <c r="B799" s="62">
        <v>190000</v>
      </c>
      <c r="C799" s="62">
        <v>99.240719999999996</v>
      </c>
      <c r="D799" s="62">
        <v>0.32948870000000002</v>
      </c>
      <c r="E799" s="62">
        <v>0</v>
      </c>
      <c r="F799" s="62">
        <v>10</v>
      </c>
      <c r="G799" s="62">
        <v>2</v>
      </c>
    </row>
    <row r="800" spans="1:7" x14ac:dyDescent="0.3">
      <c r="A800" s="160">
        <v>788</v>
      </c>
      <c r="B800" s="62">
        <v>190000</v>
      </c>
      <c r="C800" s="62">
        <v>99.013339999999999</v>
      </c>
      <c r="D800" s="62">
        <v>0.26107459999999999</v>
      </c>
      <c r="E800" s="62">
        <v>0</v>
      </c>
      <c r="F800" s="62">
        <v>10</v>
      </c>
      <c r="G800" s="62">
        <v>2</v>
      </c>
    </row>
    <row r="801" spans="1:7" x14ac:dyDescent="0.3">
      <c r="A801" s="160">
        <v>789</v>
      </c>
      <c r="B801" s="62">
        <v>190000</v>
      </c>
      <c r="C801" s="62">
        <v>98.995140000000006</v>
      </c>
      <c r="D801" s="62">
        <v>0.46624300000000002</v>
      </c>
      <c r="E801" s="62">
        <v>0</v>
      </c>
      <c r="F801" s="62">
        <v>10</v>
      </c>
      <c r="G801" s="62">
        <v>2</v>
      </c>
    </row>
    <row r="802" spans="1:7" x14ac:dyDescent="0.3">
      <c r="A802" s="160">
        <v>790</v>
      </c>
      <c r="B802" s="62">
        <v>190000</v>
      </c>
      <c r="C802" s="62">
        <v>99.137889999999999</v>
      </c>
      <c r="D802" s="62">
        <v>0.4266896</v>
      </c>
      <c r="E802" s="62">
        <v>0</v>
      </c>
      <c r="F802" s="62">
        <v>10</v>
      </c>
      <c r="G802" s="62">
        <v>2</v>
      </c>
    </row>
    <row r="803" spans="1:7" x14ac:dyDescent="0.3">
      <c r="A803" s="160">
        <v>791</v>
      </c>
      <c r="B803" s="62">
        <v>50999.97</v>
      </c>
      <c r="C803" s="62">
        <v>99.183239999999998</v>
      </c>
      <c r="D803" s="62">
        <v>7.8447639999999999E-2</v>
      </c>
      <c r="E803" s="62">
        <v>0</v>
      </c>
      <c r="F803" s="62">
        <v>10</v>
      </c>
      <c r="G803" s="62">
        <v>2</v>
      </c>
    </row>
    <row r="804" spans="1:7" x14ac:dyDescent="0.3">
      <c r="A804" s="160">
        <v>792</v>
      </c>
      <c r="B804" s="62">
        <v>50999.97</v>
      </c>
      <c r="C804" s="62">
        <v>99.192440000000005</v>
      </c>
      <c r="D804" s="62">
        <v>8.2768099999999997E-2</v>
      </c>
      <c r="E804" s="62">
        <v>0</v>
      </c>
      <c r="F804" s="62">
        <v>10</v>
      </c>
      <c r="G804" s="62">
        <v>2</v>
      </c>
    </row>
    <row r="805" spans="1:7" x14ac:dyDescent="0.3">
      <c r="A805" s="160">
        <v>793</v>
      </c>
      <c r="B805" s="62">
        <v>50999.97</v>
      </c>
      <c r="C805" s="62">
        <v>99.059349999999995</v>
      </c>
      <c r="D805" s="62">
        <v>7.2516600000000001E-2</v>
      </c>
      <c r="E805" s="62">
        <v>0</v>
      </c>
      <c r="F805" s="62">
        <v>10</v>
      </c>
      <c r="G805" s="62">
        <v>2</v>
      </c>
    </row>
    <row r="806" spans="1:7" x14ac:dyDescent="0.3">
      <c r="A806" s="160">
        <v>794</v>
      </c>
      <c r="B806" s="62">
        <v>50999.97</v>
      </c>
      <c r="C806" s="62">
        <v>99.200199999999995</v>
      </c>
      <c r="D806" s="62">
        <v>7.0528069999999998E-2</v>
      </c>
      <c r="E806" s="62">
        <v>0</v>
      </c>
      <c r="F806" s="62">
        <v>10</v>
      </c>
      <c r="G806" s="62">
        <v>2</v>
      </c>
    </row>
    <row r="807" spans="1:7" x14ac:dyDescent="0.3">
      <c r="A807" s="160">
        <v>795</v>
      </c>
      <c r="B807" s="62">
        <v>50999.97</v>
      </c>
      <c r="C807" s="62">
        <v>99.194739999999996</v>
      </c>
      <c r="D807" s="62">
        <v>8.3051739999999999E-2</v>
      </c>
      <c r="E807" s="62">
        <v>0</v>
      </c>
      <c r="F807" s="62">
        <v>10</v>
      </c>
      <c r="G807" s="62">
        <v>2</v>
      </c>
    </row>
    <row r="808" spans="1:7" x14ac:dyDescent="0.3">
      <c r="A808" s="160">
        <v>796</v>
      </c>
      <c r="B808" s="62">
        <v>50999.97</v>
      </c>
      <c r="C808" s="62">
        <v>99.042619999999999</v>
      </c>
      <c r="D808" s="62">
        <v>8.9114929999999995E-2</v>
      </c>
      <c r="E808" s="62">
        <v>0</v>
      </c>
      <c r="F808" s="62">
        <v>10</v>
      </c>
      <c r="G808" s="62">
        <v>2</v>
      </c>
    </row>
    <row r="809" spans="1:7" x14ac:dyDescent="0.3">
      <c r="A809" s="160">
        <v>797</v>
      </c>
      <c r="B809" s="62">
        <v>50999.97</v>
      </c>
      <c r="C809" s="62">
        <v>99.19314</v>
      </c>
      <c r="D809" s="62">
        <v>8.4391220000000003E-2</v>
      </c>
      <c r="E809" s="62">
        <v>0</v>
      </c>
      <c r="F809" s="62">
        <v>10</v>
      </c>
      <c r="G809" s="62">
        <v>2</v>
      </c>
    </row>
    <row r="810" spans="1:7" x14ac:dyDescent="0.3">
      <c r="A810" s="160">
        <v>798</v>
      </c>
      <c r="B810" s="62">
        <v>50999.97</v>
      </c>
      <c r="C810" s="62">
        <v>99.188839999999999</v>
      </c>
      <c r="D810" s="62">
        <v>7.6771660000000005E-2</v>
      </c>
      <c r="E810" s="62">
        <v>0</v>
      </c>
      <c r="F810" s="62">
        <v>10</v>
      </c>
      <c r="G810" s="62">
        <v>2</v>
      </c>
    </row>
    <row r="811" spans="1:7" x14ac:dyDescent="0.3">
      <c r="A811" s="160">
        <v>799</v>
      </c>
      <c r="B811" s="62">
        <v>50999.97</v>
      </c>
      <c r="C811" s="62">
        <v>99.208439999999996</v>
      </c>
      <c r="D811" s="62">
        <v>8.2588789999999995E-2</v>
      </c>
      <c r="E811" s="62">
        <v>0</v>
      </c>
      <c r="F811" s="62">
        <v>10</v>
      </c>
      <c r="G811" s="62">
        <v>2</v>
      </c>
    </row>
    <row r="812" spans="1:7" x14ac:dyDescent="0.3">
      <c r="A812" s="160">
        <v>800</v>
      </c>
      <c r="B812" s="62">
        <v>50999.97</v>
      </c>
      <c r="C812" s="62">
        <v>99.190119999999993</v>
      </c>
      <c r="D812" s="62">
        <v>8.7972400000000006E-2</v>
      </c>
      <c r="E812" s="62">
        <v>0</v>
      </c>
      <c r="F812" s="62">
        <v>10</v>
      </c>
      <c r="G812" s="62">
        <v>2</v>
      </c>
    </row>
    <row r="813" spans="1:7" x14ac:dyDescent="0.3">
      <c r="A813" s="160">
        <v>801</v>
      </c>
      <c r="B813" s="62">
        <v>1000000</v>
      </c>
      <c r="C813" s="62">
        <v>99.577479999999994</v>
      </c>
      <c r="D813" s="62">
        <v>4.574084</v>
      </c>
      <c r="E813" s="62">
        <v>0</v>
      </c>
      <c r="F813" s="62">
        <v>11</v>
      </c>
      <c r="G813" s="62">
        <v>2</v>
      </c>
    </row>
    <row r="814" spans="1:7" x14ac:dyDescent="0.3">
      <c r="A814" s="160">
        <v>802</v>
      </c>
      <c r="B814" s="62">
        <v>1000000</v>
      </c>
      <c r="C814" s="62">
        <v>99.687209999999993</v>
      </c>
      <c r="D814" s="62">
        <v>4.6239169999999996</v>
      </c>
      <c r="E814" s="62">
        <v>0</v>
      </c>
      <c r="F814" s="62">
        <v>11</v>
      </c>
      <c r="G814" s="62">
        <v>2</v>
      </c>
    </row>
    <row r="815" spans="1:7" x14ac:dyDescent="0.3">
      <c r="A815" s="160">
        <v>803</v>
      </c>
      <c r="B815" s="62">
        <v>1000000</v>
      </c>
      <c r="C815" s="62">
        <v>99.802639999999997</v>
      </c>
      <c r="D815" s="62">
        <v>4.5365849999999996</v>
      </c>
      <c r="E815" s="62">
        <v>0</v>
      </c>
      <c r="F815" s="62">
        <v>11</v>
      </c>
      <c r="G815" s="62">
        <v>2</v>
      </c>
    </row>
    <row r="816" spans="1:7" x14ac:dyDescent="0.3">
      <c r="A816" s="160">
        <v>804</v>
      </c>
      <c r="B816" s="62">
        <v>1000000</v>
      </c>
      <c r="C816" s="62">
        <v>99.479680000000002</v>
      </c>
      <c r="D816" s="62">
        <v>4.569699</v>
      </c>
      <c r="E816" s="62">
        <v>0</v>
      </c>
      <c r="F816" s="62">
        <v>11</v>
      </c>
      <c r="G816" s="62">
        <v>2</v>
      </c>
    </row>
    <row r="817" spans="1:7" x14ac:dyDescent="0.3">
      <c r="A817" s="160">
        <v>805</v>
      </c>
      <c r="B817" s="62">
        <v>1000000</v>
      </c>
      <c r="C817" s="62">
        <v>99.732519999999994</v>
      </c>
      <c r="D817" s="62">
        <v>4.5638189999999996</v>
      </c>
      <c r="E817" s="62">
        <v>0</v>
      </c>
      <c r="F817" s="62">
        <v>11</v>
      </c>
      <c r="G817" s="62">
        <v>2</v>
      </c>
    </row>
    <row r="818" spans="1:7" x14ac:dyDescent="0.3">
      <c r="A818" s="160">
        <v>806</v>
      </c>
      <c r="B818" s="62">
        <v>1000000</v>
      </c>
      <c r="C818" s="62">
        <v>99.679509999999993</v>
      </c>
      <c r="D818" s="62">
        <v>4.68466</v>
      </c>
      <c r="E818" s="62">
        <v>0</v>
      </c>
      <c r="F818" s="62">
        <v>11</v>
      </c>
      <c r="G818" s="62">
        <v>2</v>
      </c>
    </row>
    <row r="819" spans="1:7" x14ac:dyDescent="0.3">
      <c r="A819" s="160">
        <v>807</v>
      </c>
      <c r="B819" s="62">
        <v>1000000</v>
      </c>
      <c r="C819" s="62">
        <v>99.708500000000001</v>
      </c>
      <c r="D819" s="62">
        <v>4.5737860000000001</v>
      </c>
      <c r="E819" s="62">
        <v>0</v>
      </c>
      <c r="F819" s="62">
        <v>11</v>
      </c>
      <c r="G819" s="62">
        <v>2</v>
      </c>
    </row>
    <row r="820" spans="1:7" x14ac:dyDescent="0.3">
      <c r="A820" s="160">
        <v>808</v>
      </c>
      <c r="B820" s="62">
        <v>1000000</v>
      </c>
      <c r="C820" s="62">
        <v>99.586849999999998</v>
      </c>
      <c r="D820" s="62">
        <v>4.5552999999999999</v>
      </c>
      <c r="E820" s="62">
        <v>0</v>
      </c>
      <c r="F820" s="62">
        <v>11</v>
      </c>
      <c r="G820" s="62">
        <v>2</v>
      </c>
    </row>
    <row r="821" spans="1:7" x14ac:dyDescent="0.3">
      <c r="A821" s="160">
        <v>809</v>
      </c>
      <c r="B821" s="62">
        <v>1000000</v>
      </c>
      <c r="C821" s="62">
        <v>99.732240000000004</v>
      </c>
      <c r="D821" s="62">
        <v>4.5825209999999998</v>
      </c>
      <c r="E821" s="62">
        <v>0</v>
      </c>
      <c r="F821" s="62">
        <v>11</v>
      </c>
      <c r="G821" s="62">
        <v>2</v>
      </c>
    </row>
    <row r="822" spans="1:7" x14ac:dyDescent="0.3">
      <c r="A822" s="160">
        <v>810</v>
      </c>
      <c r="B822" s="62">
        <v>1000000</v>
      </c>
      <c r="C822" s="62">
        <v>99.691320000000005</v>
      </c>
      <c r="D822" s="62">
        <v>4.614967</v>
      </c>
      <c r="E822" s="62">
        <v>0</v>
      </c>
      <c r="F822" s="62">
        <v>11</v>
      </c>
      <c r="G822" s="62">
        <v>2</v>
      </c>
    </row>
    <row r="823" spans="1:7" x14ac:dyDescent="0.3">
      <c r="A823" s="160">
        <v>811</v>
      </c>
      <c r="B823" s="62">
        <v>859999.9</v>
      </c>
      <c r="C823" s="62">
        <v>98.904679999999999</v>
      </c>
      <c r="D823" s="62">
        <v>3.4920520000000002</v>
      </c>
      <c r="E823" s="62">
        <v>0</v>
      </c>
      <c r="F823" s="62">
        <v>11</v>
      </c>
      <c r="G823" s="62">
        <v>2</v>
      </c>
    </row>
    <row r="824" spans="1:7" x14ac:dyDescent="0.3">
      <c r="A824" s="160">
        <v>812</v>
      </c>
      <c r="B824" s="62">
        <v>859999.9</v>
      </c>
      <c r="C824" s="62">
        <v>98.853160000000003</v>
      </c>
      <c r="D824" s="62">
        <v>3.4386930000000002</v>
      </c>
      <c r="E824" s="62">
        <v>0</v>
      </c>
      <c r="F824" s="62">
        <v>11</v>
      </c>
      <c r="G824" s="62">
        <v>2</v>
      </c>
    </row>
    <row r="825" spans="1:7" x14ac:dyDescent="0.3">
      <c r="A825" s="160">
        <v>813</v>
      </c>
      <c r="B825" s="62">
        <v>859999.9</v>
      </c>
      <c r="C825" s="62">
        <v>98.876999999999995</v>
      </c>
      <c r="D825" s="62">
        <v>3.5422440000000002</v>
      </c>
      <c r="E825" s="62">
        <v>0</v>
      </c>
      <c r="F825" s="62">
        <v>11</v>
      </c>
      <c r="G825" s="62">
        <v>2</v>
      </c>
    </row>
    <row r="826" spans="1:7" x14ac:dyDescent="0.3">
      <c r="A826" s="160">
        <v>814</v>
      </c>
      <c r="B826" s="62">
        <v>859999.9</v>
      </c>
      <c r="C826" s="62">
        <v>98.827680000000001</v>
      </c>
      <c r="D826" s="62">
        <v>3.4552049999999999</v>
      </c>
      <c r="E826" s="62">
        <v>0</v>
      </c>
      <c r="F826" s="62">
        <v>11</v>
      </c>
      <c r="G826" s="62">
        <v>2</v>
      </c>
    </row>
    <row r="827" spans="1:7" x14ac:dyDescent="0.3">
      <c r="A827" s="160">
        <v>815</v>
      </c>
      <c r="B827" s="62">
        <v>859999.9</v>
      </c>
      <c r="C827" s="62">
        <v>98.905540000000002</v>
      </c>
      <c r="D827" s="62">
        <v>3.490043</v>
      </c>
      <c r="E827" s="62">
        <v>0</v>
      </c>
      <c r="F827" s="62">
        <v>11</v>
      </c>
      <c r="G827" s="62">
        <v>2</v>
      </c>
    </row>
    <row r="828" spans="1:7" x14ac:dyDescent="0.3">
      <c r="A828" s="160">
        <v>816</v>
      </c>
      <c r="B828" s="62">
        <v>859999.9</v>
      </c>
      <c r="C828" s="62">
        <v>98.9435</v>
      </c>
      <c r="D828" s="62">
        <v>3.552187</v>
      </c>
      <c r="E828" s="62">
        <v>0</v>
      </c>
      <c r="F828" s="62">
        <v>11</v>
      </c>
      <c r="G828" s="62">
        <v>2</v>
      </c>
    </row>
    <row r="829" spans="1:7" x14ac:dyDescent="0.3">
      <c r="A829" s="160">
        <v>817</v>
      </c>
      <c r="B829" s="62">
        <v>859999.9</v>
      </c>
      <c r="C829" s="62">
        <v>98.958659999999995</v>
      </c>
      <c r="D829" s="62">
        <v>3.5435690000000002</v>
      </c>
      <c r="E829" s="62">
        <v>0</v>
      </c>
      <c r="F829" s="62">
        <v>11</v>
      </c>
      <c r="G829" s="62">
        <v>2</v>
      </c>
    </row>
    <row r="830" spans="1:7" x14ac:dyDescent="0.3">
      <c r="A830" s="160">
        <v>818</v>
      </c>
      <c r="B830" s="62">
        <v>859999.9</v>
      </c>
      <c r="C830" s="62">
        <v>98.917789999999997</v>
      </c>
      <c r="D830" s="62">
        <v>3.4989780000000001</v>
      </c>
      <c r="E830" s="62">
        <v>0</v>
      </c>
      <c r="F830" s="62">
        <v>11</v>
      </c>
      <c r="G830" s="62">
        <v>2</v>
      </c>
    </row>
    <row r="831" spans="1:7" x14ac:dyDescent="0.3">
      <c r="A831" s="160">
        <v>819</v>
      </c>
      <c r="B831" s="62">
        <v>859999.9</v>
      </c>
      <c r="C831" s="62">
        <v>98.91</v>
      </c>
      <c r="D831" s="62">
        <v>3.4937320000000001</v>
      </c>
      <c r="E831" s="62">
        <v>0</v>
      </c>
      <c r="F831" s="62">
        <v>11</v>
      </c>
      <c r="G831" s="62">
        <v>2</v>
      </c>
    </row>
    <row r="832" spans="1:7" x14ac:dyDescent="0.3">
      <c r="A832" s="160">
        <v>820</v>
      </c>
      <c r="B832" s="62">
        <v>859999.9</v>
      </c>
      <c r="C832" s="62">
        <v>98.906009999999995</v>
      </c>
      <c r="D832" s="62">
        <v>3.4903</v>
      </c>
      <c r="E832" s="62">
        <v>0</v>
      </c>
      <c r="F832" s="62">
        <v>11</v>
      </c>
      <c r="G832" s="62">
        <v>2</v>
      </c>
    </row>
    <row r="833" spans="1:7" x14ac:dyDescent="0.3">
      <c r="A833" s="160">
        <v>821</v>
      </c>
      <c r="B833" s="62">
        <v>730000</v>
      </c>
      <c r="C833" s="62">
        <v>98.517859999999999</v>
      </c>
      <c r="D833" s="62">
        <v>2.5172699999999999</v>
      </c>
      <c r="E833" s="62">
        <v>0</v>
      </c>
      <c r="F833" s="62">
        <v>11</v>
      </c>
      <c r="G833" s="62">
        <v>2</v>
      </c>
    </row>
    <row r="834" spans="1:7" x14ac:dyDescent="0.3">
      <c r="A834" s="160">
        <v>822</v>
      </c>
      <c r="B834" s="62">
        <v>730000</v>
      </c>
      <c r="C834" s="62">
        <v>98.516000000000005</v>
      </c>
      <c r="D834" s="62">
        <v>2.5698989999999999</v>
      </c>
      <c r="E834" s="62">
        <v>0</v>
      </c>
      <c r="F834" s="62">
        <v>11</v>
      </c>
      <c r="G834" s="62">
        <v>2</v>
      </c>
    </row>
    <row r="835" spans="1:7" x14ac:dyDescent="0.3">
      <c r="A835" s="160">
        <v>823</v>
      </c>
      <c r="B835" s="62">
        <v>730000</v>
      </c>
      <c r="C835" s="62">
        <v>98.614559999999997</v>
      </c>
      <c r="D835" s="62">
        <v>2.57491</v>
      </c>
      <c r="E835" s="62">
        <v>0</v>
      </c>
      <c r="F835" s="62">
        <v>11</v>
      </c>
      <c r="G835" s="62">
        <v>2</v>
      </c>
    </row>
    <row r="836" spans="1:7" x14ac:dyDescent="0.3">
      <c r="A836" s="160">
        <v>824</v>
      </c>
      <c r="B836" s="62">
        <v>730000</v>
      </c>
      <c r="C836" s="62">
        <v>98.515780000000007</v>
      </c>
      <c r="D836" s="62">
        <v>2.5652750000000002</v>
      </c>
      <c r="E836" s="62">
        <v>0</v>
      </c>
      <c r="F836" s="62">
        <v>11</v>
      </c>
      <c r="G836" s="62">
        <v>2</v>
      </c>
    </row>
    <row r="837" spans="1:7" x14ac:dyDescent="0.3">
      <c r="A837" s="160">
        <v>825</v>
      </c>
      <c r="B837" s="62">
        <v>730000</v>
      </c>
      <c r="C837" s="62">
        <v>98.611279999999994</v>
      </c>
      <c r="D837" s="62">
        <v>2.567561</v>
      </c>
      <c r="E837" s="62">
        <v>0</v>
      </c>
      <c r="F837" s="62">
        <v>11</v>
      </c>
      <c r="G837" s="62">
        <v>2</v>
      </c>
    </row>
    <row r="838" spans="1:7" x14ac:dyDescent="0.3">
      <c r="A838" s="160">
        <v>826</v>
      </c>
      <c r="B838" s="62">
        <v>730000</v>
      </c>
      <c r="C838" s="62">
        <v>98.483779999999996</v>
      </c>
      <c r="D838" s="62">
        <v>2.6197339999999998</v>
      </c>
      <c r="E838" s="62">
        <v>0</v>
      </c>
      <c r="F838" s="62">
        <v>11</v>
      </c>
      <c r="G838" s="62">
        <v>2</v>
      </c>
    </row>
    <row r="839" spans="1:7" x14ac:dyDescent="0.3">
      <c r="A839" s="160">
        <v>827</v>
      </c>
      <c r="B839" s="62">
        <v>730000</v>
      </c>
      <c r="C839" s="62">
        <v>98.510670000000005</v>
      </c>
      <c r="D839" s="62">
        <v>2.5712769999999998</v>
      </c>
      <c r="E839" s="62">
        <v>0</v>
      </c>
      <c r="F839" s="62">
        <v>11</v>
      </c>
      <c r="G839" s="62">
        <v>2</v>
      </c>
    </row>
    <row r="840" spans="1:7" x14ac:dyDescent="0.3">
      <c r="A840" s="160">
        <v>828</v>
      </c>
      <c r="B840" s="62">
        <v>730000</v>
      </c>
      <c r="C840" s="62">
        <v>98.521540000000002</v>
      </c>
      <c r="D840" s="62">
        <v>2.5619930000000002</v>
      </c>
      <c r="E840" s="62">
        <v>0</v>
      </c>
      <c r="F840" s="62">
        <v>11</v>
      </c>
      <c r="G840" s="62">
        <v>2</v>
      </c>
    </row>
    <row r="841" spans="1:7" x14ac:dyDescent="0.3">
      <c r="A841" s="160">
        <v>829</v>
      </c>
      <c r="B841" s="62">
        <v>730000</v>
      </c>
      <c r="C841" s="62">
        <v>98.563410000000005</v>
      </c>
      <c r="D841" s="62">
        <v>2.5179119999999999</v>
      </c>
      <c r="E841" s="62">
        <v>0</v>
      </c>
      <c r="F841" s="62">
        <v>11</v>
      </c>
      <c r="G841" s="62">
        <v>2</v>
      </c>
    </row>
    <row r="842" spans="1:7" x14ac:dyDescent="0.3">
      <c r="A842" s="160">
        <v>830</v>
      </c>
      <c r="B842" s="62">
        <v>730000</v>
      </c>
      <c r="C842" s="62">
        <v>98.514840000000007</v>
      </c>
      <c r="D842" s="62">
        <v>2.56507</v>
      </c>
      <c r="E842" s="62">
        <v>0</v>
      </c>
      <c r="F842" s="62">
        <v>11</v>
      </c>
      <c r="G842" s="62">
        <v>2</v>
      </c>
    </row>
    <row r="843" spans="1:7" x14ac:dyDescent="0.3">
      <c r="A843" s="160">
        <v>831</v>
      </c>
      <c r="B843" s="62">
        <v>589999.9</v>
      </c>
      <c r="C843" s="62">
        <v>98.535070000000005</v>
      </c>
      <c r="D843" s="62">
        <v>1.748116</v>
      </c>
      <c r="E843" s="62">
        <v>0</v>
      </c>
      <c r="F843" s="62">
        <v>11</v>
      </c>
      <c r="G843" s="62">
        <v>2</v>
      </c>
    </row>
    <row r="844" spans="1:7" x14ac:dyDescent="0.3">
      <c r="A844" s="160">
        <v>832</v>
      </c>
      <c r="B844" s="62">
        <v>589999.9</v>
      </c>
      <c r="C844" s="62">
        <v>98.366060000000004</v>
      </c>
      <c r="D844" s="62">
        <v>1.6998679999999999</v>
      </c>
      <c r="E844" s="62">
        <v>0</v>
      </c>
      <c r="F844" s="62">
        <v>11</v>
      </c>
      <c r="G844" s="62">
        <v>2</v>
      </c>
    </row>
    <row r="845" spans="1:7" x14ac:dyDescent="0.3">
      <c r="A845" s="160">
        <v>833</v>
      </c>
      <c r="B845" s="62">
        <v>589999.9</v>
      </c>
      <c r="C845" s="62">
        <v>98.3185</v>
      </c>
      <c r="D845" s="62">
        <v>1.6587350000000001</v>
      </c>
      <c r="E845" s="62">
        <v>0</v>
      </c>
      <c r="F845" s="62">
        <v>11</v>
      </c>
      <c r="G845" s="62">
        <v>2</v>
      </c>
    </row>
    <row r="846" spans="1:7" x14ac:dyDescent="0.3">
      <c r="A846" s="160">
        <v>834</v>
      </c>
      <c r="B846" s="62">
        <v>589999.9</v>
      </c>
      <c r="C846" s="62">
        <v>98.353380000000001</v>
      </c>
      <c r="D846" s="62">
        <v>1.762373</v>
      </c>
      <c r="E846" s="62">
        <v>0</v>
      </c>
      <c r="F846" s="62">
        <v>11</v>
      </c>
      <c r="G846" s="62">
        <v>2</v>
      </c>
    </row>
    <row r="847" spans="1:7" x14ac:dyDescent="0.3">
      <c r="A847" s="160">
        <v>835</v>
      </c>
      <c r="B847" s="62">
        <v>589999.9</v>
      </c>
      <c r="C847" s="62">
        <v>98.414879999999997</v>
      </c>
      <c r="D847" s="62">
        <v>1.7463789999999999</v>
      </c>
      <c r="E847" s="62">
        <v>0</v>
      </c>
      <c r="F847" s="62">
        <v>11</v>
      </c>
      <c r="G847" s="62">
        <v>2</v>
      </c>
    </row>
    <row r="848" spans="1:7" x14ac:dyDescent="0.3">
      <c r="A848" s="160">
        <v>836</v>
      </c>
      <c r="B848" s="62">
        <v>589999.9</v>
      </c>
      <c r="C848" s="62">
        <v>98.412840000000003</v>
      </c>
      <c r="D848" s="62">
        <v>1.7626580000000001</v>
      </c>
      <c r="E848" s="62">
        <v>0</v>
      </c>
      <c r="F848" s="62">
        <v>11</v>
      </c>
      <c r="G848" s="62">
        <v>2</v>
      </c>
    </row>
    <row r="849" spans="1:7" x14ac:dyDescent="0.3">
      <c r="A849" s="160">
        <v>837</v>
      </c>
      <c r="B849" s="62">
        <v>589999.9</v>
      </c>
      <c r="C849" s="62">
        <v>98.27328</v>
      </c>
      <c r="D849" s="62">
        <v>1.784848</v>
      </c>
      <c r="E849" s="62">
        <v>0</v>
      </c>
      <c r="F849" s="62">
        <v>11</v>
      </c>
      <c r="G849" s="62">
        <v>2</v>
      </c>
    </row>
    <row r="850" spans="1:7" x14ac:dyDescent="0.3">
      <c r="A850" s="160">
        <v>838</v>
      </c>
      <c r="B850" s="62">
        <v>589999.9</v>
      </c>
      <c r="C850" s="62">
        <v>98.455150000000003</v>
      </c>
      <c r="D850" s="62">
        <v>1.7369300000000001</v>
      </c>
      <c r="E850" s="62">
        <v>0</v>
      </c>
      <c r="F850" s="62">
        <v>11</v>
      </c>
      <c r="G850" s="62">
        <v>2</v>
      </c>
    </row>
    <row r="851" spans="1:7" x14ac:dyDescent="0.3">
      <c r="A851" s="160">
        <v>839</v>
      </c>
      <c r="B851" s="62">
        <v>589999.9</v>
      </c>
      <c r="C851" s="62">
        <v>98.258669999999995</v>
      </c>
      <c r="D851" s="62">
        <v>1.6816739999999999</v>
      </c>
      <c r="E851" s="62">
        <v>0</v>
      </c>
      <c r="F851" s="62">
        <v>11</v>
      </c>
      <c r="G851" s="62">
        <v>2</v>
      </c>
    </row>
    <row r="852" spans="1:7" x14ac:dyDescent="0.3">
      <c r="A852" s="160">
        <v>840</v>
      </c>
      <c r="B852" s="62">
        <v>589999.9</v>
      </c>
      <c r="C852" s="62">
        <v>98.244630000000001</v>
      </c>
      <c r="D852" s="62">
        <v>1.7089240000000001</v>
      </c>
      <c r="E852" s="62">
        <v>0</v>
      </c>
      <c r="F852" s="62">
        <v>11</v>
      </c>
      <c r="G852" s="62">
        <v>2</v>
      </c>
    </row>
    <row r="853" spans="1:7" x14ac:dyDescent="0.3">
      <c r="A853" s="160">
        <v>841</v>
      </c>
      <c r="B853" s="62">
        <v>460000</v>
      </c>
      <c r="C853" s="62">
        <v>98.520340000000004</v>
      </c>
      <c r="D853" s="62">
        <v>1.0646519999999999</v>
      </c>
      <c r="E853" s="62">
        <v>0</v>
      </c>
      <c r="F853" s="62">
        <v>11</v>
      </c>
      <c r="G853" s="62">
        <v>2</v>
      </c>
    </row>
    <row r="854" spans="1:7" x14ac:dyDescent="0.3">
      <c r="A854" s="160">
        <v>842</v>
      </c>
      <c r="B854" s="62">
        <v>460000</v>
      </c>
      <c r="C854" s="62">
        <v>98.523600000000002</v>
      </c>
      <c r="D854" s="62">
        <v>1.1266989999999999</v>
      </c>
      <c r="E854" s="62">
        <v>0</v>
      </c>
      <c r="F854" s="62">
        <v>11</v>
      </c>
      <c r="G854" s="62">
        <v>2</v>
      </c>
    </row>
    <row r="855" spans="1:7" x14ac:dyDescent="0.3">
      <c r="A855" s="160">
        <v>843</v>
      </c>
      <c r="B855" s="62">
        <v>460000</v>
      </c>
      <c r="C855" s="62">
        <v>98.483450000000005</v>
      </c>
      <c r="D855" s="62">
        <v>1.141993</v>
      </c>
      <c r="E855" s="62">
        <v>0</v>
      </c>
      <c r="F855" s="62">
        <v>11</v>
      </c>
      <c r="G855" s="62">
        <v>2</v>
      </c>
    </row>
    <row r="856" spans="1:7" x14ac:dyDescent="0.3">
      <c r="A856" s="160">
        <v>844</v>
      </c>
      <c r="B856" s="62">
        <v>460000</v>
      </c>
      <c r="C856" s="62">
        <v>98.415909999999997</v>
      </c>
      <c r="D856" s="62">
        <v>1.083725</v>
      </c>
      <c r="E856" s="62">
        <v>0</v>
      </c>
      <c r="F856" s="62">
        <v>11</v>
      </c>
      <c r="G856" s="62">
        <v>2</v>
      </c>
    </row>
    <row r="857" spans="1:7" x14ac:dyDescent="0.3">
      <c r="A857" s="160">
        <v>845</v>
      </c>
      <c r="B857" s="62">
        <v>460000</v>
      </c>
      <c r="C857" s="62">
        <v>98.381370000000004</v>
      </c>
      <c r="D857" s="62">
        <v>1.1332409999999999</v>
      </c>
      <c r="E857" s="62">
        <v>0</v>
      </c>
      <c r="F857" s="62">
        <v>11</v>
      </c>
      <c r="G857" s="62">
        <v>2</v>
      </c>
    </row>
    <row r="858" spans="1:7" x14ac:dyDescent="0.3">
      <c r="A858" s="160">
        <v>846</v>
      </c>
      <c r="B858" s="62">
        <v>460000</v>
      </c>
      <c r="C858" s="62">
        <v>98.477140000000006</v>
      </c>
      <c r="D858" s="62">
        <v>1.1445989999999999</v>
      </c>
      <c r="E858" s="62">
        <v>0</v>
      </c>
      <c r="F858" s="62">
        <v>11</v>
      </c>
      <c r="G858" s="62">
        <v>2</v>
      </c>
    </row>
    <row r="859" spans="1:7" x14ac:dyDescent="0.3">
      <c r="A859" s="160">
        <v>847</v>
      </c>
      <c r="B859" s="62">
        <v>460000</v>
      </c>
      <c r="C859" s="62">
        <v>98.597290000000001</v>
      </c>
      <c r="D859" s="62">
        <v>1.176939</v>
      </c>
      <c r="E859" s="62">
        <v>0</v>
      </c>
      <c r="F859" s="62">
        <v>11</v>
      </c>
      <c r="G859" s="62">
        <v>2</v>
      </c>
    </row>
    <row r="860" spans="1:7" x14ac:dyDescent="0.3">
      <c r="A860" s="160">
        <v>848</v>
      </c>
      <c r="B860" s="62">
        <v>460000</v>
      </c>
      <c r="C860" s="62">
        <v>98.494460000000004</v>
      </c>
      <c r="D860" s="62">
        <v>1.162803</v>
      </c>
      <c r="E860" s="62">
        <v>0</v>
      </c>
      <c r="F860" s="62">
        <v>11</v>
      </c>
      <c r="G860" s="62">
        <v>2</v>
      </c>
    </row>
    <row r="861" spans="1:7" x14ac:dyDescent="0.3">
      <c r="A861" s="160">
        <v>849</v>
      </c>
      <c r="B861" s="62">
        <v>460000</v>
      </c>
      <c r="C861" s="62">
        <v>98.536640000000006</v>
      </c>
      <c r="D861" s="62">
        <v>1.1359870000000001</v>
      </c>
      <c r="E861" s="62">
        <v>0</v>
      </c>
      <c r="F861" s="62">
        <v>11</v>
      </c>
      <c r="G861" s="62">
        <v>2</v>
      </c>
    </row>
    <row r="862" spans="1:7" x14ac:dyDescent="0.3">
      <c r="A862" s="160">
        <v>850</v>
      </c>
      <c r="B862" s="62">
        <v>460000</v>
      </c>
      <c r="C862" s="62">
        <v>98.465630000000004</v>
      </c>
      <c r="D862" s="62">
        <v>1.062381</v>
      </c>
      <c r="E862" s="62">
        <v>0</v>
      </c>
      <c r="F862" s="62">
        <v>11</v>
      </c>
      <c r="G862" s="62">
        <v>2</v>
      </c>
    </row>
    <row r="863" spans="1:7" x14ac:dyDescent="0.3">
      <c r="A863" s="160">
        <v>851</v>
      </c>
      <c r="B863" s="62">
        <v>319999.90000000002</v>
      </c>
      <c r="C863" s="62">
        <v>98.723780000000005</v>
      </c>
      <c r="D863" s="62">
        <v>0.64815500000000004</v>
      </c>
      <c r="E863" s="62">
        <v>0</v>
      </c>
      <c r="F863" s="62">
        <v>11</v>
      </c>
      <c r="G863" s="62">
        <v>2</v>
      </c>
    </row>
    <row r="864" spans="1:7" x14ac:dyDescent="0.3">
      <c r="A864" s="160">
        <v>852</v>
      </c>
      <c r="B864" s="62">
        <v>319999.90000000002</v>
      </c>
      <c r="C864" s="62">
        <v>98.716279999999998</v>
      </c>
      <c r="D864" s="62">
        <v>0.56400269999999997</v>
      </c>
      <c r="E864" s="62">
        <v>0</v>
      </c>
      <c r="F864" s="62">
        <v>11</v>
      </c>
      <c r="G864" s="62">
        <v>2</v>
      </c>
    </row>
    <row r="865" spans="1:7" x14ac:dyDescent="0.3">
      <c r="A865" s="160">
        <v>853</v>
      </c>
      <c r="B865" s="62">
        <v>319999.90000000002</v>
      </c>
      <c r="C865" s="62">
        <v>98.721670000000003</v>
      </c>
      <c r="D865" s="62">
        <v>0.72505640000000005</v>
      </c>
      <c r="E865" s="62">
        <v>0</v>
      </c>
      <c r="F865" s="62">
        <v>11</v>
      </c>
      <c r="G865" s="62">
        <v>2</v>
      </c>
    </row>
    <row r="866" spans="1:7" x14ac:dyDescent="0.3">
      <c r="A866" s="160">
        <v>854</v>
      </c>
      <c r="B866" s="62">
        <v>319999.90000000002</v>
      </c>
      <c r="C866" s="62">
        <v>98.775589999999994</v>
      </c>
      <c r="D866" s="62">
        <v>0.64816229999999997</v>
      </c>
      <c r="E866" s="62">
        <v>0</v>
      </c>
      <c r="F866" s="62">
        <v>11</v>
      </c>
      <c r="G866" s="62">
        <v>2</v>
      </c>
    </row>
    <row r="867" spans="1:7" x14ac:dyDescent="0.3">
      <c r="A867" s="160">
        <v>855</v>
      </c>
      <c r="B867" s="62">
        <v>319999.90000000002</v>
      </c>
      <c r="C867" s="62">
        <v>98.822270000000003</v>
      </c>
      <c r="D867" s="62">
        <v>0.55503539999999996</v>
      </c>
      <c r="E867" s="62">
        <v>0</v>
      </c>
      <c r="F867" s="62">
        <v>11</v>
      </c>
      <c r="G867" s="62">
        <v>2</v>
      </c>
    </row>
    <row r="868" spans="1:7" x14ac:dyDescent="0.3">
      <c r="A868" s="160">
        <v>856</v>
      </c>
      <c r="B868" s="62">
        <v>319999.90000000002</v>
      </c>
      <c r="C868" s="62">
        <v>98.766080000000002</v>
      </c>
      <c r="D868" s="62">
        <v>0.58825090000000002</v>
      </c>
      <c r="E868" s="62">
        <v>0</v>
      </c>
      <c r="F868" s="62">
        <v>11</v>
      </c>
      <c r="G868" s="62">
        <v>2</v>
      </c>
    </row>
    <row r="869" spans="1:7" x14ac:dyDescent="0.3">
      <c r="A869" s="160">
        <v>857</v>
      </c>
      <c r="B869" s="62">
        <v>319999.90000000002</v>
      </c>
      <c r="C869" s="62">
        <v>98.98527</v>
      </c>
      <c r="D869" s="62">
        <v>0.63379620000000003</v>
      </c>
      <c r="E869" s="62">
        <v>0</v>
      </c>
      <c r="F869" s="62">
        <v>11</v>
      </c>
      <c r="G869" s="62">
        <v>2</v>
      </c>
    </row>
    <row r="870" spans="1:7" x14ac:dyDescent="0.3">
      <c r="A870" s="160">
        <v>858</v>
      </c>
      <c r="B870" s="62">
        <v>319999.90000000002</v>
      </c>
      <c r="C870" s="62">
        <v>98.77637</v>
      </c>
      <c r="D870" s="62">
        <v>0.56894140000000004</v>
      </c>
      <c r="E870" s="62">
        <v>0</v>
      </c>
      <c r="F870" s="62">
        <v>11</v>
      </c>
      <c r="G870" s="62">
        <v>2</v>
      </c>
    </row>
    <row r="871" spans="1:7" x14ac:dyDescent="0.3">
      <c r="A871" s="160">
        <v>859</v>
      </c>
      <c r="B871" s="62">
        <v>319999.90000000002</v>
      </c>
      <c r="C871" s="62">
        <v>98.678669999999997</v>
      </c>
      <c r="D871" s="62">
        <v>0.67374160000000005</v>
      </c>
      <c r="E871" s="62">
        <v>0</v>
      </c>
      <c r="F871" s="62">
        <v>11</v>
      </c>
      <c r="G871" s="62">
        <v>2</v>
      </c>
    </row>
    <row r="872" spans="1:7" x14ac:dyDescent="0.3">
      <c r="A872" s="160">
        <v>860</v>
      </c>
      <c r="B872" s="62">
        <v>319999.90000000002</v>
      </c>
      <c r="C872" s="62">
        <v>98.929640000000006</v>
      </c>
      <c r="D872" s="62">
        <v>0.59640070000000001</v>
      </c>
      <c r="E872" s="62">
        <v>0</v>
      </c>
      <c r="F872" s="62">
        <v>11</v>
      </c>
      <c r="G872" s="62">
        <v>2</v>
      </c>
    </row>
    <row r="873" spans="1:7" x14ac:dyDescent="0.3">
      <c r="A873" s="160">
        <v>861</v>
      </c>
      <c r="B873" s="62">
        <v>190000</v>
      </c>
      <c r="C873" s="62">
        <v>99.062659999999994</v>
      </c>
      <c r="D873" s="62">
        <v>0.2467067</v>
      </c>
      <c r="E873" s="62">
        <v>0</v>
      </c>
      <c r="F873" s="62">
        <v>11</v>
      </c>
      <c r="G873" s="62">
        <v>2</v>
      </c>
    </row>
    <row r="874" spans="1:7" x14ac:dyDescent="0.3">
      <c r="A874" s="160">
        <v>862</v>
      </c>
      <c r="B874" s="62">
        <v>190000</v>
      </c>
      <c r="C874" s="62">
        <v>98.750479999999996</v>
      </c>
      <c r="D874" s="62">
        <v>0.34143859999999998</v>
      </c>
      <c r="E874" s="62">
        <v>0</v>
      </c>
      <c r="F874" s="62">
        <v>11</v>
      </c>
      <c r="G874" s="62">
        <v>2</v>
      </c>
    </row>
    <row r="875" spans="1:7" x14ac:dyDescent="0.3">
      <c r="A875" s="160">
        <v>863</v>
      </c>
      <c r="B875" s="62">
        <v>190000</v>
      </c>
      <c r="C875" s="62">
        <v>98.794319999999999</v>
      </c>
      <c r="D875" s="62">
        <v>0.3800058</v>
      </c>
      <c r="E875" s="62">
        <v>0</v>
      </c>
      <c r="F875" s="62">
        <v>11</v>
      </c>
      <c r="G875" s="62">
        <v>2</v>
      </c>
    </row>
    <row r="876" spans="1:7" x14ac:dyDescent="0.3">
      <c r="A876" s="160">
        <v>864</v>
      </c>
      <c r="B876" s="62">
        <v>190000</v>
      </c>
      <c r="C876" s="62">
        <v>98.776520000000005</v>
      </c>
      <c r="D876" s="62">
        <v>0.2398151</v>
      </c>
      <c r="E876" s="62">
        <v>0</v>
      </c>
      <c r="F876" s="62">
        <v>11</v>
      </c>
      <c r="G876" s="62">
        <v>2</v>
      </c>
    </row>
    <row r="877" spans="1:7" x14ac:dyDescent="0.3">
      <c r="A877" s="160">
        <v>865</v>
      </c>
      <c r="B877" s="62">
        <v>190000</v>
      </c>
      <c r="C877" s="62">
        <v>99.105109999999996</v>
      </c>
      <c r="D877" s="62">
        <v>0.31618180000000001</v>
      </c>
      <c r="E877" s="62">
        <v>0</v>
      </c>
      <c r="F877" s="62">
        <v>11</v>
      </c>
      <c r="G877" s="62">
        <v>2</v>
      </c>
    </row>
    <row r="878" spans="1:7" x14ac:dyDescent="0.3">
      <c r="A878" s="160">
        <v>866</v>
      </c>
      <c r="B878" s="62">
        <v>190000</v>
      </c>
      <c r="C878" s="62">
        <v>99.22945</v>
      </c>
      <c r="D878" s="62">
        <v>0.37258750000000002</v>
      </c>
      <c r="E878" s="62">
        <v>0</v>
      </c>
      <c r="F878" s="62">
        <v>11</v>
      </c>
      <c r="G878" s="62">
        <v>2</v>
      </c>
    </row>
    <row r="879" spans="1:7" x14ac:dyDescent="0.3">
      <c r="A879" s="160">
        <v>867</v>
      </c>
      <c r="B879" s="62">
        <v>190000</v>
      </c>
      <c r="C879" s="62">
        <v>98.818150000000003</v>
      </c>
      <c r="D879" s="62">
        <v>0.2069281</v>
      </c>
      <c r="E879" s="62">
        <v>0</v>
      </c>
      <c r="F879" s="62">
        <v>11</v>
      </c>
      <c r="G879" s="62">
        <v>2</v>
      </c>
    </row>
    <row r="880" spans="1:7" x14ac:dyDescent="0.3">
      <c r="A880" s="160">
        <v>868</v>
      </c>
      <c r="B880" s="62">
        <v>190000</v>
      </c>
      <c r="C880" s="62">
        <v>99.011439999999993</v>
      </c>
      <c r="D880" s="62">
        <v>0.30588530000000003</v>
      </c>
      <c r="E880" s="62">
        <v>0</v>
      </c>
      <c r="F880" s="62">
        <v>11</v>
      </c>
      <c r="G880" s="62">
        <v>2</v>
      </c>
    </row>
    <row r="881" spans="1:7" x14ac:dyDescent="0.3">
      <c r="A881" s="160">
        <v>869</v>
      </c>
      <c r="B881" s="62">
        <v>190000</v>
      </c>
      <c r="C881" s="62">
        <v>99.177670000000006</v>
      </c>
      <c r="D881" s="62">
        <v>0.20298179999999999</v>
      </c>
      <c r="E881" s="62">
        <v>0</v>
      </c>
      <c r="F881" s="62">
        <v>11</v>
      </c>
      <c r="G881" s="62">
        <v>2</v>
      </c>
    </row>
    <row r="882" spans="1:7" x14ac:dyDescent="0.3">
      <c r="A882" s="160">
        <v>870</v>
      </c>
      <c r="B882" s="62">
        <v>190000</v>
      </c>
      <c r="C882" s="62">
        <v>99.045349999999999</v>
      </c>
      <c r="D882" s="62">
        <v>0.43334020000000001</v>
      </c>
      <c r="E882" s="62">
        <v>0</v>
      </c>
      <c r="F882" s="62">
        <v>11</v>
      </c>
      <c r="G882" s="62">
        <v>2</v>
      </c>
    </row>
    <row r="883" spans="1:7" x14ac:dyDescent="0.3">
      <c r="A883" s="160">
        <v>871</v>
      </c>
      <c r="B883" s="62">
        <v>50999.97</v>
      </c>
      <c r="C883" s="62">
        <v>99.219930000000005</v>
      </c>
      <c r="D883" s="62">
        <v>8.6357290000000003E-2</v>
      </c>
      <c r="E883" s="62">
        <v>0</v>
      </c>
      <c r="F883" s="62">
        <v>11</v>
      </c>
      <c r="G883" s="62">
        <v>2</v>
      </c>
    </row>
    <row r="884" spans="1:7" x14ac:dyDescent="0.3">
      <c r="A884" s="160">
        <v>872</v>
      </c>
      <c r="B884" s="62">
        <v>50999.97</v>
      </c>
      <c r="C884" s="62">
        <v>99.201970000000003</v>
      </c>
      <c r="D884" s="62">
        <v>0.15696850000000001</v>
      </c>
      <c r="E884" s="62">
        <v>0</v>
      </c>
      <c r="F884" s="62">
        <v>11</v>
      </c>
      <c r="G884" s="62">
        <v>2</v>
      </c>
    </row>
    <row r="885" spans="1:7" x14ac:dyDescent="0.3">
      <c r="A885" s="160">
        <v>873</v>
      </c>
      <c r="B885" s="62">
        <v>50999.97</v>
      </c>
      <c r="C885" s="62">
        <v>99.20693</v>
      </c>
      <c r="D885" s="62">
        <v>7.6709819999999998E-2</v>
      </c>
      <c r="E885" s="62">
        <v>0</v>
      </c>
      <c r="F885" s="62">
        <v>11</v>
      </c>
      <c r="G885" s="62">
        <v>2</v>
      </c>
    </row>
    <row r="886" spans="1:7" x14ac:dyDescent="0.3">
      <c r="A886" s="160">
        <v>874</v>
      </c>
      <c r="B886" s="62">
        <v>50999.97</v>
      </c>
      <c r="C886" s="62">
        <v>99.207409999999996</v>
      </c>
      <c r="D886" s="62">
        <v>8.2307190000000002E-2</v>
      </c>
      <c r="E886" s="62">
        <v>0</v>
      </c>
      <c r="F886" s="62">
        <v>11</v>
      </c>
      <c r="G886" s="62">
        <v>2</v>
      </c>
    </row>
    <row r="887" spans="1:7" x14ac:dyDescent="0.3">
      <c r="A887" s="160">
        <v>875</v>
      </c>
      <c r="B887" s="62">
        <v>50999.97</v>
      </c>
      <c r="C887" s="62">
        <v>99.228679999999997</v>
      </c>
      <c r="D887" s="62">
        <v>0.1514134</v>
      </c>
      <c r="E887" s="62">
        <v>0</v>
      </c>
      <c r="F887" s="62">
        <v>11</v>
      </c>
      <c r="G887" s="62">
        <v>2</v>
      </c>
    </row>
    <row r="888" spans="1:7" x14ac:dyDescent="0.3">
      <c r="A888" s="160">
        <v>876</v>
      </c>
      <c r="B888" s="62">
        <v>50999.97</v>
      </c>
      <c r="C888" s="62">
        <v>99.347170000000006</v>
      </c>
      <c r="D888" s="62">
        <v>6.4546590000000001E-2</v>
      </c>
      <c r="E888" s="62">
        <v>0</v>
      </c>
      <c r="F888" s="62">
        <v>11</v>
      </c>
      <c r="G888" s="62">
        <v>2</v>
      </c>
    </row>
    <row r="889" spans="1:7" x14ac:dyDescent="0.3">
      <c r="A889" s="160">
        <v>877</v>
      </c>
      <c r="B889" s="62">
        <v>50999.97</v>
      </c>
      <c r="C889" s="62">
        <v>99.220020000000005</v>
      </c>
      <c r="D889" s="62">
        <v>6.8443420000000005E-2</v>
      </c>
      <c r="E889" s="62">
        <v>0</v>
      </c>
      <c r="F889" s="62">
        <v>11</v>
      </c>
      <c r="G889" s="62">
        <v>2</v>
      </c>
    </row>
    <row r="890" spans="1:7" x14ac:dyDescent="0.3">
      <c r="A890" s="160">
        <v>878</v>
      </c>
      <c r="B890" s="62">
        <v>50999.97</v>
      </c>
      <c r="C890" s="62">
        <v>99.209969999999998</v>
      </c>
      <c r="D890" s="62">
        <v>8.2271410000000003E-2</v>
      </c>
      <c r="E890" s="62">
        <v>0</v>
      </c>
      <c r="F890" s="62">
        <v>11</v>
      </c>
      <c r="G890" s="62">
        <v>2</v>
      </c>
    </row>
    <row r="891" spans="1:7" x14ac:dyDescent="0.3">
      <c r="A891" s="160">
        <v>879</v>
      </c>
      <c r="B891" s="62">
        <v>50999.97</v>
      </c>
      <c r="C891" s="62">
        <v>99.136129999999994</v>
      </c>
      <c r="D891" s="62">
        <v>7.6310080000000002E-2</v>
      </c>
      <c r="E891" s="62">
        <v>0</v>
      </c>
      <c r="F891" s="62">
        <v>11</v>
      </c>
      <c r="G891" s="62">
        <v>2</v>
      </c>
    </row>
    <row r="892" spans="1:7" x14ac:dyDescent="0.3">
      <c r="A892" s="160">
        <v>880</v>
      </c>
      <c r="B892" s="62">
        <v>50999.97</v>
      </c>
      <c r="C892" s="62">
        <v>99.202439999999996</v>
      </c>
      <c r="D892" s="62">
        <v>7.7945730000000005E-2</v>
      </c>
      <c r="E892" s="62">
        <v>0</v>
      </c>
      <c r="F892" s="62">
        <v>11</v>
      </c>
      <c r="G892" s="62">
        <v>2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ImportImpedanceData">
                <anchor moveWithCells="1" sizeWithCells="1">
                  <from>
                    <xdr:col>0</xdr:col>
                    <xdr:colOff>220980</xdr:colOff>
                    <xdr:row>0</xdr:row>
                    <xdr:rowOff>76200</xdr:rowOff>
                  </from>
                  <to>
                    <xdr:col>6</xdr:col>
                    <xdr:colOff>449580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L121"/>
  <sheetViews>
    <sheetView topLeftCell="A100" workbookViewId="0">
      <selection activeCell="C2" sqref="C2"/>
    </sheetView>
  </sheetViews>
  <sheetFormatPr defaultColWidth="8.6640625" defaultRowHeight="14.4" x14ac:dyDescent="0.3"/>
  <cols>
    <col min="1" max="1" width="17.21875" style="2" bestFit="1" customWidth="1"/>
    <col min="2" max="2" width="12.44140625" style="2" bestFit="1" customWidth="1"/>
    <col min="3" max="3" width="11.6640625" style="2" bestFit="1" customWidth="1"/>
    <col min="4" max="10" width="8.6640625" style="2"/>
    <col min="11" max="11" width="14.109375" style="71" bestFit="1" customWidth="1"/>
    <col min="12" max="12" width="9.6640625" style="71" bestFit="1" customWidth="1"/>
    <col min="13" max="16384" width="8.6640625" style="2"/>
  </cols>
  <sheetData>
    <row r="1" spans="1:12" x14ac:dyDescent="0.3">
      <c r="A1" s="3" t="s">
        <v>47</v>
      </c>
      <c r="B1" s="2" t="s">
        <v>64</v>
      </c>
      <c r="C1" s="2" t="s">
        <v>184</v>
      </c>
    </row>
    <row r="2" spans="1:12" x14ac:dyDescent="0.3">
      <c r="A2" s="3" t="s">
        <v>138</v>
      </c>
      <c r="B2" s="2" t="str">
        <f>_xlfn.CONCAT(Connect!$G$1, " ", Connect!$J$1, " ", Connect!$D$1, " ", B1)</f>
        <v>v2 0 COM15 calibrate</v>
      </c>
      <c r="C2" s="2" t="str">
        <f>_xlfn.CONCAT(Connect!$G$1, " ", Connect!$J$1, " ", Connect!$D$1, " ", C1)</f>
        <v>v2 0 COM15 quality</v>
      </c>
      <c r="K2" s="71" t="s">
        <v>24</v>
      </c>
      <c r="L2" s="71">
        <v>3482.6179999999999</v>
      </c>
    </row>
    <row r="3" spans="1:12" x14ac:dyDescent="0.3">
      <c r="A3" s="112"/>
      <c r="B3" s="112"/>
      <c r="C3" s="4"/>
      <c r="D3" s="4"/>
      <c r="E3" s="4"/>
      <c r="F3" s="4"/>
      <c r="G3" s="4"/>
      <c r="H3" s="4"/>
      <c r="K3" s="71" t="s">
        <v>317</v>
      </c>
      <c r="L3" s="71">
        <v>-15212.73</v>
      </c>
    </row>
    <row r="4" spans="1:12" x14ac:dyDescent="0.3">
      <c r="A4" s="112"/>
      <c r="B4" s="112"/>
      <c r="C4" s="4"/>
      <c r="D4" s="4"/>
      <c r="E4" s="4"/>
      <c r="F4" s="4"/>
      <c r="G4" s="4"/>
      <c r="H4" s="4"/>
      <c r="K4" s="71" t="s">
        <v>318</v>
      </c>
      <c r="L4" s="71">
        <v>3276.8</v>
      </c>
    </row>
    <row r="5" spans="1:12" x14ac:dyDescent="0.3">
      <c r="A5" s="112"/>
      <c r="B5" s="112"/>
      <c r="C5" s="4"/>
      <c r="D5" s="4"/>
      <c r="E5" s="4"/>
      <c r="F5" s="4"/>
      <c r="G5" s="4"/>
      <c r="H5" s="4"/>
      <c r="K5" s="71" t="s">
        <v>319</v>
      </c>
      <c r="L5" s="71">
        <v>3276.8</v>
      </c>
    </row>
    <row r="6" spans="1:12" x14ac:dyDescent="0.3">
      <c r="K6" s="71" t="s">
        <v>25</v>
      </c>
      <c r="L6" s="71">
        <v>-2749.9929999999999</v>
      </c>
    </row>
    <row r="7" spans="1:12" x14ac:dyDescent="0.3">
      <c r="A7" s="3" t="s">
        <v>137</v>
      </c>
      <c r="B7" s="3" t="s">
        <v>138</v>
      </c>
      <c r="C7" s="3" t="s">
        <v>169</v>
      </c>
      <c r="K7" s="71" t="s">
        <v>26</v>
      </c>
      <c r="L7" s="71">
        <v>-2749.9929999999999</v>
      </c>
    </row>
    <row r="8" spans="1:12" x14ac:dyDescent="0.3">
      <c r="A8" s="2" t="s">
        <v>24</v>
      </c>
      <c r="B8" s="2">
        <f>Data!F35</f>
        <v>3482.6173713116841</v>
      </c>
      <c r="C8" s="2">
        <f t="shared" ref="C8:C39" si="0">L2</f>
        <v>3482.6179999999999</v>
      </c>
      <c r="K8" s="71" t="s">
        <v>27</v>
      </c>
      <c r="L8" s="71">
        <v>0</v>
      </c>
    </row>
    <row r="9" spans="1:12" x14ac:dyDescent="0.3">
      <c r="A9" s="2" t="s">
        <v>317</v>
      </c>
      <c r="B9" s="2">
        <f>Data!F38</f>
        <v>-15212.728911081216</v>
      </c>
      <c r="C9" s="2">
        <f t="shared" si="0"/>
        <v>-15212.73</v>
      </c>
      <c r="K9" s="71" t="s">
        <v>34</v>
      </c>
      <c r="L9" s="72">
        <v>3.6633329999999998E-4</v>
      </c>
    </row>
    <row r="10" spans="1:12" x14ac:dyDescent="0.3">
      <c r="A10" s="2" t="s">
        <v>318</v>
      </c>
      <c r="B10" s="2">
        <f>Data!F41</f>
        <v>3276.8</v>
      </c>
      <c r="C10" s="2">
        <f t="shared" si="0"/>
        <v>3276.8</v>
      </c>
      <c r="K10" s="71" t="s">
        <v>35</v>
      </c>
      <c r="L10" s="72">
        <v>3.6633329999999998E-4</v>
      </c>
    </row>
    <row r="11" spans="1:12" x14ac:dyDescent="0.3">
      <c r="A11" s="2" t="s">
        <v>319</v>
      </c>
      <c r="B11" s="2">
        <f>Data!F44</f>
        <v>3276.8</v>
      </c>
      <c r="C11" s="2">
        <f t="shared" si="0"/>
        <v>3276.8</v>
      </c>
      <c r="K11" s="71" t="s">
        <v>36</v>
      </c>
      <c r="L11" s="72">
        <v>0</v>
      </c>
    </row>
    <row r="12" spans="1:12" x14ac:dyDescent="0.3">
      <c r="A12" s="2" t="s">
        <v>25</v>
      </c>
      <c r="B12" s="2">
        <f>Data!F29</f>
        <v>-2762.5203619602312</v>
      </c>
      <c r="C12" s="2">
        <f t="shared" si="0"/>
        <v>-2749.9929999999999</v>
      </c>
      <c r="K12" s="71" t="s">
        <v>37</v>
      </c>
      <c r="L12" s="72">
        <v>-3.0517579999999998E-4</v>
      </c>
    </row>
    <row r="13" spans="1:12" x14ac:dyDescent="0.3">
      <c r="A13" s="2" t="s">
        <v>26</v>
      </c>
      <c r="B13" s="2">
        <f>Data!F26</f>
        <v>-2762.6968752353414</v>
      </c>
      <c r="C13" s="2">
        <f t="shared" si="0"/>
        <v>-2749.9929999999999</v>
      </c>
      <c r="K13" s="71" t="s">
        <v>38</v>
      </c>
      <c r="L13" s="72">
        <v>-3.0517579999999998E-4</v>
      </c>
    </row>
    <row r="14" spans="1:12" x14ac:dyDescent="0.3">
      <c r="A14" s="2" t="s">
        <v>27</v>
      </c>
      <c r="B14" s="2">
        <f>Data!F32</f>
        <v>-115.66914514332684</v>
      </c>
      <c r="C14" s="2">
        <f t="shared" si="0"/>
        <v>0</v>
      </c>
      <c r="K14" s="71" t="s">
        <v>39</v>
      </c>
      <c r="L14" s="72">
        <v>0</v>
      </c>
    </row>
    <row r="15" spans="1:12" x14ac:dyDescent="0.3">
      <c r="A15" s="2" t="s">
        <v>34</v>
      </c>
      <c r="B15" s="2">
        <f>Data!H29</f>
        <v>-3.6655853609991214E-4</v>
      </c>
      <c r="C15" s="2">
        <f t="shared" si="0"/>
        <v>3.6633329999999998E-4</v>
      </c>
      <c r="K15" s="71" t="s">
        <v>40</v>
      </c>
      <c r="L15" s="72">
        <v>7.6385679999999999E-4</v>
      </c>
    </row>
    <row r="16" spans="1:12" x14ac:dyDescent="0.3">
      <c r="A16" s="2" t="s">
        <v>35</v>
      </c>
      <c r="B16" s="2">
        <f>Data!H26</f>
        <v>-3.6655136294095876E-4</v>
      </c>
      <c r="C16" s="2">
        <f t="shared" si="0"/>
        <v>3.6633329999999998E-4</v>
      </c>
      <c r="K16" s="71" t="s">
        <v>41</v>
      </c>
      <c r="L16" s="72">
        <v>7.6385679999999999E-4</v>
      </c>
    </row>
    <row r="17" spans="1:12" x14ac:dyDescent="0.3">
      <c r="A17" s="2" t="s">
        <v>36</v>
      </c>
      <c r="B17" s="2">
        <f>Data!H32</f>
        <v>-3.4160489460084709E-4</v>
      </c>
      <c r="C17" s="2">
        <f t="shared" si="0"/>
        <v>0</v>
      </c>
      <c r="K17" s="71" t="s">
        <v>42</v>
      </c>
      <c r="L17" s="72">
        <v>0</v>
      </c>
    </row>
    <row r="18" spans="1:12" x14ac:dyDescent="0.3">
      <c r="A18" s="2" t="s">
        <v>37</v>
      </c>
      <c r="B18" s="2">
        <f>Data!J29</f>
        <v>-3.0529664539437459E-4</v>
      </c>
      <c r="C18" s="2">
        <f t="shared" si="0"/>
        <v>-3.0517579999999998E-4</v>
      </c>
      <c r="K18" s="71" t="s">
        <v>91</v>
      </c>
      <c r="L18" s="72">
        <v>-0.3051758</v>
      </c>
    </row>
    <row r="19" spans="1:12" x14ac:dyDescent="0.3">
      <c r="A19" s="2" t="s">
        <v>38</v>
      </c>
      <c r="B19" s="2">
        <f>Data!J26</f>
        <v>-3.0536732239694656E-4</v>
      </c>
      <c r="C19" s="2">
        <f t="shared" si="0"/>
        <v>-3.0517579999999998E-4</v>
      </c>
      <c r="K19" s="71" t="s">
        <v>89</v>
      </c>
      <c r="L19" s="72">
        <v>-3.0517579999999999E-2</v>
      </c>
    </row>
    <row r="20" spans="1:12" x14ac:dyDescent="0.3">
      <c r="A20" s="2" t="s">
        <v>39</v>
      </c>
      <c r="B20" s="2">
        <f>Data!J32</f>
        <v>-5.5626099371923546E-3</v>
      </c>
      <c r="C20" s="2">
        <f t="shared" si="0"/>
        <v>0</v>
      </c>
      <c r="K20" s="71" t="s">
        <v>90</v>
      </c>
      <c r="L20" s="72">
        <v>-3.0517579999999999E-3</v>
      </c>
    </row>
    <row r="21" spans="1:12" x14ac:dyDescent="0.3">
      <c r="A21" s="2" t="s">
        <v>40</v>
      </c>
      <c r="B21" s="2">
        <f>Data!N29</f>
        <v>-7.6586989438679485E-4</v>
      </c>
      <c r="C21" s="2">
        <f t="shared" si="0"/>
        <v>7.6385679999999999E-4</v>
      </c>
      <c r="K21" s="71" t="s">
        <v>92</v>
      </c>
      <c r="L21" s="72">
        <v>-3.0517579999999998E-4</v>
      </c>
    </row>
    <row r="22" spans="1:12" x14ac:dyDescent="0.3">
      <c r="A22" s="2" t="s">
        <v>41</v>
      </c>
      <c r="B22" s="2">
        <f>Data!N26</f>
        <v>-7.6592463168086774E-4</v>
      </c>
      <c r="C22" s="2">
        <f t="shared" si="0"/>
        <v>7.6385679999999999E-4</v>
      </c>
      <c r="K22" s="71" t="s">
        <v>93</v>
      </c>
      <c r="L22" s="72">
        <v>-3.0517579999999999E-5</v>
      </c>
    </row>
    <row r="23" spans="1:12" x14ac:dyDescent="0.3">
      <c r="A23" s="2" t="s">
        <v>42</v>
      </c>
      <c r="B23" s="2">
        <f>Data!N32</f>
        <v>-1.0186234600345276E-3</v>
      </c>
      <c r="C23" s="2">
        <f t="shared" si="0"/>
        <v>0</v>
      </c>
      <c r="K23" s="71" t="s">
        <v>94</v>
      </c>
      <c r="L23" s="72">
        <v>-3.0517579999999998E-6</v>
      </c>
    </row>
    <row r="24" spans="1:12" x14ac:dyDescent="0.3">
      <c r="A24" s="2" t="s">
        <v>91</v>
      </c>
      <c r="B24" s="2">
        <f>Data!T29</f>
        <v>-0.2975036581947253</v>
      </c>
      <c r="C24" s="2">
        <f t="shared" si="0"/>
        <v>-0.3051758</v>
      </c>
      <c r="K24" s="71" t="s">
        <v>95</v>
      </c>
      <c r="L24" s="72">
        <v>-3.0517579999999999E-7</v>
      </c>
    </row>
    <row r="25" spans="1:12" x14ac:dyDescent="0.3">
      <c r="A25" s="2" t="s">
        <v>89</v>
      </c>
      <c r="B25" s="2">
        <f>Data!Z29</f>
        <v>-1.8780992078422508E-2</v>
      </c>
      <c r="C25" s="2">
        <f t="shared" si="0"/>
        <v>-3.0517579999999999E-2</v>
      </c>
      <c r="K25" s="71" t="s">
        <v>96</v>
      </c>
      <c r="L25" s="72">
        <v>-3.0517580000000001E-8</v>
      </c>
    </row>
    <row r="26" spans="1:12" x14ac:dyDescent="0.3">
      <c r="A26" s="2" t="s">
        <v>90</v>
      </c>
      <c r="B26" s="2">
        <f>Data!AF29</f>
        <v>-3.0295617789648562E-3</v>
      </c>
      <c r="C26" s="2">
        <f t="shared" si="0"/>
        <v>-3.0517579999999999E-3</v>
      </c>
      <c r="K26" s="71" t="s">
        <v>97</v>
      </c>
      <c r="L26" s="72">
        <v>-0.3051758</v>
      </c>
    </row>
    <row r="27" spans="1:12" x14ac:dyDescent="0.3">
      <c r="A27" s="2" t="s">
        <v>92</v>
      </c>
      <c r="B27" s="2">
        <f>Data!AL29</f>
        <v>-3.029793234579683E-4</v>
      </c>
      <c r="C27" s="2">
        <f t="shared" si="0"/>
        <v>-3.0517579999999998E-4</v>
      </c>
      <c r="K27" s="71" t="s">
        <v>98</v>
      </c>
      <c r="L27" s="72">
        <v>-3.0517579999999999E-2</v>
      </c>
    </row>
    <row r="28" spans="1:12" x14ac:dyDescent="0.3">
      <c r="A28" s="2" t="s">
        <v>93</v>
      </c>
      <c r="B28" s="2">
        <f>Data!AR29</f>
        <v>-3.029189439743513E-5</v>
      </c>
      <c r="C28" s="2">
        <f t="shared" si="0"/>
        <v>-3.0517579999999999E-5</v>
      </c>
      <c r="K28" s="71" t="s">
        <v>99</v>
      </c>
      <c r="L28" s="72">
        <v>-3.0517579999999999E-3</v>
      </c>
    </row>
    <row r="29" spans="1:12" x14ac:dyDescent="0.3">
      <c r="A29" s="2" t="s">
        <v>94</v>
      </c>
      <c r="B29" s="2">
        <f>Data!AX29</f>
        <v>-3.029895202644959E-6</v>
      </c>
      <c r="C29" s="2">
        <f t="shared" si="0"/>
        <v>-3.0517579999999998E-6</v>
      </c>
      <c r="K29" s="71" t="s">
        <v>100</v>
      </c>
      <c r="L29" s="72">
        <v>-3.0517579999999998E-4</v>
      </c>
    </row>
    <row r="30" spans="1:12" x14ac:dyDescent="0.3">
      <c r="A30" s="2" t="s">
        <v>95</v>
      </c>
      <c r="B30" s="2">
        <f>Data!BD29</f>
        <v>-3.0375210816500967E-7</v>
      </c>
      <c r="C30" s="2">
        <f t="shared" si="0"/>
        <v>-3.0517579999999999E-7</v>
      </c>
      <c r="K30" s="71" t="s">
        <v>101</v>
      </c>
      <c r="L30" s="72">
        <v>-3.0517579999999999E-5</v>
      </c>
    </row>
    <row r="31" spans="1:12" x14ac:dyDescent="0.3">
      <c r="A31" s="2" t="s">
        <v>96</v>
      </c>
      <c r="B31" s="2">
        <f>Data!BJ29</f>
        <v>-3.0520572005372811E-8</v>
      </c>
      <c r="C31" s="2">
        <f t="shared" si="0"/>
        <v>-3.0517580000000001E-8</v>
      </c>
      <c r="K31" s="71" t="s">
        <v>102</v>
      </c>
      <c r="L31" s="72">
        <v>-3.0517579999999998E-6</v>
      </c>
    </row>
    <row r="32" spans="1:12" x14ac:dyDescent="0.3">
      <c r="A32" s="2" t="s">
        <v>97</v>
      </c>
      <c r="B32" s="2">
        <f>Data!T26</f>
        <v>-0.29760001211530213</v>
      </c>
      <c r="C32" s="2">
        <f t="shared" si="0"/>
        <v>-0.3051758</v>
      </c>
      <c r="K32" s="71" t="s">
        <v>103</v>
      </c>
      <c r="L32" s="72">
        <v>-3.0517579999999999E-7</v>
      </c>
    </row>
    <row r="33" spans="1:12" x14ac:dyDescent="0.3">
      <c r="A33" s="2" t="s">
        <v>98</v>
      </c>
      <c r="B33" s="2">
        <f>Data!Z26</f>
        <v>-1.8782451181035862E-2</v>
      </c>
      <c r="C33" s="2">
        <f t="shared" si="0"/>
        <v>-3.0517579999999999E-2</v>
      </c>
      <c r="K33" s="71" t="s">
        <v>104</v>
      </c>
      <c r="L33" s="72">
        <v>-3.0517580000000001E-8</v>
      </c>
    </row>
    <row r="34" spans="1:12" x14ac:dyDescent="0.3">
      <c r="A34" s="2" t="s">
        <v>99</v>
      </c>
      <c r="B34" s="2">
        <f>Data!AF26</f>
        <v>-3.0303051492499206E-3</v>
      </c>
      <c r="C34" s="2">
        <f t="shared" si="0"/>
        <v>-3.0517579999999999E-3</v>
      </c>
      <c r="K34" s="71" t="s">
        <v>105</v>
      </c>
      <c r="L34" s="72">
        <v>0</v>
      </c>
    </row>
    <row r="35" spans="1:12" x14ac:dyDescent="0.3">
      <c r="A35" s="2" t="s">
        <v>100</v>
      </c>
      <c r="B35" s="2">
        <f>Data!AL26</f>
        <v>-3.030485936183404E-4</v>
      </c>
      <c r="C35" s="2">
        <f t="shared" si="0"/>
        <v>-3.0517579999999998E-4</v>
      </c>
      <c r="K35" s="71" t="s">
        <v>106</v>
      </c>
      <c r="L35" s="72">
        <v>0</v>
      </c>
    </row>
    <row r="36" spans="1:12" x14ac:dyDescent="0.3">
      <c r="A36" s="2" t="s">
        <v>101</v>
      </c>
      <c r="B36" s="2">
        <f>Data!AR26</f>
        <v>-3.030598676196205E-5</v>
      </c>
      <c r="C36" s="2">
        <f t="shared" si="0"/>
        <v>-3.0517579999999999E-5</v>
      </c>
      <c r="K36" s="71" t="s">
        <v>107</v>
      </c>
      <c r="L36" s="72">
        <v>0</v>
      </c>
    </row>
    <row r="37" spans="1:12" x14ac:dyDescent="0.3">
      <c r="A37" s="2" t="s">
        <v>102</v>
      </c>
      <c r="B37" s="2">
        <f>Data!AX26</f>
        <v>-3.0335492254230637E-6</v>
      </c>
      <c r="C37" s="2">
        <f t="shared" si="0"/>
        <v>-3.0517579999999998E-6</v>
      </c>
      <c r="K37" s="71" t="s">
        <v>108</v>
      </c>
      <c r="L37" s="72">
        <v>0</v>
      </c>
    </row>
    <row r="38" spans="1:12" x14ac:dyDescent="0.3">
      <c r="A38" s="2" t="s">
        <v>103</v>
      </c>
      <c r="B38" s="2">
        <f>Data!BD26</f>
        <v>-3.0282732278613847E-7</v>
      </c>
      <c r="C38" s="2">
        <f t="shared" si="0"/>
        <v>-3.0517579999999999E-7</v>
      </c>
      <c r="K38" s="71" t="s">
        <v>109</v>
      </c>
      <c r="L38" s="72">
        <v>0</v>
      </c>
    </row>
    <row r="39" spans="1:12" x14ac:dyDescent="0.3">
      <c r="A39" s="2" t="s">
        <v>104</v>
      </c>
      <c r="B39" s="2">
        <f>Data!BJ26</f>
        <v>-3.0156203201960525E-8</v>
      </c>
      <c r="C39" s="2">
        <f t="shared" si="0"/>
        <v>-3.0517580000000001E-8</v>
      </c>
      <c r="K39" s="71" t="s">
        <v>110</v>
      </c>
      <c r="L39" s="72">
        <v>0</v>
      </c>
    </row>
    <row r="40" spans="1:12" x14ac:dyDescent="0.3">
      <c r="A40" s="2" t="s">
        <v>105</v>
      </c>
      <c r="B40" s="2">
        <f>Data!T32</f>
        <v>-5.5659139295016757E-2</v>
      </c>
      <c r="C40" s="2">
        <f t="shared" ref="C40:C71" si="1">L34</f>
        <v>0</v>
      </c>
      <c r="K40" s="71" t="s">
        <v>111</v>
      </c>
      <c r="L40" s="72">
        <v>0</v>
      </c>
    </row>
    <row r="41" spans="1:12" x14ac:dyDescent="0.3">
      <c r="A41" s="2" t="s">
        <v>106</v>
      </c>
      <c r="B41" s="2">
        <f>Data!Z32</f>
        <v>-9.2126629410638761E-3</v>
      </c>
      <c r="C41" s="2">
        <f t="shared" si="1"/>
        <v>0</v>
      </c>
      <c r="K41" s="71" t="s">
        <v>112</v>
      </c>
      <c r="L41" s="72">
        <v>0</v>
      </c>
    </row>
    <row r="42" spans="1:12" x14ac:dyDescent="0.3">
      <c r="A42" s="2" t="s">
        <v>107</v>
      </c>
      <c r="B42" s="2">
        <f>Data!AF32</f>
        <v>-8.9362199190583594E-4</v>
      </c>
      <c r="C42" s="2">
        <f t="shared" si="1"/>
        <v>0</v>
      </c>
      <c r="K42" s="71" t="s">
        <v>113</v>
      </c>
      <c r="L42" s="71">
        <v>-27.774930000000001</v>
      </c>
    </row>
    <row r="43" spans="1:12" x14ac:dyDescent="0.3">
      <c r="A43" s="2" t="s">
        <v>108</v>
      </c>
      <c r="B43" s="2">
        <f>Data!AL32</f>
        <v>-1.6574923696264588E-4</v>
      </c>
      <c r="C43" s="2">
        <f t="shared" si="1"/>
        <v>0</v>
      </c>
      <c r="K43" s="71" t="s">
        <v>114</v>
      </c>
      <c r="L43" s="71">
        <v>-277.74930000000001</v>
      </c>
    </row>
    <row r="44" spans="1:12" x14ac:dyDescent="0.3">
      <c r="A44" s="2" t="s">
        <v>109</v>
      </c>
      <c r="B44" s="2">
        <f>Data!AR32</f>
        <v>-1.5198889302835269E-5</v>
      </c>
      <c r="C44" s="2">
        <f t="shared" si="1"/>
        <v>0</v>
      </c>
      <c r="K44" s="71" t="s">
        <v>115</v>
      </c>
      <c r="L44" s="71">
        <v>-2777.4929999999999</v>
      </c>
    </row>
    <row r="45" spans="1:12" x14ac:dyDescent="0.3">
      <c r="A45" s="2" t="s">
        <v>110</v>
      </c>
      <c r="B45" s="2">
        <f>Data!AX32</f>
        <v>-6.156289494999709E-7</v>
      </c>
      <c r="C45" s="2">
        <f t="shared" si="1"/>
        <v>0</v>
      </c>
      <c r="K45" s="71" t="s">
        <v>116</v>
      </c>
      <c r="L45" s="71">
        <v>-27774.93</v>
      </c>
    </row>
    <row r="46" spans="1:12" x14ac:dyDescent="0.3">
      <c r="A46" s="2" t="s">
        <v>111</v>
      </c>
      <c r="B46" s="2">
        <f>Data!BD32</f>
        <v>-2.6239772851887844E-8</v>
      </c>
      <c r="C46" s="2">
        <f t="shared" si="1"/>
        <v>0</v>
      </c>
      <c r="K46" s="71" t="s">
        <v>117</v>
      </c>
      <c r="L46" s="72">
        <v>-277749.3</v>
      </c>
    </row>
    <row r="47" spans="1:12" x14ac:dyDescent="0.3">
      <c r="A47" s="2" t="s">
        <v>112</v>
      </c>
      <c r="B47" s="2">
        <f>Data!BJ32</f>
        <v>2.0394844885198198E-7</v>
      </c>
      <c r="C47" s="2">
        <f t="shared" si="1"/>
        <v>0</v>
      </c>
      <c r="K47" s="71" t="s">
        <v>118</v>
      </c>
      <c r="L47" s="71">
        <v>-2777493</v>
      </c>
    </row>
    <row r="48" spans="1:12" x14ac:dyDescent="0.3">
      <c r="A48" s="2" t="s">
        <v>113</v>
      </c>
      <c r="B48" s="2">
        <f>Data!R29</f>
        <v>-28.414184845457498</v>
      </c>
      <c r="C48" s="2">
        <f t="shared" si="1"/>
        <v>-27.774930000000001</v>
      </c>
      <c r="K48" s="71" t="s">
        <v>119</v>
      </c>
      <c r="L48" s="72">
        <v>-27774930</v>
      </c>
    </row>
    <row r="49" spans="1:12" x14ac:dyDescent="0.3">
      <c r="A49" s="2" t="s">
        <v>114</v>
      </c>
      <c r="B49" s="2">
        <f>Data!X29</f>
        <v>-450.24480258820404</v>
      </c>
      <c r="C49" s="2">
        <f t="shared" si="1"/>
        <v>-277.74930000000001</v>
      </c>
      <c r="K49" s="71" t="s">
        <v>120</v>
      </c>
      <c r="L49" s="72">
        <v>-277749300</v>
      </c>
    </row>
    <row r="50" spans="1:12" x14ac:dyDescent="0.3">
      <c r="A50" s="2" t="s">
        <v>115</v>
      </c>
      <c r="B50" s="2">
        <f>Data!AD29</f>
        <v>-2791.1613454648541</v>
      </c>
      <c r="C50" s="2">
        <f t="shared" si="1"/>
        <v>-2777.4929999999999</v>
      </c>
      <c r="K50" s="71" t="s">
        <v>121</v>
      </c>
      <c r="L50" s="71">
        <v>-27.774930000000001</v>
      </c>
    </row>
    <row r="51" spans="1:12" x14ac:dyDescent="0.3">
      <c r="A51" s="2" t="s">
        <v>116</v>
      </c>
      <c r="B51" s="2">
        <f>Data!AJ29</f>
        <v>-27911.565884932344</v>
      </c>
      <c r="C51" s="2">
        <f t="shared" si="1"/>
        <v>-27774.93</v>
      </c>
      <c r="K51" s="71" t="s">
        <v>122</v>
      </c>
      <c r="L51" s="71">
        <v>-277.74930000000001</v>
      </c>
    </row>
    <row r="52" spans="1:12" x14ac:dyDescent="0.3">
      <c r="A52" s="2" t="s">
        <v>117</v>
      </c>
      <c r="B52" s="2">
        <f>Data!AP29</f>
        <v>-279170.48533974675</v>
      </c>
      <c r="C52" s="2">
        <f t="shared" si="1"/>
        <v>-277749.3</v>
      </c>
      <c r="K52" s="71" t="s">
        <v>123</v>
      </c>
      <c r="L52" s="71">
        <v>-2777.4929999999999</v>
      </c>
    </row>
    <row r="53" spans="1:12" x14ac:dyDescent="0.3">
      <c r="A53" s="2" t="s">
        <v>118</v>
      </c>
      <c r="B53" s="2">
        <f>Data!AV29</f>
        <v>-2790755.3946121796</v>
      </c>
      <c r="C53" s="2">
        <f t="shared" si="1"/>
        <v>-2777493</v>
      </c>
      <c r="K53" s="71" t="s">
        <v>124</v>
      </c>
      <c r="L53" s="71">
        <v>-27774.93</v>
      </c>
    </row>
    <row r="54" spans="1:12" x14ac:dyDescent="0.3">
      <c r="A54" s="2" t="s">
        <v>119</v>
      </c>
      <c r="B54" s="2">
        <f>Data!BB29</f>
        <v>-27839366.06277775</v>
      </c>
      <c r="C54" s="2">
        <f t="shared" si="1"/>
        <v>-27774930</v>
      </c>
      <c r="K54" s="71" t="s">
        <v>125</v>
      </c>
      <c r="L54" s="71">
        <v>-277749.3</v>
      </c>
    </row>
    <row r="55" spans="1:12" x14ac:dyDescent="0.3">
      <c r="A55" s="2" t="s">
        <v>120</v>
      </c>
      <c r="B55" s="2">
        <f>Data!BH29</f>
        <v>-276924168.42509687</v>
      </c>
      <c r="C55" s="2">
        <f t="shared" si="1"/>
        <v>-277749300</v>
      </c>
      <c r="K55" s="71" t="s">
        <v>126</v>
      </c>
      <c r="L55" s="71">
        <v>-2777493</v>
      </c>
    </row>
    <row r="56" spans="1:12" x14ac:dyDescent="0.3">
      <c r="A56" s="2" t="s">
        <v>121</v>
      </c>
      <c r="B56" s="2">
        <f>Data!R26</f>
        <v>-28.415104560192507</v>
      </c>
      <c r="C56" s="2">
        <f t="shared" si="1"/>
        <v>-27.774930000000001</v>
      </c>
      <c r="K56" s="71" t="s">
        <v>127</v>
      </c>
      <c r="L56" s="72">
        <v>-27774930</v>
      </c>
    </row>
    <row r="57" spans="1:12" x14ac:dyDescent="0.3">
      <c r="A57" s="2" t="s">
        <v>122</v>
      </c>
      <c r="B57" s="2">
        <f>Data!X26</f>
        <v>-450.33662789321386</v>
      </c>
      <c r="C57" s="2">
        <f t="shared" si="1"/>
        <v>-277.74930000000001</v>
      </c>
      <c r="K57" s="71" t="s">
        <v>128</v>
      </c>
      <c r="L57" s="72">
        <v>-277749300</v>
      </c>
    </row>
    <row r="58" spans="1:12" x14ac:dyDescent="0.3">
      <c r="A58" s="2" t="s">
        <v>123</v>
      </c>
      <c r="B58" s="2">
        <f>Data!AD26</f>
        <v>-2791.4229597738708</v>
      </c>
      <c r="C58" s="2">
        <f t="shared" si="1"/>
        <v>-2777.4929999999999</v>
      </c>
      <c r="K58" s="71" t="s">
        <v>129</v>
      </c>
      <c r="L58" s="72">
        <v>0</v>
      </c>
    </row>
    <row r="59" spans="1:12" x14ac:dyDescent="0.3">
      <c r="A59" s="2" t="s">
        <v>124</v>
      </c>
      <c r="B59" s="2">
        <f>Data!AJ26</f>
        <v>-27911.120076569499</v>
      </c>
      <c r="C59" s="2">
        <f t="shared" si="1"/>
        <v>-27774.93</v>
      </c>
      <c r="K59" s="71" t="s">
        <v>130</v>
      </c>
      <c r="L59" s="72">
        <v>0</v>
      </c>
    </row>
    <row r="60" spans="1:12" x14ac:dyDescent="0.3">
      <c r="A60" s="2" t="s">
        <v>125</v>
      </c>
      <c r="B60" s="2">
        <f>Data!AP26</f>
        <v>-279108.83623091481</v>
      </c>
      <c r="C60" s="2">
        <f t="shared" si="1"/>
        <v>-277749.3</v>
      </c>
      <c r="K60" s="71" t="s">
        <v>131</v>
      </c>
      <c r="L60" s="72">
        <v>0</v>
      </c>
    </row>
    <row r="61" spans="1:12" x14ac:dyDescent="0.3">
      <c r="A61" s="2" t="s">
        <v>126</v>
      </c>
      <c r="B61" s="2">
        <f>Data!AV26</f>
        <v>-2788507.9526627134</v>
      </c>
      <c r="C61" s="2">
        <f t="shared" si="1"/>
        <v>-2777493</v>
      </c>
      <c r="K61" s="71" t="s">
        <v>132</v>
      </c>
      <c r="L61" s="72">
        <v>0</v>
      </c>
    </row>
    <row r="62" spans="1:12" x14ac:dyDescent="0.3">
      <c r="A62" s="2" t="s">
        <v>127</v>
      </c>
      <c r="B62" s="2">
        <f>Data!BB26</f>
        <v>-27931501.204462372</v>
      </c>
      <c r="C62" s="2">
        <f t="shared" si="1"/>
        <v>-27774930</v>
      </c>
      <c r="K62" s="71" t="s">
        <v>133</v>
      </c>
      <c r="L62" s="71">
        <v>0</v>
      </c>
    </row>
    <row r="63" spans="1:12" x14ac:dyDescent="0.3">
      <c r="A63" s="2" t="s">
        <v>128</v>
      </c>
      <c r="B63" s="2">
        <f>Data!BH26</f>
        <v>-280343623.73731208</v>
      </c>
      <c r="C63" s="2">
        <f t="shared" si="1"/>
        <v>-277749300</v>
      </c>
      <c r="K63" s="71" t="s">
        <v>134</v>
      </c>
      <c r="L63" s="71">
        <v>0</v>
      </c>
    </row>
    <row r="64" spans="1:12" x14ac:dyDescent="0.3">
      <c r="A64" s="2" t="s">
        <v>129</v>
      </c>
      <c r="B64" s="2">
        <f>Data!R32</f>
        <v>-88.607057474711027</v>
      </c>
      <c r="C64" s="2">
        <f t="shared" si="1"/>
        <v>0</v>
      </c>
      <c r="K64" s="71" t="s">
        <v>135</v>
      </c>
      <c r="L64" s="71">
        <v>0</v>
      </c>
    </row>
    <row r="65" spans="1:12" x14ac:dyDescent="0.3">
      <c r="A65" s="2" t="s">
        <v>130</v>
      </c>
      <c r="B65" s="2">
        <f>Data!X32</f>
        <v>-90.830824041771493</v>
      </c>
      <c r="C65" s="2">
        <f t="shared" si="1"/>
        <v>0</v>
      </c>
      <c r="K65" s="71" t="s">
        <v>136</v>
      </c>
      <c r="L65" s="71">
        <v>0</v>
      </c>
    </row>
    <row r="66" spans="1:12" x14ac:dyDescent="0.3">
      <c r="A66" s="2" t="s">
        <v>131</v>
      </c>
      <c r="B66" s="2">
        <f>Data!AD32</f>
        <v>-88.89466890276077</v>
      </c>
      <c r="C66" s="2">
        <f t="shared" si="1"/>
        <v>0</v>
      </c>
      <c r="K66" s="71" t="s">
        <v>231</v>
      </c>
      <c r="L66" s="71">
        <v>0</v>
      </c>
    </row>
    <row r="67" spans="1:12" x14ac:dyDescent="0.3">
      <c r="A67" s="2" t="s">
        <v>132</v>
      </c>
      <c r="B67" s="2">
        <f>Data!AJ32</f>
        <v>-90.498174106056638</v>
      </c>
      <c r="C67" s="2">
        <f t="shared" si="1"/>
        <v>0</v>
      </c>
      <c r="K67" s="71" t="s">
        <v>232</v>
      </c>
      <c r="L67" s="71">
        <v>0</v>
      </c>
    </row>
    <row r="68" spans="1:12" x14ac:dyDescent="0.3">
      <c r="A68" s="2" t="s">
        <v>133</v>
      </c>
      <c r="B68" s="2">
        <f>Data!AP32</f>
        <v>-90.11622826999826</v>
      </c>
      <c r="C68" s="2">
        <f t="shared" si="1"/>
        <v>0</v>
      </c>
      <c r="K68" s="71" t="s">
        <v>233</v>
      </c>
      <c r="L68" s="71">
        <v>0</v>
      </c>
    </row>
    <row r="69" spans="1:12" x14ac:dyDescent="0.3">
      <c r="A69" s="2" t="s">
        <v>134</v>
      </c>
      <c r="B69" s="2">
        <f>Data!AV32</f>
        <v>-87.749466323780439</v>
      </c>
      <c r="C69" s="2">
        <f t="shared" si="1"/>
        <v>0</v>
      </c>
      <c r="K69" s="71" t="s">
        <v>234</v>
      </c>
      <c r="L69" s="71">
        <v>0</v>
      </c>
    </row>
    <row r="70" spans="1:12" x14ac:dyDescent="0.3">
      <c r="A70" s="2" t="s">
        <v>135</v>
      </c>
      <c r="B70" s="2">
        <f>Data!BB32</f>
        <v>-86.768076002414219</v>
      </c>
      <c r="C70" s="2">
        <f t="shared" si="1"/>
        <v>0</v>
      </c>
      <c r="K70" s="71" t="s">
        <v>235</v>
      </c>
      <c r="L70" s="71">
        <v>0</v>
      </c>
    </row>
    <row r="71" spans="1:12" x14ac:dyDescent="0.3">
      <c r="A71" s="2" t="s">
        <v>136</v>
      </c>
      <c r="B71" s="2">
        <f>Data!BH32</f>
        <v>-28.091632501040849</v>
      </c>
      <c r="C71" s="2">
        <f t="shared" si="1"/>
        <v>0</v>
      </c>
      <c r="K71" s="71" t="s">
        <v>236</v>
      </c>
      <c r="L71" s="71">
        <v>0</v>
      </c>
    </row>
    <row r="72" spans="1:12" x14ac:dyDescent="0.3">
      <c r="A72" s="2" t="s">
        <v>231</v>
      </c>
      <c r="B72" s="2">
        <f>'HF phase angle'!O13</f>
        <v>0</v>
      </c>
      <c r="C72" s="2">
        <f t="shared" ref="C72:C103" si="2">L66</f>
        <v>0</v>
      </c>
      <c r="K72" s="71" t="s">
        <v>237</v>
      </c>
      <c r="L72" s="71">
        <v>0</v>
      </c>
    </row>
    <row r="73" spans="1:12" x14ac:dyDescent="0.3">
      <c r="A73" s="2" t="s">
        <v>232</v>
      </c>
      <c r="B73" s="2">
        <f>'HF phase angle'!O14</f>
        <v>0</v>
      </c>
      <c r="C73" s="2">
        <f t="shared" si="2"/>
        <v>0</v>
      </c>
      <c r="K73" s="71" t="s">
        <v>238</v>
      </c>
      <c r="L73" s="72">
        <v>0</v>
      </c>
    </row>
    <row r="74" spans="1:12" x14ac:dyDescent="0.3">
      <c r="A74" s="2" t="s">
        <v>233</v>
      </c>
      <c r="B74" s="2">
        <f>'HF phase angle'!O15</f>
        <v>0</v>
      </c>
      <c r="C74" s="2">
        <f t="shared" si="2"/>
        <v>0</v>
      </c>
      <c r="K74" s="71" t="s">
        <v>239</v>
      </c>
      <c r="L74" s="71">
        <v>0</v>
      </c>
    </row>
    <row r="75" spans="1:12" x14ac:dyDescent="0.3">
      <c r="A75" s="2" t="s">
        <v>234</v>
      </c>
      <c r="B75" s="2">
        <f>'HF phase angle'!O16</f>
        <v>0</v>
      </c>
      <c r="C75" s="2">
        <f t="shared" si="2"/>
        <v>0</v>
      </c>
      <c r="K75" s="71" t="s">
        <v>240</v>
      </c>
      <c r="L75" s="71">
        <v>0</v>
      </c>
    </row>
    <row r="76" spans="1:12" x14ac:dyDescent="0.3">
      <c r="A76" s="2" t="s">
        <v>235</v>
      </c>
      <c r="B76" s="2">
        <f>'HF phase angle'!O17</f>
        <v>0</v>
      </c>
      <c r="C76" s="2">
        <f t="shared" si="2"/>
        <v>0</v>
      </c>
      <c r="K76" s="71" t="s">
        <v>241</v>
      </c>
      <c r="L76" s="71">
        <v>2</v>
      </c>
    </row>
    <row r="77" spans="1:12" x14ac:dyDescent="0.3">
      <c r="A77" s="2" t="s">
        <v>236</v>
      </c>
      <c r="B77" s="2">
        <f>'HF phase angle'!O18</f>
        <v>0</v>
      </c>
      <c r="C77" s="2">
        <f t="shared" si="2"/>
        <v>0</v>
      </c>
      <c r="K77" s="71" t="s">
        <v>242</v>
      </c>
      <c r="L77" s="71">
        <v>5</v>
      </c>
    </row>
    <row r="78" spans="1:12" x14ac:dyDescent="0.3">
      <c r="A78" s="2" t="s">
        <v>237</v>
      </c>
      <c r="B78" s="2">
        <f>'HF phase angle'!O19</f>
        <v>0</v>
      </c>
      <c r="C78" s="2">
        <f t="shared" si="2"/>
        <v>0</v>
      </c>
      <c r="K78" s="71" t="s">
        <v>243</v>
      </c>
      <c r="L78" s="71">
        <v>10</v>
      </c>
    </row>
    <row r="79" spans="1:12" x14ac:dyDescent="0.3">
      <c r="A79" s="2" t="s">
        <v>238</v>
      </c>
      <c r="B79" s="2">
        <f>'HF phase angle'!O20</f>
        <v>0</v>
      </c>
      <c r="C79" s="2">
        <f t="shared" si="2"/>
        <v>0</v>
      </c>
      <c r="K79" s="71" t="s">
        <v>244</v>
      </c>
      <c r="L79" s="71">
        <v>10</v>
      </c>
    </row>
    <row r="80" spans="1:12" x14ac:dyDescent="0.3">
      <c r="A80" s="2" t="s">
        <v>239</v>
      </c>
      <c r="B80" s="2">
        <f>'HF phase angle'!O21</f>
        <v>0</v>
      </c>
      <c r="C80" s="2">
        <f t="shared" si="2"/>
        <v>0</v>
      </c>
      <c r="K80" s="71" t="s">
        <v>245</v>
      </c>
      <c r="L80" s="71">
        <v>10</v>
      </c>
    </row>
    <row r="81" spans="1:12" x14ac:dyDescent="0.3">
      <c r="A81" s="2" t="s">
        <v>240</v>
      </c>
      <c r="B81" s="2">
        <f>'HF phase angle'!O22</f>
        <v>0</v>
      </c>
      <c r="C81" s="2">
        <f t="shared" si="2"/>
        <v>0</v>
      </c>
      <c r="K81" s="71" t="s">
        <v>246</v>
      </c>
      <c r="L81" s="71">
        <v>2</v>
      </c>
    </row>
    <row r="82" spans="1:12" x14ac:dyDescent="0.3">
      <c r="A82" s="2" t="s">
        <v>241</v>
      </c>
      <c r="B82" s="2">
        <f>'DC gain'!M13</f>
        <v>2.0036169541908468</v>
      </c>
      <c r="C82" s="2">
        <f t="shared" si="2"/>
        <v>2</v>
      </c>
      <c r="K82" s="71" t="s">
        <v>247</v>
      </c>
      <c r="L82" s="71">
        <v>5</v>
      </c>
    </row>
    <row r="83" spans="1:12" x14ac:dyDescent="0.3">
      <c r="A83" s="2" t="s">
        <v>242</v>
      </c>
      <c r="B83" s="2">
        <f>'DC gain'!M14</f>
        <v>5.0090448870084803</v>
      </c>
      <c r="C83" s="2">
        <f t="shared" si="2"/>
        <v>5</v>
      </c>
      <c r="K83" s="71" t="s">
        <v>248</v>
      </c>
      <c r="L83" s="71">
        <v>10</v>
      </c>
    </row>
    <row r="84" spans="1:12" x14ac:dyDescent="0.3">
      <c r="A84" s="2" t="s">
        <v>243</v>
      </c>
      <c r="B84" s="2">
        <f>'DC gain'!M15</f>
        <v>10.018399963905903</v>
      </c>
      <c r="C84" s="2">
        <f t="shared" si="2"/>
        <v>10</v>
      </c>
      <c r="K84" s="71" t="s">
        <v>249</v>
      </c>
      <c r="L84" s="71">
        <v>10</v>
      </c>
    </row>
    <row r="85" spans="1:12" x14ac:dyDescent="0.3">
      <c r="A85" s="2" t="s">
        <v>244</v>
      </c>
      <c r="B85" s="2">
        <f>'DC gain'!M16</f>
        <v>10.018271885500148</v>
      </c>
      <c r="C85" s="2">
        <f t="shared" si="2"/>
        <v>10</v>
      </c>
      <c r="K85" s="71" t="s">
        <v>250</v>
      </c>
      <c r="L85" s="71">
        <v>10</v>
      </c>
    </row>
    <row r="86" spans="1:12" x14ac:dyDescent="0.3">
      <c r="A86" s="2" t="s">
        <v>245</v>
      </c>
      <c r="B86" s="2">
        <f>'DC gain'!M17</f>
        <v>10.018335924703024</v>
      </c>
      <c r="C86" s="2">
        <f t="shared" si="2"/>
        <v>10</v>
      </c>
      <c r="K86" s="71" t="s">
        <v>252</v>
      </c>
      <c r="L86" s="71">
        <v>0</v>
      </c>
    </row>
    <row r="87" spans="1:12" x14ac:dyDescent="0.3">
      <c r="A87" s="2" t="s">
        <v>246</v>
      </c>
      <c r="B87" s="2">
        <f>'DC gain'!N18</f>
        <v>1.9964061255695618</v>
      </c>
      <c r="C87" s="2">
        <f t="shared" si="2"/>
        <v>2</v>
      </c>
      <c r="K87" s="71" t="s">
        <v>253</v>
      </c>
      <c r="L87" s="71">
        <v>0</v>
      </c>
    </row>
    <row r="88" spans="1:12" x14ac:dyDescent="0.3">
      <c r="A88" s="2" t="s">
        <v>247</v>
      </c>
      <c r="B88" s="2">
        <f>'DC gain'!N19</f>
        <v>4.9910512068912301</v>
      </c>
      <c r="C88" s="2">
        <f t="shared" si="2"/>
        <v>5</v>
      </c>
      <c r="K88" s="71" t="s">
        <v>254</v>
      </c>
      <c r="L88" s="71">
        <v>0</v>
      </c>
    </row>
    <row r="89" spans="1:12" x14ac:dyDescent="0.3">
      <c r="A89" s="2" t="s">
        <v>248</v>
      </c>
      <c r="B89" s="2">
        <f>'DC gain'!N20</f>
        <v>9.9816607472453729</v>
      </c>
      <c r="C89" s="2">
        <f t="shared" si="2"/>
        <v>10</v>
      </c>
      <c r="K89" s="71" t="s">
        <v>255</v>
      </c>
      <c r="L89" s="71">
        <v>0</v>
      </c>
    </row>
    <row r="90" spans="1:12" x14ac:dyDescent="0.3">
      <c r="A90" s="2" t="s">
        <v>249</v>
      </c>
      <c r="B90" s="2">
        <f>'DC gain'!N21</f>
        <v>9.9817315309000474</v>
      </c>
      <c r="C90" s="2">
        <f t="shared" si="2"/>
        <v>10</v>
      </c>
      <c r="K90" s="71" t="s">
        <v>256</v>
      </c>
      <c r="L90" s="71">
        <v>0</v>
      </c>
    </row>
    <row r="91" spans="1:12" x14ac:dyDescent="0.3">
      <c r="A91" s="2" t="s">
        <v>250</v>
      </c>
      <c r="B91" s="2">
        <f>'DC gain'!N22</f>
        <v>9.9818980259892101</v>
      </c>
      <c r="C91" s="2">
        <f t="shared" si="2"/>
        <v>10</v>
      </c>
      <c r="K91" s="71" t="s">
        <v>257</v>
      </c>
      <c r="L91" s="71">
        <v>0</v>
      </c>
    </row>
    <row r="92" spans="1:12" x14ac:dyDescent="0.3">
      <c r="A92" s="2" t="s">
        <v>252</v>
      </c>
      <c r="B92" s="2">
        <f>'HF gain'!AG14</f>
        <v>-3.5200193539386642E-14</v>
      </c>
      <c r="C92" s="2">
        <f t="shared" si="2"/>
        <v>0</v>
      </c>
      <c r="K92" s="71" t="s">
        <v>258</v>
      </c>
      <c r="L92" s="71">
        <v>0</v>
      </c>
    </row>
    <row r="93" spans="1:12" x14ac:dyDescent="0.3">
      <c r="A93" s="2" t="s">
        <v>253</v>
      </c>
      <c r="B93" s="2">
        <f>'HF gain'!AG15</f>
        <v>-6.4115245467985724E-14</v>
      </c>
      <c r="C93" s="2">
        <f t="shared" si="2"/>
        <v>0</v>
      </c>
      <c r="K93" s="71" t="s">
        <v>259</v>
      </c>
      <c r="L93" s="71">
        <v>0</v>
      </c>
    </row>
    <row r="94" spans="1:12" x14ac:dyDescent="0.3">
      <c r="A94" s="2" t="s">
        <v>254</v>
      </c>
      <c r="B94" s="2">
        <f>'HF gain'!AG16</f>
        <v>-4.616939560453469E-14</v>
      </c>
      <c r="C94" s="2">
        <f t="shared" si="2"/>
        <v>0</v>
      </c>
      <c r="K94" s="71" t="s">
        <v>260</v>
      </c>
      <c r="L94" s="71">
        <v>0</v>
      </c>
    </row>
    <row r="95" spans="1:12" x14ac:dyDescent="0.3">
      <c r="A95" s="2" t="s">
        <v>255</v>
      </c>
      <c r="B95" s="2">
        <f>'HF gain'!AG17</f>
        <v>4.6219457920430466E-14</v>
      </c>
      <c r="C95" s="2">
        <f t="shared" si="2"/>
        <v>0</v>
      </c>
      <c r="K95" s="71" t="s">
        <v>261</v>
      </c>
      <c r="L95" s="71">
        <v>0</v>
      </c>
    </row>
    <row r="96" spans="1:12" x14ac:dyDescent="0.3">
      <c r="A96" s="2" t="s">
        <v>256</v>
      </c>
      <c r="B96" s="2">
        <f>'HF gain'!AG18</f>
        <v>3.9305335742242847E-14</v>
      </c>
      <c r="C96" s="2">
        <f t="shared" si="2"/>
        <v>0</v>
      </c>
      <c r="K96" s="71" t="s">
        <v>262</v>
      </c>
      <c r="L96" s="71">
        <v>0</v>
      </c>
    </row>
    <row r="97" spans="1:12" x14ac:dyDescent="0.3">
      <c r="A97" s="2" t="s">
        <v>257</v>
      </c>
      <c r="B97" s="2">
        <f>'HF gain'!AG19</f>
        <v>-2.9024839805226139E-14</v>
      </c>
      <c r="C97" s="2">
        <f t="shared" si="2"/>
        <v>0</v>
      </c>
      <c r="K97" s="71" t="s">
        <v>263</v>
      </c>
      <c r="L97" s="71">
        <v>0</v>
      </c>
    </row>
    <row r="98" spans="1:12" x14ac:dyDescent="0.3">
      <c r="A98" s="2" t="s">
        <v>258</v>
      </c>
      <c r="B98" s="2">
        <f>'HF gain'!AG20</f>
        <v>-3.3784643656540582E-14</v>
      </c>
      <c r="C98" s="2">
        <f t="shared" si="2"/>
        <v>0</v>
      </c>
      <c r="K98" s="71" t="s">
        <v>264</v>
      </c>
      <c r="L98" s="71">
        <v>0</v>
      </c>
    </row>
    <row r="99" spans="1:12" x14ac:dyDescent="0.3">
      <c r="A99" s="2" t="s">
        <v>259</v>
      </c>
      <c r="B99" s="2">
        <f>'HF gain'!AG21</f>
        <v>-2.3383228933216291E-14</v>
      </c>
      <c r="C99" s="2">
        <f t="shared" si="2"/>
        <v>0</v>
      </c>
      <c r="K99" s="71" t="s">
        <v>265</v>
      </c>
      <c r="L99" s="71">
        <v>0</v>
      </c>
    </row>
    <row r="100" spans="1:12" x14ac:dyDescent="0.3">
      <c r="A100" s="2" t="s">
        <v>260</v>
      </c>
      <c r="B100" s="2">
        <f>'HF gain'!AG22</f>
        <v>9.3883303973592848E-14</v>
      </c>
      <c r="C100" s="2">
        <f t="shared" si="2"/>
        <v>0</v>
      </c>
      <c r="K100" s="71" t="s">
        <v>266</v>
      </c>
      <c r="L100" s="71">
        <v>0</v>
      </c>
    </row>
    <row r="101" spans="1:12" x14ac:dyDescent="0.3">
      <c r="A101" s="2" t="s">
        <v>261</v>
      </c>
      <c r="B101" s="2">
        <f>'HF gain'!AG23</f>
        <v>7.8502654461263867E-14</v>
      </c>
      <c r="C101" s="2">
        <f t="shared" si="2"/>
        <v>0</v>
      </c>
      <c r="K101" s="71" t="s">
        <v>267</v>
      </c>
      <c r="L101" s="71">
        <v>0</v>
      </c>
    </row>
    <row r="102" spans="1:12" x14ac:dyDescent="0.3">
      <c r="A102" s="2" t="s">
        <v>262</v>
      </c>
      <c r="B102" s="2">
        <f>'HF gain'!AH14</f>
        <v>-1.3664076911046291E-8</v>
      </c>
      <c r="C102" s="2">
        <f t="shared" si="2"/>
        <v>0</v>
      </c>
      <c r="K102" s="71" t="s">
        <v>268</v>
      </c>
      <c r="L102" s="71">
        <v>0</v>
      </c>
    </row>
    <row r="103" spans="1:12" x14ac:dyDescent="0.3">
      <c r="A103" s="2" t="s">
        <v>263</v>
      </c>
      <c r="B103" s="2">
        <f>'HF gain'!AH15</f>
        <v>-1.3065146467740486E-8</v>
      </c>
      <c r="C103" s="2">
        <f t="shared" si="2"/>
        <v>0</v>
      </c>
      <c r="K103" s="71" t="s">
        <v>269</v>
      </c>
      <c r="L103" s="71">
        <v>0</v>
      </c>
    </row>
    <row r="104" spans="1:12" x14ac:dyDescent="0.3">
      <c r="A104" s="2" t="s">
        <v>264</v>
      </c>
      <c r="B104" s="2">
        <f>'HF gain'!AH16</f>
        <v>-2.2977401711026994E-8</v>
      </c>
      <c r="C104" s="2">
        <f t="shared" ref="C104:C121" si="3">L98</f>
        <v>0</v>
      </c>
      <c r="K104" s="71" t="s">
        <v>270</v>
      </c>
      <c r="L104" s="71">
        <v>0</v>
      </c>
    </row>
    <row r="105" spans="1:12" x14ac:dyDescent="0.3">
      <c r="A105" s="2" t="s">
        <v>265</v>
      </c>
      <c r="B105" s="2">
        <f>'HF gain'!AH17</f>
        <v>-1.3125634920521673E-8</v>
      </c>
      <c r="C105" s="2">
        <f t="shared" si="3"/>
        <v>0</v>
      </c>
      <c r="K105" s="71" t="s">
        <v>271</v>
      </c>
      <c r="L105" s="71">
        <v>0</v>
      </c>
    </row>
    <row r="106" spans="1:12" x14ac:dyDescent="0.3">
      <c r="A106" s="2" t="s">
        <v>266</v>
      </c>
      <c r="B106" s="2">
        <f>'HF gain'!AH18</f>
        <v>-1.260913074309315E-8</v>
      </c>
      <c r="C106" s="2">
        <f t="shared" si="3"/>
        <v>0</v>
      </c>
      <c r="K106" s="71" t="s">
        <v>272</v>
      </c>
      <c r="L106" s="71">
        <v>2</v>
      </c>
    </row>
    <row r="107" spans="1:12" x14ac:dyDescent="0.3">
      <c r="A107" s="2" t="s">
        <v>267</v>
      </c>
      <c r="B107" s="2">
        <f>'HF gain'!AH19</f>
        <v>-8.2611482961598103E-9</v>
      </c>
      <c r="C107" s="2">
        <f t="shared" si="3"/>
        <v>0</v>
      </c>
      <c r="K107" s="71" t="s">
        <v>273</v>
      </c>
      <c r="L107" s="71">
        <v>5</v>
      </c>
    </row>
    <row r="108" spans="1:12" x14ac:dyDescent="0.3">
      <c r="A108" s="2" t="s">
        <v>268</v>
      </c>
      <c r="B108" s="2">
        <f>'HF gain'!AH20</f>
        <v>-2.6752319723133116E-8</v>
      </c>
      <c r="C108" s="2">
        <f t="shared" si="3"/>
        <v>0</v>
      </c>
      <c r="K108" s="71" t="s">
        <v>274</v>
      </c>
      <c r="L108" s="71">
        <v>10</v>
      </c>
    </row>
    <row r="109" spans="1:12" x14ac:dyDescent="0.3">
      <c r="A109" s="2" t="s">
        <v>269</v>
      </c>
      <c r="B109" s="2">
        <f>'HF gain'!AH21</f>
        <v>-2.3438609594696926E-8</v>
      </c>
      <c r="C109" s="2">
        <f t="shared" si="3"/>
        <v>0</v>
      </c>
      <c r="K109" s="71" t="s">
        <v>275</v>
      </c>
      <c r="L109" s="71">
        <v>10</v>
      </c>
    </row>
    <row r="110" spans="1:12" x14ac:dyDescent="0.3">
      <c r="A110" s="2" t="s">
        <v>270</v>
      </c>
      <c r="B110" s="2">
        <f>'HF gain'!AH22</f>
        <v>-4.8919785547838456E-8</v>
      </c>
      <c r="C110" s="2">
        <f t="shared" si="3"/>
        <v>0</v>
      </c>
      <c r="K110" s="71" t="s">
        <v>276</v>
      </c>
      <c r="L110" s="71">
        <v>10</v>
      </c>
    </row>
    <row r="111" spans="1:12" x14ac:dyDescent="0.3">
      <c r="A111" s="2" t="s">
        <v>271</v>
      </c>
      <c r="B111" s="2">
        <f>'HF gain'!AH23</f>
        <v>-3.3097708306564023E-8</v>
      </c>
      <c r="C111" s="2">
        <f t="shared" si="3"/>
        <v>0</v>
      </c>
      <c r="K111" s="71" t="s">
        <v>277</v>
      </c>
      <c r="L111" s="71">
        <v>2</v>
      </c>
    </row>
    <row r="112" spans="1:12" x14ac:dyDescent="0.3">
      <c r="A112" s="2" t="s">
        <v>272</v>
      </c>
      <c r="B112" s="2">
        <f>'HF gain'!AI14</f>
        <v>2.008809934098398</v>
      </c>
      <c r="C112" s="2">
        <f t="shared" si="3"/>
        <v>2</v>
      </c>
      <c r="K112" s="71" t="s">
        <v>278</v>
      </c>
      <c r="L112" s="71">
        <v>5</v>
      </c>
    </row>
    <row r="113" spans="1:12" x14ac:dyDescent="0.3">
      <c r="A113" s="2" t="s">
        <v>273</v>
      </c>
      <c r="B113" s="2">
        <f>'HF gain'!AI15</f>
        <v>5.0266413430014039</v>
      </c>
      <c r="C113" s="2">
        <f t="shared" si="3"/>
        <v>5</v>
      </c>
      <c r="K113" s="71" t="s">
        <v>279</v>
      </c>
      <c r="L113" s="71">
        <v>10</v>
      </c>
    </row>
    <row r="114" spans="1:12" x14ac:dyDescent="0.3">
      <c r="A114" s="2" t="s">
        <v>274</v>
      </c>
      <c r="B114" s="2">
        <f>'HF gain'!AI16</f>
        <v>10.053454580236158</v>
      </c>
      <c r="C114" s="2">
        <f t="shared" si="3"/>
        <v>10</v>
      </c>
      <c r="K114" s="71" t="s">
        <v>280</v>
      </c>
      <c r="L114" s="71">
        <v>10</v>
      </c>
    </row>
    <row r="115" spans="1:12" x14ac:dyDescent="0.3">
      <c r="A115" s="2" t="s">
        <v>275</v>
      </c>
      <c r="B115" s="2">
        <f>'HF gain'!AI17</f>
        <v>9.9447018421538793</v>
      </c>
      <c r="C115" s="2">
        <f t="shared" si="3"/>
        <v>10</v>
      </c>
      <c r="K115" s="71" t="s">
        <v>281</v>
      </c>
      <c r="L115" s="71">
        <v>10</v>
      </c>
    </row>
    <row r="116" spans="1:12" x14ac:dyDescent="0.3">
      <c r="A116" s="2" t="s">
        <v>276</v>
      </c>
      <c r="B116" s="2">
        <f>'HF gain'!AI18</f>
        <v>9.9483923807192447</v>
      </c>
      <c r="C116" s="2">
        <f t="shared" si="3"/>
        <v>10</v>
      </c>
    </row>
    <row r="117" spans="1:12" x14ac:dyDescent="0.3">
      <c r="A117" s="2" t="s">
        <v>277</v>
      </c>
      <c r="B117" s="2">
        <f>'HF gain'!AI19</f>
        <v>1.9995655673178454</v>
      </c>
      <c r="C117" s="2">
        <f t="shared" si="3"/>
        <v>2</v>
      </c>
    </row>
    <row r="118" spans="1:12" x14ac:dyDescent="0.3">
      <c r="A118" s="2" t="s">
        <v>278</v>
      </c>
      <c r="B118" s="2">
        <f>'HF gain'!AI20</f>
        <v>5.0003929215868981</v>
      </c>
      <c r="C118" s="2">
        <f t="shared" si="3"/>
        <v>5</v>
      </c>
    </row>
    <row r="119" spans="1:12" x14ac:dyDescent="0.3">
      <c r="A119" s="2" t="s">
        <v>279</v>
      </c>
      <c r="B119" s="2">
        <f>'HF gain'!AI21</f>
        <v>9.9908204682163362</v>
      </c>
      <c r="C119" s="2">
        <f t="shared" si="3"/>
        <v>10</v>
      </c>
    </row>
    <row r="120" spans="1:12" x14ac:dyDescent="0.3">
      <c r="A120" s="2" t="s">
        <v>280</v>
      </c>
      <c r="B120" s="2">
        <f>'HF gain'!AI22</f>
        <v>9.8906606677835853</v>
      </c>
      <c r="C120" s="2">
        <f t="shared" si="3"/>
        <v>10</v>
      </c>
    </row>
    <row r="121" spans="1:12" x14ac:dyDescent="0.3">
      <c r="A121" s="2" t="s">
        <v>281</v>
      </c>
      <c r="B121" s="2">
        <f>'HF gain'!AI23</f>
        <v>9.8887350720869645</v>
      </c>
      <c r="C121" s="2">
        <f t="shared" si="3"/>
        <v>10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Calibrate">
                <anchor moveWithCells="1" sizeWithCells="1">
                  <from>
                    <xdr:col>0</xdr:col>
                    <xdr:colOff>213360</xdr:colOff>
                    <xdr:row>2</xdr:row>
                    <xdr:rowOff>99060</xdr:rowOff>
                  </from>
                  <to>
                    <xdr:col>1</xdr:col>
                    <xdr:colOff>708660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ImportCSVFile">
                <anchor moveWithCells="1" sizeWithCells="1">
                  <from>
                    <xdr:col>3</xdr:col>
                    <xdr:colOff>594360</xdr:colOff>
                    <xdr:row>2</xdr:row>
                    <xdr:rowOff>99060</xdr:rowOff>
                  </from>
                  <to>
                    <xdr:col>7</xdr:col>
                    <xdr:colOff>480060</xdr:colOff>
                    <xdr:row>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SendCalData">
                <anchor moveWithCells="1" sizeWithCells="1">
                  <from>
                    <xdr:col>2</xdr:col>
                    <xdr:colOff>99060</xdr:colOff>
                    <xdr:row>2</xdr:row>
                    <xdr:rowOff>99060</xdr:rowOff>
                  </from>
                  <to>
                    <xdr:col>3</xdr:col>
                    <xdr:colOff>441960</xdr:colOff>
                    <xdr:row>4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N13"/>
  <sheetViews>
    <sheetView tabSelected="1" workbookViewId="0">
      <selection activeCell="B5" sqref="B5"/>
    </sheetView>
  </sheetViews>
  <sheetFormatPr defaultColWidth="8.6640625" defaultRowHeight="14.4" x14ac:dyDescent="0.3"/>
  <cols>
    <col min="1" max="1" width="22.44140625" style="2" bestFit="1" customWidth="1"/>
    <col min="2" max="2" width="44.33203125" style="2" customWidth="1"/>
    <col min="3" max="3" width="9.5546875" style="2" customWidth="1"/>
    <col min="4" max="7" width="8.6640625" style="2"/>
    <col min="8" max="8" width="13.21875" style="2" customWidth="1"/>
    <col min="9" max="9" width="30.44140625" style="2" customWidth="1"/>
    <col min="10" max="16384" width="8.6640625" style="2"/>
  </cols>
  <sheetData>
    <row r="1" spans="1:14" x14ac:dyDescent="0.3">
      <c r="A1" s="3" t="s">
        <v>182</v>
      </c>
      <c r="B1" t="str">
        <f>_xlfn.CONCAT(Connect!$G$1, " ", Connect!$J$1, " ", Connect!$D$1, " ", "save_hw_data")</f>
        <v>v2 0 COM15 save_hw_data</v>
      </c>
      <c r="H1" s="3" t="s">
        <v>182</v>
      </c>
      <c r="I1" s="2" t="str">
        <f>_xlfn.CONCAT(Connect!$G$1, " ", Connect!$J$1, " ", Connect!$D$1, " ", "save_channel_name")</f>
        <v>v2 0 COM15 save_channel_name</v>
      </c>
    </row>
    <row r="2" spans="1:14" x14ac:dyDescent="0.3">
      <c r="A2" s="3" t="s">
        <v>183</v>
      </c>
      <c r="B2" t="str">
        <f>_xlfn.CONCAT(Connect!$G$1, " ", Connect!$J$1, " ", Connect!$D$1, " ", "send_hw_data")</f>
        <v>v2 0 COM15 send_hw_data</v>
      </c>
      <c r="H2" s="3" t="s">
        <v>183</v>
      </c>
      <c r="I2" s="2" t="str">
        <f>_xlfn.CONCAT(Connect!$G$1, " ", Connect!$J$1, " ", Connect!$D$1, " ", "send_channel_name")</f>
        <v>v2 0 COM15 send_channel_name</v>
      </c>
    </row>
    <row r="3" spans="1:14" x14ac:dyDescent="0.3">
      <c r="A3" s="112"/>
      <c r="B3" s="112"/>
      <c r="C3" s="4"/>
      <c r="D3" s="4"/>
      <c r="E3" s="4"/>
      <c r="F3" s="4"/>
      <c r="G3" s="4"/>
      <c r="H3" s="112"/>
      <c r="I3" s="112"/>
      <c r="J3" s="4"/>
      <c r="K3" s="4"/>
      <c r="L3" s="4"/>
      <c r="M3" s="4"/>
      <c r="N3" s="4"/>
    </row>
    <row r="4" spans="1:14" x14ac:dyDescent="0.3">
      <c r="A4" s="112"/>
      <c r="B4" s="112"/>
      <c r="C4" s="4"/>
      <c r="D4" s="4"/>
      <c r="E4" s="4"/>
      <c r="F4" s="4"/>
      <c r="G4" s="4"/>
      <c r="H4" s="112"/>
      <c r="I4" s="112"/>
      <c r="J4" s="4"/>
      <c r="K4" s="4"/>
      <c r="L4" s="4"/>
      <c r="M4" s="4"/>
      <c r="N4" s="4"/>
    </row>
    <row r="5" spans="1:14" x14ac:dyDescent="0.3">
      <c r="A5" s="112"/>
      <c r="B5" s="112"/>
      <c r="C5" s="4"/>
      <c r="D5" s="4"/>
      <c r="E5" s="4"/>
      <c r="F5" s="4"/>
      <c r="G5" s="4"/>
      <c r="H5" s="112"/>
      <c r="I5" s="112"/>
      <c r="J5" s="4"/>
      <c r="K5" s="4"/>
      <c r="L5" s="4"/>
      <c r="M5" s="4"/>
      <c r="N5" s="4"/>
    </row>
    <row r="7" spans="1:14" x14ac:dyDescent="0.3">
      <c r="A7" s="3" t="s">
        <v>160</v>
      </c>
      <c r="B7" s="63" t="s">
        <v>200</v>
      </c>
      <c r="C7" s="2">
        <f>VLOOKUP(B7,Internal!M2:N9,2,FALSE)</f>
        <v>5</v>
      </c>
      <c r="H7" s="3" t="s">
        <v>316</v>
      </c>
      <c r="I7" s="63" t="str">
        <f>_xlfn.CONCAT("Channel ",Connect!$J$1+1)</f>
        <v>Channel 1</v>
      </c>
    </row>
    <row r="8" spans="1:14" x14ac:dyDescent="0.3">
      <c r="A8" s="3" t="s">
        <v>162</v>
      </c>
      <c r="B8" s="63" t="s">
        <v>251</v>
      </c>
    </row>
    <row r="9" spans="1:14" ht="57.6" x14ac:dyDescent="0.3">
      <c r="A9" s="64" t="s">
        <v>163</v>
      </c>
      <c r="B9" s="65" t="s">
        <v>207</v>
      </c>
    </row>
    <row r="13" spans="1:14" x14ac:dyDescent="0.3">
      <c r="B13" s="2" t="s">
        <v>207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SaveHwData">
                <anchor moveWithCells="1" sizeWithCells="1">
                  <from>
                    <xdr:col>0</xdr:col>
                    <xdr:colOff>175260</xdr:colOff>
                    <xdr:row>2</xdr:row>
                    <xdr:rowOff>106680</xdr:rowOff>
                  </from>
                  <to>
                    <xdr:col>1</xdr:col>
                    <xdr:colOff>2849880</xdr:colOff>
                    <xdr:row>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RunSquidstatCalibrator">
                <anchor moveWithCells="1" sizeWithCells="1">
                  <from>
                    <xdr:col>2</xdr:col>
                    <xdr:colOff>137160</xdr:colOff>
                    <xdr:row>2</xdr:row>
                    <xdr:rowOff>114300</xdr:rowOff>
                  </from>
                  <to>
                    <xdr:col>6</xdr:col>
                    <xdr:colOff>426720</xdr:colOff>
                    <xdr:row>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SaveHwData">
                <anchor moveWithCells="1" sizeWithCells="1">
                  <from>
                    <xdr:col>7</xdr:col>
                    <xdr:colOff>68580</xdr:colOff>
                    <xdr:row>2</xdr:row>
                    <xdr:rowOff>76200</xdr:rowOff>
                  </from>
                  <to>
                    <xdr:col>8</xdr:col>
                    <xdr:colOff>1981200</xdr:colOff>
                    <xdr:row>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SaveHwData">
                <anchor moveWithCells="1" sizeWithCells="1">
                  <from>
                    <xdr:col>9</xdr:col>
                    <xdr:colOff>198120</xdr:colOff>
                    <xdr:row>2</xdr:row>
                    <xdr:rowOff>91440</xdr:rowOff>
                  </from>
                  <to>
                    <xdr:col>13</xdr:col>
                    <xdr:colOff>228600</xdr:colOff>
                    <xdr:row>4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Internal!$M$2:$M$9</xm:f>
          </x14:formula1>
          <xm:sqref>B7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A1:R41"/>
  <sheetViews>
    <sheetView workbookViewId="0">
      <selection activeCell="R5" sqref="R5"/>
    </sheetView>
  </sheetViews>
  <sheetFormatPr defaultRowHeight="14.4" x14ac:dyDescent="0.3"/>
  <cols>
    <col min="1" max="1" width="16.33203125" bestFit="1" customWidth="1"/>
    <col min="2" max="2" width="10.33203125" customWidth="1"/>
    <col min="3" max="3" width="6.88671875" bestFit="1" customWidth="1"/>
    <col min="4" max="5" width="8.6640625" bestFit="1" customWidth="1"/>
    <col min="6" max="6" width="11.33203125" bestFit="1" customWidth="1"/>
    <col min="8" max="8" width="18.109375" bestFit="1" customWidth="1"/>
    <col min="9" max="9" width="9.5546875" style="11" bestFit="1" customWidth="1"/>
    <col min="10" max="10" width="8.88671875" style="54" bestFit="1" customWidth="1"/>
    <col min="11" max="11" width="20.44140625" bestFit="1" customWidth="1"/>
    <col min="12" max="12" width="12.5546875" bestFit="1" customWidth="1"/>
  </cols>
  <sheetData>
    <row r="1" spans="1:18" s="1" customFormat="1" ht="15" thickBot="1" x14ac:dyDescent="0.35">
      <c r="A1" s="1" t="s">
        <v>4</v>
      </c>
      <c r="B1" s="1" t="s">
        <v>1</v>
      </c>
      <c r="C1" s="1" t="s">
        <v>65</v>
      </c>
      <c r="D1" s="1" t="s">
        <v>154</v>
      </c>
      <c r="E1" s="1" t="s">
        <v>155</v>
      </c>
      <c r="F1" s="1" t="s">
        <v>156</v>
      </c>
      <c r="G1" s="1" t="s">
        <v>63</v>
      </c>
      <c r="H1" s="1" t="s">
        <v>9</v>
      </c>
      <c r="I1" s="57" t="s">
        <v>87</v>
      </c>
      <c r="J1" s="57" t="s">
        <v>86</v>
      </c>
      <c r="K1" s="1" t="s">
        <v>139</v>
      </c>
      <c r="L1" s="1" t="s">
        <v>153</v>
      </c>
      <c r="M1" s="1" t="s">
        <v>195</v>
      </c>
      <c r="O1" s="1" t="s">
        <v>209</v>
      </c>
    </row>
    <row r="2" spans="1:18" x14ac:dyDescent="0.3">
      <c r="A2" t="s">
        <v>5</v>
      </c>
      <c r="B2" t="s">
        <v>2</v>
      </c>
      <c r="C2" t="s">
        <v>8</v>
      </c>
      <c r="F2">
        <v>10</v>
      </c>
      <c r="G2">
        <v>0</v>
      </c>
      <c r="H2" t="s">
        <v>66</v>
      </c>
      <c r="I2" s="11">
        <v>-5000</v>
      </c>
      <c r="J2" s="11">
        <v>-32750</v>
      </c>
      <c r="K2" t="s">
        <v>140</v>
      </c>
      <c r="L2">
        <v>32768</v>
      </c>
      <c r="M2" t="s">
        <v>161</v>
      </c>
      <c r="N2">
        <v>0</v>
      </c>
      <c r="P2" s="1" t="s">
        <v>212</v>
      </c>
      <c r="Q2" s="1" t="s">
        <v>213</v>
      </c>
      <c r="R2" s="1" t="s">
        <v>214</v>
      </c>
    </row>
    <row r="3" spans="1:18" x14ac:dyDescent="0.3">
      <c r="A3" t="s">
        <v>6</v>
      </c>
      <c r="B3" t="s">
        <v>3</v>
      </c>
      <c r="C3">
        <v>0</v>
      </c>
      <c r="D3" s="62">
        <f>0.1*1000</f>
        <v>100</v>
      </c>
      <c r="E3">
        <v>1000</v>
      </c>
      <c r="F3">
        <f>IF(Connect!G$1=Internal!$A$2,Internal!D3,Internal!E3)</f>
        <v>1000</v>
      </c>
      <c r="G3">
        <v>1</v>
      </c>
      <c r="H3" t="s">
        <v>67</v>
      </c>
      <c r="I3" s="11">
        <v>-4500</v>
      </c>
      <c r="J3" s="11">
        <v>-29475</v>
      </c>
      <c r="L3">
        <v>32767</v>
      </c>
      <c r="M3" t="s">
        <v>196</v>
      </c>
      <c r="N3">
        <v>1</v>
      </c>
      <c r="O3" t="s">
        <v>210</v>
      </c>
      <c r="P3">
        <v>1</v>
      </c>
      <c r="Q3">
        <v>1</v>
      </c>
      <c r="R3">
        <f>IF(Connect!G1=Internal!A2, P3,Internal!Q3)</f>
        <v>1</v>
      </c>
    </row>
    <row r="4" spans="1:18" x14ac:dyDescent="0.3">
      <c r="B4" t="s">
        <v>64</v>
      </c>
      <c r="C4">
        <v>1</v>
      </c>
      <c r="D4" s="92">
        <f>0.005*1000</f>
        <v>5</v>
      </c>
      <c r="E4">
        <v>100</v>
      </c>
      <c r="F4">
        <f>IF(Connect!G$1=Internal!$A$2,Internal!D4,Internal!E4)</f>
        <v>100</v>
      </c>
      <c r="G4">
        <v>2</v>
      </c>
      <c r="H4" t="s">
        <v>60</v>
      </c>
      <c r="I4" s="11">
        <v>-4000</v>
      </c>
      <c r="J4" s="11">
        <v>-26200</v>
      </c>
      <c r="M4" t="s">
        <v>197</v>
      </c>
      <c r="N4">
        <v>2</v>
      </c>
      <c r="O4" t="s">
        <v>211</v>
      </c>
      <c r="P4">
        <v>1</v>
      </c>
      <c r="Q4">
        <v>9.91</v>
      </c>
      <c r="R4">
        <f>IF(Connect!G1=Internal!A2, P4,Internal!Q4)</f>
        <v>9.91</v>
      </c>
    </row>
    <row r="5" spans="1:18" x14ac:dyDescent="0.3">
      <c r="C5">
        <v>2</v>
      </c>
      <c r="D5" s="92">
        <f>0.0002*1000</f>
        <v>0.2</v>
      </c>
      <c r="E5">
        <v>10</v>
      </c>
      <c r="F5">
        <f>IF(Connect!G$1=Internal!$A$2,Internal!D5,Internal!E5)</f>
        <v>10</v>
      </c>
      <c r="G5">
        <v>3</v>
      </c>
      <c r="H5" t="s">
        <v>10</v>
      </c>
      <c r="I5" s="11">
        <v>-3500</v>
      </c>
      <c r="J5" s="11">
        <v>-22925</v>
      </c>
      <c r="M5" t="s">
        <v>198</v>
      </c>
      <c r="N5">
        <v>3</v>
      </c>
    </row>
    <row r="6" spans="1:18" x14ac:dyDescent="0.3">
      <c r="C6">
        <v>3</v>
      </c>
      <c r="D6" s="92">
        <f>0.00001*1000</f>
        <v>0.01</v>
      </c>
      <c r="E6">
        <v>1</v>
      </c>
      <c r="F6">
        <f>IF(Connect!G$1=Internal!$A$2,Internal!D6,Internal!E6)</f>
        <v>1</v>
      </c>
      <c r="H6" t="s">
        <v>68</v>
      </c>
      <c r="I6" s="11">
        <v>-3000</v>
      </c>
      <c r="J6" s="11">
        <v>-19650</v>
      </c>
      <c r="M6" t="s">
        <v>199</v>
      </c>
      <c r="N6">
        <v>4</v>
      </c>
    </row>
    <row r="7" spans="1:18" x14ac:dyDescent="0.3">
      <c r="C7">
        <v>4</v>
      </c>
      <c r="E7" s="62">
        <v>0.1</v>
      </c>
      <c r="F7">
        <f>IF(Connect!G$1=Internal!$A$2,Internal!D7,Internal!E7)</f>
        <v>0.1</v>
      </c>
      <c r="H7" t="s">
        <v>0</v>
      </c>
      <c r="I7" s="11">
        <v>-2500</v>
      </c>
      <c r="J7" s="11">
        <v>-16375</v>
      </c>
      <c r="M7" t="s">
        <v>200</v>
      </c>
      <c r="N7">
        <v>5</v>
      </c>
    </row>
    <row r="8" spans="1:18" x14ac:dyDescent="0.3">
      <c r="C8">
        <v>5</v>
      </c>
      <c r="E8" s="62">
        <v>0.01</v>
      </c>
      <c r="F8">
        <f>IF(Connect!G$1=Internal!$A$2,Internal!D8,Internal!E8)</f>
        <v>0.01</v>
      </c>
      <c r="H8" t="s">
        <v>69</v>
      </c>
      <c r="I8" s="11">
        <v>-2000</v>
      </c>
      <c r="J8" s="11">
        <v>-13100</v>
      </c>
      <c r="M8" t="s">
        <v>201</v>
      </c>
      <c r="N8">
        <v>6</v>
      </c>
    </row>
    <row r="9" spans="1:18" x14ac:dyDescent="0.3">
      <c r="C9">
        <v>6</v>
      </c>
      <c r="E9" s="62">
        <v>1E-3</v>
      </c>
      <c r="F9">
        <f>IF(Connect!G$1=Internal!$A$2,Internal!D9,Internal!E9)</f>
        <v>1E-3</v>
      </c>
      <c r="H9" t="s">
        <v>70</v>
      </c>
      <c r="I9" s="11">
        <v>-1500</v>
      </c>
      <c r="J9" s="11">
        <v>-9825</v>
      </c>
      <c r="M9" t="s">
        <v>202</v>
      </c>
      <c r="N9">
        <v>7</v>
      </c>
    </row>
    <row r="10" spans="1:18" x14ac:dyDescent="0.3">
      <c r="C10">
        <v>7</v>
      </c>
      <c r="E10" s="62">
        <v>1E-4</v>
      </c>
      <c r="F10">
        <f>IF(Connect!G$1=Internal!$A$2,Internal!D10,Internal!E10)</f>
        <v>1E-4</v>
      </c>
      <c r="H10" t="s">
        <v>71</v>
      </c>
      <c r="I10" s="11">
        <v>-1000</v>
      </c>
      <c r="J10" s="11">
        <v>-6550</v>
      </c>
    </row>
    <row r="11" spans="1:18" x14ac:dyDescent="0.3">
      <c r="H11" t="s">
        <v>72</v>
      </c>
      <c r="I11" s="11">
        <v>-500</v>
      </c>
      <c r="J11" s="11">
        <v>-3275</v>
      </c>
    </row>
    <row r="12" spans="1:18" x14ac:dyDescent="0.3">
      <c r="H12" t="s">
        <v>73</v>
      </c>
      <c r="I12" s="17">
        <v>0</v>
      </c>
      <c r="J12" s="17">
        <v>0</v>
      </c>
    </row>
    <row r="13" spans="1:18" x14ac:dyDescent="0.3">
      <c r="H13" t="s">
        <v>74</v>
      </c>
      <c r="I13" s="11">
        <v>500</v>
      </c>
      <c r="J13" s="11">
        <v>3275</v>
      </c>
    </row>
    <row r="14" spans="1:18" x14ac:dyDescent="0.3">
      <c r="H14" t="s">
        <v>75</v>
      </c>
      <c r="I14" s="11">
        <v>1000</v>
      </c>
      <c r="J14" s="11">
        <v>6550</v>
      </c>
    </row>
    <row r="15" spans="1:18" x14ac:dyDescent="0.3">
      <c r="H15" t="s">
        <v>76</v>
      </c>
      <c r="I15" s="11">
        <v>1500</v>
      </c>
      <c r="J15" s="11">
        <v>9825</v>
      </c>
    </row>
    <row r="16" spans="1:18" x14ac:dyDescent="0.3">
      <c r="H16" t="s">
        <v>77</v>
      </c>
      <c r="I16" s="11">
        <v>2000</v>
      </c>
      <c r="J16" s="11">
        <v>13100</v>
      </c>
    </row>
    <row r="17" spans="8:10" x14ac:dyDescent="0.3">
      <c r="H17" t="s">
        <v>78</v>
      </c>
      <c r="I17" s="11">
        <v>2500</v>
      </c>
      <c r="J17" s="11">
        <v>16375</v>
      </c>
    </row>
    <row r="18" spans="8:10" x14ac:dyDescent="0.3">
      <c r="H18" t="s">
        <v>79</v>
      </c>
      <c r="I18" s="11">
        <v>3000</v>
      </c>
      <c r="J18" s="11">
        <v>19650</v>
      </c>
    </row>
    <row r="19" spans="8:10" x14ac:dyDescent="0.3">
      <c r="H19" t="s">
        <v>80</v>
      </c>
      <c r="I19" s="11">
        <v>3500</v>
      </c>
      <c r="J19" s="11">
        <v>22925</v>
      </c>
    </row>
    <row r="20" spans="8:10" x14ac:dyDescent="0.3">
      <c r="H20" t="s">
        <v>81</v>
      </c>
      <c r="I20" s="11">
        <v>4000</v>
      </c>
      <c r="J20" s="11">
        <v>26200</v>
      </c>
    </row>
    <row r="21" spans="8:10" x14ac:dyDescent="0.3">
      <c r="H21" t="s">
        <v>82</v>
      </c>
      <c r="I21" s="11">
        <v>4500</v>
      </c>
      <c r="J21" s="11">
        <v>29475</v>
      </c>
    </row>
    <row r="22" spans="8:10" x14ac:dyDescent="0.3">
      <c r="H22" t="s">
        <v>83</v>
      </c>
      <c r="I22" s="22">
        <v>5000</v>
      </c>
      <c r="J22" s="22">
        <v>32750</v>
      </c>
    </row>
    <row r="23" spans="8:10" x14ac:dyDescent="0.3">
      <c r="H23" t="s">
        <v>84</v>
      </c>
    </row>
    <row r="24" spans="8:10" x14ac:dyDescent="0.3">
      <c r="H24" t="s">
        <v>143</v>
      </c>
      <c r="I24" s="31"/>
      <c r="J24" s="55"/>
    </row>
    <row r="25" spans="8:10" x14ac:dyDescent="0.3">
      <c r="H25" t="s">
        <v>144</v>
      </c>
    </row>
    <row r="26" spans="8:10" x14ac:dyDescent="0.3">
      <c r="H26" t="s">
        <v>145</v>
      </c>
    </row>
    <row r="27" spans="8:10" x14ac:dyDescent="0.3">
      <c r="H27" t="s">
        <v>146</v>
      </c>
      <c r="I27" s="31"/>
      <c r="J27" s="55"/>
    </row>
    <row r="28" spans="8:10" x14ac:dyDescent="0.3">
      <c r="H28" t="s">
        <v>147</v>
      </c>
    </row>
    <row r="29" spans="8:10" x14ac:dyDescent="0.3">
      <c r="H29" t="s">
        <v>148</v>
      </c>
    </row>
    <row r="30" spans="8:10" x14ac:dyDescent="0.3">
      <c r="H30" t="s">
        <v>149</v>
      </c>
      <c r="I30" s="31"/>
      <c r="J30" s="55"/>
    </row>
    <row r="31" spans="8:10" x14ac:dyDescent="0.3">
      <c r="H31" t="s">
        <v>150</v>
      </c>
    </row>
    <row r="32" spans="8:10" x14ac:dyDescent="0.3">
      <c r="H32" t="s">
        <v>185</v>
      </c>
    </row>
    <row r="33" spans="8:10" x14ac:dyDescent="0.3">
      <c r="H33" t="s">
        <v>186</v>
      </c>
      <c r="I33" s="36"/>
      <c r="J33" s="56"/>
    </row>
    <row r="34" spans="8:10" x14ac:dyDescent="0.3">
      <c r="H34" t="s">
        <v>187</v>
      </c>
    </row>
    <row r="35" spans="8:10" x14ac:dyDescent="0.3">
      <c r="H35" t="s">
        <v>188</v>
      </c>
    </row>
    <row r="36" spans="8:10" x14ac:dyDescent="0.3">
      <c r="H36" t="s">
        <v>189</v>
      </c>
    </row>
    <row r="37" spans="8:10" x14ac:dyDescent="0.3">
      <c r="H37" t="s">
        <v>190</v>
      </c>
    </row>
    <row r="38" spans="8:10" x14ac:dyDescent="0.3">
      <c r="H38" t="s">
        <v>191</v>
      </c>
    </row>
    <row r="39" spans="8:10" x14ac:dyDescent="0.3">
      <c r="H39" t="s">
        <v>192</v>
      </c>
    </row>
    <row r="40" spans="8:10" x14ac:dyDescent="0.3">
      <c r="H40" t="s">
        <v>193</v>
      </c>
    </row>
    <row r="41" spans="8:10" x14ac:dyDescent="0.3">
      <c r="H41" t="s">
        <v>194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DC3F1C1-674C-46A2-91EB-68C5DCD986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636</vt:i4>
      </vt:variant>
    </vt:vector>
  </HeadingPairs>
  <TitlesOfParts>
    <vt:vector size="653" baseType="lpstr">
      <vt:lpstr>Connect</vt:lpstr>
      <vt:lpstr>Data</vt:lpstr>
      <vt:lpstr>Voltage</vt:lpstr>
      <vt:lpstr>Range 0</vt:lpstr>
      <vt:lpstr>Range 1</vt:lpstr>
      <vt:lpstr>Range 2</vt:lpstr>
      <vt:lpstr>Range 3</vt:lpstr>
      <vt:lpstr>Range 4</vt:lpstr>
      <vt:lpstr>Range 5</vt:lpstr>
      <vt:lpstr>Range 6</vt:lpstr>
      <vt:lpstr>Range 7</vt:lpstr>
      <vt:lpstr>HF phase angle</vt:lpstr>
      <vt:lpstr>DC gain</vt:lpstr>
      <vt:lpstr>HF gain</vt:lpstr>
      <vt:lpstr>Calibrate</vt:lpstr>
      <vt:lpstr>Hardware Data</vt:lpstr>
      <vt:lpstr>Internal</vt:lpstr>
      <vt:lpstr>CUR_RNG_R0</vt:lpstr>
      <vt:lpstr>CUR_RNG_R1</vt:lpstr>
      <vt:lpstr>CUR_RNG_R2</vt:lpstr>
      <vt:lpstr>CUR_RNG_R3</vt:lpstr>
      <vt:lpstr>CUR_RNG_R4</vt:lpstr>
      <vt:lpstr>CUR_RNG_R5</vt:lpstr>
      <vt:lpstr>CUR_RNG_R6</vt:lpstr>
      <vt:lpstr>CUR_RNG_R7</vt:lpstr>
      <vt:lpstr>Calibrate!ExternalData_1</vt:lpstr>
      <vt:lpstr>'DC gain'!ExternalData_1</vt:lpstr>
      <vt:lpstr>'HF gain'!ExternalData_1</vt:lpstr>
      <vt:lpstr>'HF phase angle'!ExternalData_1</vt:lpstr>
      <vt:lpstr>'Range 1'!ExternalData_1</vt:lpstr>
      <vt:lpstr>'Range 2'!ExternalData_1</vt:lpstr>
      <vt:lpstr>'Range 3'!ExternalData_1</vt:lpstr>
      <vt:lpstr>'Range 4'!ExternalData_1</vt:lpstr>
      <vt:lpstr>'Range 5'!ExternalData_1</vt:lpstr>
      <vt:lpstr>'Range 6'!ExternalData_1</vt:lpstr>
      <vt:lpstr>'Range 7'!ExternalData_1</vt:lpstr>
      <vt:lpstr>Voltage!ExternalData_1</vt:lpstr>
      <vt:lpstr>Calibrate!ExternalData_10</vt:lpstr>
      <vt:lpstr>'Range 0'!ExternalData_10</vt:lpstr>
      <vt:lpstr>'Range 1'!ExternalData_10</vt:lpstr>
      <vt:lpstr>'Range 2'!ExternalData_10</vt:lpstr>
      <vt:lpstr>'Range 0'!ExternalData_100</vt:lpstr>
      <vt:lpstr>'Range 3'!ExternalData_100</vt:lpstr>
      <vt:lpstr>Voltage!ExternalData_100</vt:lpstr>
      <vt:lpstr>'Range 0'!ExternalData_101</vt:lpstr>
      <vt:lpstr>'Range 3'!ExternalData_101</vt:lpstr>
      <vt:lpstr>Voltage!ExternalData_101</vt:lpstr>
      <vt:lpstr>'Range 0'!ExternalData_102</vt:lpstr>
      <vt:lpstr>'Range 3'!ExternalData_102</vt:lpstr>
      <vt:lpstr>Voltage!ExternalData_102</vt:lpstr>
      <vt:lpstr>'Range 0'!ExternalData_103</vt:lpstr>
      <vt:lpstr>'Range 3'!ExternalData_103</vt:lpstr>
      <vt:lpstr>Voltage!ExternalData_103</vt:lpstr>
      <vt:lpstr>'Range 0'!ExternalData_104</vt:lpstr>
      <vt:lpstr>Voltage!ExternalData_104</vt:lpstr>
      <vt:lpstr>'Range 0'!ExternalData_105</vt:lpstr>
      <vt:lpstr>Voltage!ExternalData_105</vt:lpstr>
      <vt:lpstr>'Range 0'!ExternalData_106</vt:lpstr>
      <vt:lpstr>Voltage!ExternalData_106</vt:lpstr>
      <vt:lpstr>'Range 0'!ExternalData_107</vt:lpstr>
      <vt:lpstr>Voltage!ExternalData_107</vt:lpstr>
      <vt:lpstr>'Range 0'!ExternalData_108</vt:lpstr>
      <vt:lpstr>Voltage!ExternalData_108</vt:lpstr>
      <vt:lpstr>Voltage!ExternalData_109</vt:lpstr>
      <vt:lpstr>Calibrate!ExternalData_11</vt:lpstr>
      <vt:lpstr>'Range 0'!ExternalData_11</vt:lpstr>
      <vt:lpstr>'Range 1'!ExternalData_11</vt:lpstr>
      <vt:lpstr>'Range 2'!ExternalData_11</vt:lpstr>
      <vt:lpstr>'Range 3'!ExternalData_11</vt:lpstr>
      <vt:lpstr>Voltage!ExternalData_110</vt:lpstr>
      <vt:lpstr>Voltage!ExternalData_111</vt:lpstr>
      <vt:lpstr>Voltage!ExternalData_112</vt:lpstr>
      <vt:lpstr>Voltage!ExternalData_113</vt:lpstr>
      <vt:lpstr>Voltage!ExternalData_114</vt:lpstr>
      <vt:lpstr>Voltage!ExternalData_115</vt:lpstr>
      <vt:lpstr>Voltage!ExternalData_116</vt:lpstr>
      <vt:lpstr>Voltage!ExternalData_117</vt:lpstr>
      <vt:lpstr>Voltage!ExternalData_118</vt:lpstr>
      <vt:lpstr>Voltage!ExternalData_119</vt:lpstr>
      <vt:lpstr>Calibrate!ExternalData_12</vt:lpstr>
      <vt:lpstr>'Range 0'!ExternalData_12</vt:lpstr>
      <vt:lpstr>'Range 1'!ExternalData_12</vt:lpstr>
      <vt:lpstr>'Range 2'!ExternalData_12</vt:lpstr>
      <vt:lpstr>'Range 3'!ExternalData_12</vt:lpstr>
      <vt:lpstr>Voltage!ExternalData_120</vt:lpstr>
      <vt:lpstr>Voltage!ExternalData_121</vt:lpstr>
      <vt:lpstr>Voltage!ExternalData_122</vt:lpstr>
      <vt:lpstr>Voltage!ExternalData_123</vt:lpstr>
      <vt:lpstr>Voltage!ExternalData_124</vt:lpstr>
      <vt:lpstr>Voltage!ExternalData_125</vt:lpstr>
      <vt:lpstr>Voltage!ExternalData_126</vt:lpstr>
      <vt:lpstr>Voltage!ExternalData_127</vt:lpstr>
      <vt:lpstr>Voltage!ExternalData_128</vt:lpstr>
      <vt:lpstr>Voltage!ExternalData_129</vt:lpstr>
      <vt:lpstr>Calibrate!ExternalData_13</vt:lpstr>
      <vt:lpstr>'Range 0'!ExternalData_13</vt:lpstr>
      <vt:lpstr>'Range 1'!ExternalData_13</vt:lpstr>
      <vt:lpstr>'Range 2'!ExternalData_13</vt:lpstr>
      <vt:lpstr>'Range 3'!ExternalData_13</vt:lpstr>
      <vt:lpstr>Voltage!ExternalData_130</vt:lpstr>
      <vt:lpstr>Voltage!ExternalData_131</vt:lpstr>
      <vt:lpstr>Voltage!ExternalData_132</vt:lpstr>
      <vt:lpstr>Voltage!ExternalData_133</vt:lpstr>
      <vt:lpstr>Voltage!ExternalData_134</vt:lpstr>
      <vt:lpstr>Voltage!ExternalData_135</vt:lpstr>
      <vt:lpstr>Voltage!ExternalData_136</vt:lpstr>
      <vt:lpstr>Voltage!ExternalData_137</vt:lpstr>
      <vt:lpstr>Voltage!ExternalData_138</vt:lpstr>
      <vt:lpstr>Voltage!ExternalData_139</vt:lpstr>
      <vt:lpstr>Calibrate!ExternalData_14</vt:lpstr>
      <vt:lpstr>'Range 0'!ExternalData_14</vt:lpstr>
      <vt:lpstr>'Range 1'!ExternalData_14</vt:lpstr>
      <vt:lpstr>'Range 2'!ExternalData_14</vt:lpstr>
      <vt:lpstr>'Range 3'!ExternalData_14</vt:lpstr>
      <vt:lpstr>Voltage!ExternalData_140</vt:lpstr>
      <vt:lpstr>Voltage!ExternalData_141</vt:lpstr>
      <vt:lpstr>Voltage!ExternalData_142</vt:lpstr>
      <vt:lpstr>Voltage!ExternalData_143</vt:lpstr>
      <vt:lpstr>Voltage!ExternalData_144</vt:lpstr>
      <vt:lpstr>Voltage!ExternalData_145</vt:lpstr>
      <vt:lpstr>Voltage!ExternalData_146</vt:lpstr>
      <vt:lpstr>Voltage!ExternalData_147</vt:lpstr>
      <vt:lpstr>Voltage!ExternalData_148</vt:lpstr>
      <vt:lpstr>Voltage!ExternalData_149</vt:lpstr>
      <vt:lpstr>Calibrate!ExternalData_15</vt:lpstr>
      <vt:lpstr>'Range 0'!ExternalData_15</vt:lpstr>
      <vt:lpstr>'Range 1'!ExternalData_15</vt:lpstr>
      <vt:lpstr>'Range 2'!ExternalData_15</vt:lpstr>
      <vt:lpstr>'Range 3'!ExternalData_15</vt:lpstr>
      <vt:lpstr>Voltage!ExternalData_150</vt:lpstr>
      <vt:lpstr>Voltage!ExternalData_151</vt:lpstr>
      <vt:lpstr>Voltage!ExternalData_152</vt:lpstr>
      <vt:lpstr>Voltage!ExternalData_153</vt:lpstr>
      <vt:lpstr>Voltage!ExternalData_154</vt:lpstr>
      <vt:lpstr>Voltage!ExternalData_155</vt:lpstr>
      <vt:lpstr>Voltage!ExternalData_156</vt:lpstr>
      <vt:lpstr>Voltage!ExternalData_157</vt:lpstr>
      <vt:lpstr>Voltage!ExternalData_158</vt:lpstr>
      <vt:lpstr>Voltage!ExternalData_159</vt:lpstr>
      <vt:lpstr>Calibrate!ExternalData_16</vt:lpstr>
      <vt:lpstr>'Range 0'!ExternalData_16</vt:lpstr>
      <vt:lpstr>'Range 1'!ExternalData_16</vt:lpstr>
      <vt:lpstr>'Range 2'!ExternalData_16</vt:lpstr>
      <vt:lpstr>'Range 3'!ExternalData_16</vt:lpstr>
      <vt:lpstr>Voltage!ExternalData_160</vt:lpstr>
      <vt:lpstr>Voltage!ExternalData_161</vt:lpstr>
      <vt:lpstr>Calibrate!ExternalData_17</vt:lpstr>
      <vt:lpstr>'Range 0'!ExternalData_17</vt:lpstr>
      <vt:lpstr>'Range 1'!ExternalData_17</vt:lpstr>
      <vt:lpstr>'Range 2'!ExternalData_17</vt:lpstr>
      <vt:lpstr>'Range 3'!ExternalData_17</vt:lpstr>
      <vt:lpstr>Voltage!ExternalData_17</vt:lpstr>
      <vt:lpstr>Calibrate!ExternalData_18</vt:lpstr>
      <vt:lpstr>'Range 0'!ExternalData_18</vt:lpstr>
      <vt:lpstr>'Range 1'!ExternalData_18</vt:lpstr>
      <vt:lpstr>'Range 2'!ExternalData_18</vt:lpstr>
      <vt:lpstr>'Range 3'!ExternalData_18</vt:lpstr>
      <vt:lpstr>Voltage!ExternalData_18</vt:lpstr>
      <vt:lpstr>Calibrate!ExternalData_19</vt:lpstr>
      <vt:lpstr>'Range 0'!ExternalData_19</vt:lpstr>
      <vt:lpstr>'Range 1'!ExternalData_19</vt:lpstr>
      <vt:lpstr>'Range 2'!ExternalData_19</vt:lpstr>
      <vt:lpstr>'Range 3'!ExternalData_19</vt:lpstr>
      <vt:lpstr>Voltage!ExternalData_19</vt:lpstr>
      <vt:lpstr>Calibrate!ExternalData_2</vt:lpstr>
      <vt:lpstr>'DC gain'!ExternalData_2</vt:lpstr>
      <vt:lpstr>'Range 0'!ExternalData_2</vt:lpstr>
      <vt:lpstr>'Range 1'!ExternalData_2</vt:lpstr>
      <vt:lpstr>'Range 2'!ExternalData_2</vt:lpstr>
      <vt:lpstr>'Range 3'!ExternalData_2</vt:lpstr>
      <vt:lpstr>'Range 4'!ExternalData_2</vt:lpstr>
      <vt:lpstr>'Range 5'!ExternalData_2</vt:lpstr>
      <vt:lpstr>'Range 6'!ExternalData_2</vt:lpstr>
      <vt:lpstr>'Range 7'!ExternalData_2</vt:lpstr>
      <vt:lpstr>Voltage!ExternalData_2</vt:lpstr>
      <vt:lpstr>Calibrate!ExternalData_20</vt:lpstr>
      <vt:lpstr>'Range 0'!ExternalData_20</vt:lpstr>
      <vt:lpstr>'Range 1'!ExternalData_20</vt:lpstr>
      <vt:lpstr>'Range 2'!ExternalData_20</vt:lpstr>
      <vt:lpstr>'Range 3'!ExternalData_20</vt:lpstr>
      <vt:lpstr>Voltage!ExternalData_20</vt:lpstr>
      <vt:lpstr>Calibrate!ExternalData_21</vt:lpstr>
      <vt:lpstr>'Range 0'!ExternalData_21</vt:lpstr>
      <vt:lpstr>'Range 1'!ExternalData_21</vt:lpstr>
      <vt:lpstr>'Range 2'!ExternalData_21</vt:lpstr>
      <vt:lpstr>'Range 3'!ExternalData_21</vt:lpstr>
      <vt:lpstr>Voltage!ExternalData_21</vt:lpstr>
      <vt:lpstr>Calibrate!ExternalData_22</vt:lpstr>
      <vt:lpstr>'Range 0'!ExternalData_22</vt:lpstr>
      <vt:lpstr>'Range 1'!ExternalData_22</vt:lpstr>
      <vt:lpstr>'Range 2'!ExternalData_22</vt:lpstr>
      <vt:lpstr>'Range 3'!ExternalData_22</vt:lpstr>
      <vt:lpstr>Voltage!ExternalData_22</vt:lpstr>
      <vt:lpstr>Calibrate!ExternalData_23</vt:lpstr>
      <vt:lpstr>'Range 0'!ExternalData_23</vt:lpstr>
      <vt:lpstr>'Range 1'!ExternalData_23</vt:lpstr>
      <vt:lpstr>'Range 2'!ExternalData_23</vt:lpstr>
      <vt:lpstr>'Range 3'!ExternalData_23</vt:lpstr>
      <vt:lpstr>Voltage!ExternalData_23</vt:lpstr>
      <vt:lpstr>Calibrate!ExternalData_24</vt:lpstr>
      <vt:lpstr>'Range 0'!ExternalData_24</vt:lpstr>
      <vt:lpstr>'Range 1'!ExternalData_24</vt:lpstr>
      <vt:lpstr>'Range 2'!ExternalData_24</vt:lpstr>
      <vt:lpstr>'Range 3'!ExternalData_24</vt:lpstr>
      <vt:lpstr>Voltage!ExternalData_24</vt:lpstr>
      <vt:lpstr>Calibrate!ExternalData_25</vt:lpstr>
      <vt:lpstr>'Range 0'!ExternalData_25</vt:lpstr>
      <vt:lpstr>'Range 1'!ExternalData_25</vt:lpstr>
      <vt:lpstr>'Range 2'!ExternalData_25</vt:lpstr>
      <vt:lpstr>'Range 3'!ExternalData_25</vt:lpstr>
      <vt:lpstr>Voltage!ExternalData_25</vt:lpstr>
      <vt:lpstr>Calibrate!ExternalData_26</vt:lpstr>
      <vt:lpstr>'Range 0'!ExternalData_26</vt:lpstr>
      <vt:lpstr>'Range 1'!ExternalData_26</vt:lpstr>
      <vt:lpstr>'Range 2'!ExternalData_26</vt:lpstr>
      <vt:lpstr>'Range 3'!ExternalData_26</vt:lpstr>
      <vt:lpstr>Voltage!ExternalData_26</vt:lpstr>
      <vt:lpstr>Calibrate!ExternalData_27</vt:lpstr>
      <vt:lpstr>'Range 0'!ExternalData_27</vt:lpstr>
      <vt:lpstr>'Range 1'!ExternalData_27</vt:lpstr>
      <vt:lpstr>'Range 2'!ExternalData_27</vt:lpstr>
      <vt:lpstr>'Range 3'!ExternalData_27</vt:lpstr>
      <vt:lpstr>Voltage!ExternalData_27</vt:lpstr>
      <vt:lpstr>Calibrate!ExternalData_28</vt:lpstr>
      <vt:lpstr>'Range 0'!ExternalData_28</vt:lpstr>
      <vt:lpstr>'Range 1'!ExternalData_28</vt:lpstr>
      <vt:lpstr>'Range 2'!ExternalData_28</vt:lpstr>
      <vt:lpstr>'Range 3'!ExternalData_28</vt:lpstr>
      <vt:lpstr>Voltage!ExternalData_28</vt:lpstr>
      <vt:lpstr>Calibrate!ExternalData_29</vt:lpstr>
      <vt:lpstr>'Range 0'!ExternalData_29</vt:lpstr>
      <vt:lpstr>'Range 1'!ExternalData_29</vt:lpstr>
      <vt:lpstr>'Range 2'!ExternalData_29</vt:lpstr>
      <vt:lpstr>'Range 3'!ExternalData_29</vt:lpstr>
      <vt:lpstr>Voltage!ExternalData_29</vt:lpstr>
      <vt:lpstr>Calibrate!ExternalData_3</vt:lpstr>
      <vt:lpstr>'Range 0'!ExternalData_3</vt:lpstr>
      <vt:lpstr>'Range 1'!ExternalData_3</vt:lpstr>
      <vt:lpstr>'Range 2'!ExternalData_3</vt:lpstr>
      <vt:lpstr>'Range 3'!ExternalData_3</vt:lpstr>
      <vt:lpstr>'Range 4'!ExternalData_3</vt:lpstr>
      <vt:lpstr>'Range 5'!ExternalData_3</vt:lpstr>
      <vt:lpstr>'Range 6'!ExternalData_3</vt:lpstr>
      <vt:lpstr>'Range 7'!ExternalData_3</vt:lpstr>
      <vt:lpstr>Voltage!ExternalData_3</vt:lpstr>
      <vt:lpstr>Calibrate!ExternalData_30</vt:lpstr>
      <vt:lpstr>'Range 0'!ExternalData_30</vt:lpstr>
      <vt:lpstr>'Range 1'!ExternalData_30</vt:lpstr>
      <vt:lpstr>'Range 2'!ExternalData_30</vt:lpstr>
      <vt:lpstr>'Range 3'!ExternalData_30</vt:lpstr>
      <vt:lpstr>Voltage!ExternalData_30</vt:lpstr>
      <vt:lpstr>Calibrate!ExternalData_31</vt:lpstr>
      <vt:lpstr>'Range 0'!ExternalData_31</vt:lpstr>
      <vt:lpstr>'Range 1'!ExternalData_31</vt:lpstr>
      <vt:lpstr>'Range 2'!ExternalData_31</vt:lpstr>
      <vt:lpstr>'Range 3'!ExternalData_31</vt:lpstr>
      <vt:lpstr>Voltage!ExternalData_31</vt:lpstr>
      <vt:lpstr>Calibrate!ExternalData_32</vt:lpstr>
      <vt:lpstr>'Range 0'!ExternalData_32</vt:lpstr>
      <vt:lpstr>'Range 1'!ExternalData_32</vt:lpstr>
      <vt:lpstr>'Range 2'!ExternalData_32</vt:lpstr>
      <vt:lpstr>'Range 3'!ExternalData_32</vt:lpstr>
      <vt:lpstr>Voltage!ExternalData_32</vt:lpstr>
      <vt:lpstr>Calibrate!ExternalData_33</vt:lpstr>
      <vt:lpstr>'Range 0'!ExternalData_33</vt:lpstr>
      <vt:lpstr>'Range 1'!ExternalData_33</vt:lpstr>
      <vt:lpstr>'Range 2'!ExternalData_33</vt:lpstr>
      <vt:lpstr>'Range 3'!ExternalData_33</vt:lpstr>
      <vt:lpstr>Voltage!ExternalData_33</vt:lpstr>
      <vt:lpstr>Calibrate!ExternalData_34</vt:lpstr>
      <vt:lpstr>'Range 0'!ExternalData_34</vt:lpstr>
      <vt:lpstr>'Range 1'!ExternalData_34</vt:lpstr>
      <vt:lpstr>'Range 2'!ExternalData_34</vt:lpstr>
      <vt:lpstr>'Range 3'!ExternalData_34</vt:lpstr>
      <vt:lpstr>Voltage!ExternalData_34</vt:lpstr>
      <vt:lpstr>Calibrate!ExternalData_35</vt:lpstr>
      <vt:lpstr>'Range 0'!ExternalData_35</vt:lpstr>
      <vt:lpstr>'Range 1'!ExternalData_35</vt:lpstr>
      <vt:lpstr>'Range 2'!ExternalData_35</vt:lpstr>
      <vt:lpstr>'Range 3'!ExternalData_35</vt:lpstr>
      <vt:lpstr>Voltage!ExternalData_35</vt:lpstr>
      <vt:lpstr>Calibrate!ExternalData_36</vt:lpstr>
      <vt:lpstr>'Range 0'!ExternalData_36</vt:lpstr>
      <vt:lpstr>'Range 1'!ExternalData_36</vt:lpstr>
      <vt:lpstr>'Range 2'!ExternalData_36</vt:lpstr>
      <vt:lpstr>'Range 3'!ExternalData_36</vt:lpstr>
      <vt:lpstr>Voltage!ExternalData_36</vt:lpstr>
      <vt:lpstr>Calibrate!ExternalData_37</vt:lpstr>
      <vt:lpstr>'Range 0'!ExternalData_37</vt:lpstr>
      <vt:lpstr>'Range 1'!ExternalData_37</vt:lpstr>
      <vt:lpstr>'Range 2'!ExternalData_37</vt:lpstr>
      <vt:lpstr>'Range 3'!ExternalData_37</vt:lpstr>
      <vt:lpstr>Voltage!ExternalData_37</vt:lpstr>
      <vt:lpstr>Calibrate!ExternalData_38</vt:lpstr>
      <vt:lpstr>'Range 0'!ExternalData_38</vt:lpstr>
      <vt:lpstr>'Range 1'!ExternalData_38</vt:lpstr>
      <vt:lpstr>'Range 2'!ExternalData_38</vt:lpstr>
      <vt:lpstr>'Range 3'!ExternalData_38</vt:lpstr>
      <vt:lpstr>Voltage!ExternalData_38</vt:lpstr>
      <vt:lpstr>Calibrate!ExternalData_39</vt:lpstr>
      <vt:lpstr>'Range 0'!ExternalData_39</vt:lpstr>
      <vt:lpstr>'Range 1'!ExternalData_39</vt:lpstr>
      <vt:lpstr>'Range 2'!ExternalData_39</vt:lpstr>
      <vt:lpstr>'Range 3'!ExternalData_39</vt:lpstr>
      <vt:lpstr>Voltage!ExternalData_39</vt:lpstr>
      <vt:lpstr>Calibrate!ExternalData_4</vt:lpstr>
      <vt:lpstr>'Range 0'!ExternalData_4</vt:lpstr>
      <vt:lpstr>'Range 1'!ExternalData_4</vt:lpstr>
      <vt:lpstr>'Range 2'!ExternalData_4</vt:lpstr>
      <vt:lpstr>'Range 3'!ExternalData_4</vt:lpstr>
      <vt:lpstr>'Range 4'!ExternalData_4</vt:lpstr>
      <vt:lpstr>'Range 5'!ExternalData_4</vt:lpstr>
      <vt:lpstr>'Range 6'!ExternalData_4</vt:lpstr>
      <vt:lpstr>'Range 7'!ExternalData_4</vt:lpstr>
      <vt:lpstr>Voltage!ExternalData_4</vt:lpstr>
      <vt:lpstr>Calibrate!ExternalData_40</vt:lpstr>
      <vt:lpstr>'Range 0'!ExternalData_40</vt:lpstr>
      <vt:lpstr>'Range 1'!ExternalData_40</vt:lpstr>
      <vt:lpstr>'Range 2'!ExternalData_40</vt:lpstr>
      <vt:lpstr>'Range 3'!ExternalData_40</vt:lpstr>
      <vt:lpstr>Voltage!ExternalData_40</vt:lpstr>
      <vt:lpstr>Calibrate!ExternalData_41</vt:lpstr>
      <vt:lpstr>'Range 0'!ExternalData_41</vt:lpstr>
      <vt:lpstr>'Range 1'!ExternalData_41</vt:lpstr>
      <vt:lpstr>'Range 2'!ExternalData_41</vt:lpstr>
      <vt:lpstr>'Range 3'!ExternalData_41</vt:lpstr>
      <vt:lpstr>Voltage!ExternalData_41</vt:lpstr>
      <vt:lpstr>Calibrate!ExternalData_42</vt:lpstr>
      <vt:lpstr>'Range 0'!ExternalData_42</vt:lpstr>
      <vt:lpstr>'Range 1'!ExternalData_42</vt:lpstr>
      <vt:lpstr>'Range 2'!ExternalData_42</vt:lpstr>
      <vt:lpstr>'Range 3'!ExternalData_42</vt:lpstr>
      <vt:lpstr>Voltage!ExternalData_42</vt:lpstr>
      <vt:lpstr>Calibrate!ExternalData_43</vt:lpstr>
      <vt:lpstr>'Range 0'!ExternalData_43</vt:lpstr>
      <vt:lpstr>'Range 1'!ExternalData_43</vt:lpstr>
      <vt:lpstr>'Range 2'!ExternalData_43</vt:lpstr>
      <vt:lpstr>'Range 3'!ExternalData_43</vt:lpstr>
      <vt:lpstr>Voltage!ExternalData_43</vt:lpstr>
      <vt:lpstr>Calibrate!ExternalData_44</vt:lpstr>
      <vt:lpstr>'Range 0'!ExternalData_44</vt:lpstr>
      <vt:lpstr>'Range 1'!ExternalData_44</vt:lpstr>
      <vt:lpstr>'Range 2'!ExternalData_44</vt:lpstr>
      <vt:lpstr>'Range 3'!ExternalData_44</vt:lpstr>
      <vt:lpstr>Voltage!ExternalData_44</vt:lpstr>
      <vt:lpstr>Calibrate!ExternalData_45</vt:lpstr>
      <vt:lpstr>'Range 0'!ExternalData_45</vt:lpstr>
      <vt:lpstr>'Range 1'!ExternalData_45</vt:lpstr>
      <vt:lpstr>'Range 2'!ExternalData_45</vt:lpstr>
      <vt:lpstr>'Range 3'!ExternalData_45</vt:lpstr>
      <vt:lpstr>Voltage!ExternalData_45</vt:lpstr>
      <vt:lpstr>Calibrate!ExternalData_46</vt:lpstr>
      <vt:lpstr>'Range 0'!ExternalData_46</vt:lpstr>
      <vt:lpstr>'Range 1'!ExternalData_46</vt:lpstr>
      <vt:lpstr>'Range 2'!ExternalData_46</vt:lpstr>
      <vt:lpstr>'Range 3'!ExternalData_46</vt:lpstr>
      <vt:lpstr>Voltage!ExternalData_46</vt:lpstr>
      <vt:lpstr>Calibrate!ExternalData_47</vt:lpstr>
      <vt:lpstr>'Range 0'!ExternalData_47</vt:lpstr>
      <vt:lpstr>'Range 1'!ExternalData_47</vt:lpstr>
      <vt:lpstr>'Range 2'!ExternalData_47</vt:lpstr>
      <vt:lpstr>'Range 3'!ExternalData_47</vt:lpstr>
      <vt:lpstr>Voltage!ExternalData_47</vt:lpstr>
      <vt:lpstr>Calibrate!ExternalData_48</vt:lpstr>
      <vt:lpstr>'Range 0'!ExternalData_48</vt:lpstr>
      <vt:lpstr>'Range 1'!ExternalData_48</vt:lpstr>
      <vt:lpstr>'Range 2'!ExternalData_48</vt:lpstr>
      <vt:lpstr>'Range 3'!ExternalData_48</vt:lpstr>
      <vt:lpstr>Voltage!ExternalData_48</vt:lpstr>
      <vt:lpstr>Calibrate!ExternalData_49</vt:lpstr>
      <vt:lpstr>'Range 0'!ExternalData_49</vt:lpstr>
      <vt:lpstr>'Range 1'!ExternalData_49</vt:lpstr>
      <vt:lpstr>'Range 2'!ExternalData_49</vt:lpstr>
      <vt:lpstr>'Range 3'!ExternalData_49</vt:lpstr>
      <vt:lpstr>Voltage!ExternalData_49</vt:lpstr>
      <vt:lpstr>Calibrate!ExternalData_5</vt:lpstr>
      <vt:lpstr>'Range 0'!ExternalData_5</vt:lpstr>
      <vt:lpstr>'Range 1'!ExternalData_5</vt:lpstr>
      <vt:lpstr>'Range 2'!ExternalData_5</vt:lpstr>
      <vt:lpstr>'Range 3'!ExternalData_5</vt:lpstr>
      <vt:lpstr>'Range 4'!ExternalData_5</vt:lpstr>
      <vt:lpstr>'Range 6'!ExternalData_5</vt:lpstr>
      <vt:lpstr>'Range 7'!ExternalData_5</vt:lpstr>
      <vt:lpstr>Voltage!ExternalData_5</vt:lpstr>
      <vt:lpstr>Calibrate!ExternalData_50</vt:lpstr>
      <vt:lpstr>'Range 0'!ExternalData_50</vt:lpstr>
      <vt:lpstr>'Range 1'!ExternalData_50</vt:lpstr>
      <vt:lpstr>'Range 2'!ExternalData_50</vt:lpstr>
      <vt:lpstr>'Range 3'!ExternalData_50</vt:lpstr>
      <vt:lpstr>Voltage!ExternalData_50</vt:lpstr>
      <vt:lpstr>Calibrate!ExternalData_51</vt:lpstr>
      <vt:lpstr>'Range 0'!ExternalData_51</vt:lpstr>
      <vt:lpstr>'Range 1'!ExternalData_51</vt:lpstr>
      <vt:lpstr>'Range 2'!ExternalData_51</vt:lpstr>
      <vt:lpstr>'Range 3'!ExternalData_51</vt:lpstr>
      <vt:lpstr>Voltage!ExternalData_51</vt:lpstr>
      <vt:lpstr>Calibrate!ExternalData_52</vt:lpstr>
      <vt:lpstr>'Range 0'!ExternalData_52</vt:lpstr>
      <vt:lpstr>'Range 1'!ExternalData_52</vt:lpstr>
      <vt:lpstr>'Range 2'!ExternalData_52</vt:lpstr>
      <vt:lpstr>'Range 3'!ExternalData_52</vt:lpstr>
      <vt:lpstr>Voltage!ExternalData_52</vt:lpstr>
      <vt:lpstr>Calibrate!ExternalData_53</vt:lpstr>
      <vt:lpstr>'Range 0'!ExternalData_53</vt:lpstr>
      <vt:lpstr>'Range 1'!ExternalData_53</vt:lpstr>
      <vt:lpstr>'Range 2'!ExternalData_53</vt:lpstr>
      <vt:lpstr>'Range 3'!ExternalData_53</vt:lpstr>
      <vt:lpstr>Voltage!ExternalData_53</vt:lpstr>
      <vt:lpstr>Calibrate!ExternalData_54</vt:lpstr>
      <vt:lpstr>'Range 0'!ExternalData_54</vt:lpstr>
      <vt:lpstr>'Range 1'!ExternalData_54</vt:lpstr>
      <vt:lpstr>'Range 2'!ExternalData_54</vt:lpstr>
      <vt:lpstr>'Range 3'!ExternalData_54</vt:lpstr>
      <vt:lpstr>Voltage!ExternalData_54</vt:lpstr>
      <vt:lpstr>Calibrate!ExternalData_55</vt:lpstr>
      <vt:lpstr>'Range 0'!ExternalData_55</vt:lpstr>
      <vt:lpstr>'Range 1'!ExternalData_55</vt:lpstr>
      <vt:lpstr>'Range 2'!ExternalData_55</vt:lpstr>
      <vt:lpstr>'Range 3'!ExternalData_55</vt:lpstr>
      <vt:lpstr>Voltage!ExternalData_55</vt:lpstr>
      <vt:lpstr>Calibrate!ExternalData_56</vt:lpstr>
      <vt:lpstr>'Range 0'!ExternalData_56</vt:lpstr>
      <vt:lpstr>'Range 1'!ExternalData_56</vt:lpstr>
      <vt:lpstr>'Range 2'!ExternalData_56</vt:lpstr>
      <vt:lpstr>'Range 3'!ExternalData_56</vt:lpstr>
      <vt:lpstr>Voltage!ExternalData_56</vt:lpstr>
      <vt:lpstr>Calibrate!ExternalData_57</vt:lpstr>
      <vt:lpstr>'Range 0'!ExternalData_57</vt:lpstr>
      <vt:lpstr>'Range 1'!ExternalData_57</vt:lpstr>
      <vt:lpstr>'Range 2'!ExternalData_57</vt:lpstr>
      <vt:lpstr>'Range 3'!ExternalData_57</vt:lpstr>
      <vt:lpstr>Voltage!ExternalData_57</vt:lpstr>
      <vt:lpstr>Calibrate!ExternalData_58</vt:lpstr>
      <vt:lpstr>'Range 0'!ExternalData_58</vt:lpstr>
      <vt:lpstr>'Range 1'!ExternalData_58</vt:lpstr>
      <vt:lpstr>'Range 2'!ExternalData_58</vt:lpstr>
      <vt:lpstr>'Range 3'!ExternalData_58</vt:lpstr>
      <vt:lpstr>Voltage!ExternalData_58</vt:lpstr>
      <vt:lpstr>Calibrate!ExternalData_59</vt:lpstr>
      <vt:lpstr>'Range 0'!ExternalData_59</vt:lpstr>
      <vt:lpstr>'Range 1'!ExternalData_59</vt:lpstr>
      <vt:lpstr>'Range 2'!ExternalData_59</vt:lpstr>
      <vt:lpstr>'Range 3'!ExternalData_59</vt:lpstr>
      <vt:lpstr>Voltage!ExternalData_59</vt:lpstr>
      <vt:lpstr>Calibrate!ExternalData_6</vt:lpstr>
      <vt:lpstr>'Range 0'!ExternalData_6</vt:lpstr>
      <vt:lpstr>'Range 1'!ExternalData_6</vt:lpstr>
      <vt:lpstr>'Range 2'!ExternalData_6</vt:lpstr>
      <vt:lpstr>'Range 3'!ExternalData_6</vt:lpstr>
      <vt:lpstr>'Range 4'!ExternalData_6</vt:lpstr>
      <vt:lpstr>Voltage!ExternalData_6</vt:lpstr>
      <vt:lpstr>Calibrate!ExternalData_60</vt:lpstr>
      <vt:lpstr>'Range 0'!ExternalData_60</vt:lpstr>
      <vt:lpstr>'Range 1'!ExternalData_60</vt:lpstr>
      <vt:lpstr>'Range 2'!ExternalData_60</vt:lpstr>
      <vt:lpstr>'Range 3'!ExternalData_60</vt:lpstr>
      <vt:lpstr>Voltage!ExternalData_60</vt:lpstr>
      <vt:lpstr>Calibrate!ExternalData_61</vt:lpstr>
      <vt:lpstr>'Range 0'!ExternalData_61</vt:lpstr>
      <vt:lpstr>'Range 1'!ExternalData_61</vt:lpstr>
      <vt:lpstr>'Range 2'!ExternalData_61</vt:lpstr>
      <vt:lpstr>'Range 3'!ExternalData_61</vt:lpstr>
      <vt:lpstr>Voltage!ExternalData_61</vt:lpstr>
      <vt:lpstr>Calibrate!ExternalData_62</vt:lpstr>
      <vt:lpstr>'Range 0'!ExternalData_62</vt:lpstr>
      <vt:lpstr>'Range 1'!ExternalData_62</vt:lpstr>
      <vt:lpstr>'Range 2'!ExternalData_62</vt:lpstr>
      <vt:lpstr>'Range 3'!ExternalData_62</vt:lpstr>
      <vt:lpstr>Voltage!ExternalData_62</vt:lpstr>
      <vt:lpstr>Calibrate!ExternalData_63</vt:lpstr>
      <vt:lpstr>'Range 0'!ExternalData_63</vt:lpstr>
      <vt:lpstr>'Range 1'!ExternalData_63</vt:lpstr>
      <vt:lpstr>'Range 2'!ExternalData_63</vt:lpstr>
      <vt:lpstr>'Range 3'!ExternalData_63</vt:lpstr>
      <vt:lpstr>Voltage!ExternalData_63</vt:lpstr>
      <vt:lpstr>Calibrate!ExternalData_64</vt:lpstr>
      <vt:lpstr>'Range 0'!ExternalData_64</vt:lpstr>
      <vt:lpstr>'Range 1'!ExternalData_64</vt:lpstr>
      <vt:lpstr>'Range 2'!ExternalData_64</vt:lpstr>
      <vt:lpstr>'Range 3'!ExternalData_64</vt:lpstr>
      <vt:lpstr>Voltage!ExternalData_64</vt:lpstr>
      <vt:lpstr>Calibrate!ExternalData_65</vt:lpstr>
      <vt:lpstr>'Range 0'!ExternalData_65</vt:lpstr>
      <vt:lpstr>'Range 1'!ExternalData_65</vt:lpstr>
      <vt:lpstr>'Range 2'!ExternalData_65</vt:lpstr>
      <vt:lpstr>'Range 3'!ExternalData_65</vt:lpstr>
      <vt:lpstr>Voltage!ExternalData_65</vt:lpstr>
      <vt:lpstr>Calibrate!ExternalData_66</vt:lpstr>
      <vt:lpstr>'Range 0'!ExternalData_66</vt:lpstr>
      <vt:lpstr>'Range 1'!ExternalData_66</vt:lpstr>
      <vt:lpstr>'Range 2'!ExternalData_66</vt:lpstr>
      <vt:lpstr>'Range 3'!ExternalData_66</vt:lpstr>
      <vt:lpstr>Voltage!ExternalData_66</vt:lpstr>
      <vt:lpstr>Calibrate!ExternalData_67</vt:lpstr>
      <vt:lpstr>'Range 0'!ExternalData_67</vt:lpstr>
      <vt:lpstr>'Range 1'!ExternalData_67</vt:lpstr>
      <vt:lpstr>'Range 2'!ExternalData_67</vt:lpstr>
      <vt:lpstr>'Range 3'!ExternalData_67</vt:lpstr>
      <vt:lpstr>Voltage!ExternalData_67</vt:lpstr>
      <vt:lpstr>Calibrate!ExternalData_68</vt:lpstr>
      <vt:lpstr>'Range 0'!ExternalData_68</vt:lpstr>
      <vt:lpstr>'Range 1'!ExternalData_68</vt:lpstr>
      <vt:lpstr>'Range 2'!ExternalData_68</vt:lpstr>
      <vt:lpstr>'Range 3'!ExternalData_68</vt:lpstr>
      <vt:lpstr>Voltage!ExternalData_68</vt:lpstr>
      <vt:lpstr>Calibrate!ExternalData_69</vt:lpstr>
      <vt:lpstr>'Range 0'!ExternalData_69</vt:lpstr>
      <vt:lpstr>'Range 1'!ExternalData_69</vt:lpstr>
      <vt:lpstr>'Range 2'!ExternalData_69</vt:lpstr>
      <vt:lpstr>'Range 3'!ExternalData_69</vt:lpstr>
      <vt:lpstr>Voltage!ExternalData_69</vt:lpstr>
      <vt:lpstr>Calibrate!ExternalData_7</vt:lpstr>
      <vt:lpstr>'Range 0'!ExternalData_7</vt:lpstr>
      <vt:lpstr>'Range 1'!ExternalData_7</vt:lpstr>
      <vt:lpstr>'Range 2'!ExternalData_7</vt:lpstr>
      <vt:lpstr>'Range 3'!ExternalData_7</vt:lpstr>
      <vt:lpstr>Voltage!ExternalData_7</vt:lpstr>
      <vt:lpstr>Calibrate!ExternalData_70</vt:lpstr>
      <vt:lpstr>'Range 0'!ExternalData_70</vt:lpstr>
      <vt:lpstr>'Range 1'!ExternalData_70</vt:lpstr>
      <vt:lpstr>'Range 2'!ExternalData_70</vt:lpstr>
      <vt:lpstr>'Range 3'!ExternalData_70</vt:lpstr>
      <vt:lpstr>Voltage!ExternalData_70</vt:lpstr>
      <vt:lpstr>Calibrate!ExternalData_71</vt:lpstr>
      <vt:lpstr>'Range 0'!ExternalData_71</vt:lpstr>
      <vt:lpstr>'Range 1'!ExternalData_71</vt:lpstr>
      <vt:lpstr>'Range 2'!ExternalData_71</vt:lpstr>
      <vt:lpstr>'Range 3'!ExternalData_71</vt:lpstr>
      <vt:lpstr>Voltage!ExternalData_71</vt:lpstr>
      <vt:lpstr>Calibrate!ExternalData_72</vt:lpstr>
      <vt:lpstr>'Range 0'!ExternalData_72</vt:lpstr>
      <vt:lpstr>'Range 1'!ExternalData_72</vt:lpstr>
      <vt:lpstr>'Range 2'!ExternalData_72</vt:lpstr>
      <vt:lpstr>'Range 3'!ExternalData_72</vt:lpstr>
      <vt:lpstr>Voltage!ExternalData_72</vt:lpstr>
      <vt:lpstr>Calibrate!ExternalData_73</vt:lpstr>
      <vt:lpstr>'Range 0'!ExternalData_73</vt:lpstr>
      <vt:lpstr>'Range 1'!ExternalData_73</vt:lpstr>
      <vt:lpstr>'Range 2'!ExternalData_73</vt:lpstr>
      <vt:lpstr>'Range 3'!ExternalData_73</vt:lpstr>
      <vt:lpstr>Voltage!ExternalData_73</vt:lpstr>
      <vt:lpstr>Calibrate!ExternalData_74</vt:lpstr>
      <vt:lpstr>'Range 0'!ExternalData_74</vt:lpstr>
      <vt:lpstr>'Range 1'!ExternalData_74</vt:lpstr>
      <vt:lpstr>'Range 2'!ExternalData_74</vt:lpstr>
      <vt:lpstr>'Range 3'!ExternalData_74</vt:lpstr>
      <vt:lpstr>Voltage!ExternalData_74</vt:lpstr>
      <vt:lpstr>Calibrate!ExternalData_75</vt:lpstr>
      <vt:lpstr>'Range 0'!ExternalData_75</vt:lpstr>
      <vt:lpstr>'Range 1'!ExternalData_75</vt:lpstr>
      <vt:lpstr>'Range 2'!ExternalData_75</vt:lpstr>
      <vt:lpstr>'Range 3'!ExternalData_75</vt:lpstr>
      <vt:lpstr>Voltage!ExternalData_75</vt:lpstr>
      <vt:lpstr>Calibrate!ExternalData_76</vt:lpstr>
      <vt:lpstr>'Range 0'!ExternalData_76</vt:lpstr>
      <vt:lpstr>'Range 1'!ExternalData_76</vt:lpstr>
      <vt:lpstr>'Range 2'!ExternalData_76</vt:lpstr>
      <vt:lpstr>'Range 3'!ExternalData_76</vt:lpstr>
      <vt:lpstr>Voltage!ExternalData_76</vt:lpstr>
      <vt:lpstr>Calibrate!ExternalData_77</vt:lpstr>
      <vt:lpstr>'Range 0'!ExternalData_77</vt:lpstr>
      <vt:lpstr>'Range 1'!ExternalData_77</vt:lpstr>
      <vt:lpstr>'Range 2'!ExternalData_77</vt:lpstr>
      <vt:lpstr>'Range 3'!ExternalData_77</vt:lpstr>
      <vt:lpstr>Voltage!ExternalData_77</vt:lpstr>
      <vt:lpstr>Calibrate!ExternalData_78</vt:lpstr>
      <vt:lpstr>'Range 0'!ExternalData_78</vt:lpstr>
      <vt:lpstr>'Range 1'!ExternalData_78</vt:lpstr>
      <vt:lpstr>'Range 2'!ExternalData_78</vt:lpstr>
      <vt:lpstr>'Range 3'!ExternalData_78</vt:lpstr>
      <vt:lpstr>Voltage!ExternalData_78</vt:lpstr>
      <vt:lpstr>Calibrate!ExternalData_79</vt:lpstr>
      <vt:lpstr>'Range 0'!ExternalData_79</vt:lpstr>
      <vt:lpstr>'Range 2'!ExternalData_79</vt:lpstr>
      <vt:lpstr>'Range 3'!ExternalData_79</vt:lpstr>
      <vt:lpstr>Voltage!ExternalData_79</vt:lpstr>
      <vt:lpstr>Calibrate!ExternalData_8</vt:lpstr>
      <vt:lpstr>'Range 0'!ExternalData_8</vt:lpstr>
      <vt:lpstr>'Range 1'!ExternalData_8</vt:lpstr>
      <vt:lpstr>'Range 2'!ExternalData_8</vt:lpstr>
      <vt:lpstr>'Range 3'!ExternalData_8</vt:lpstr>
      <vt:lpstr>Voltage!ExternalData_8</vt:lpstr>
      <vt:lpstr>'Range 0'!ExternalData_80</vt:lpstr>
      <vt:lpstr>'Range 2'!ExternalData_80</vt:lpstr>
      <vt:lpstr>'Range 3'!ExternalData_80</vt:lpstr>
      <vt:lpstr>Voltage!ExternalData_80</vt:lpstr>
      <vt:lpstr>'Range 0'!ExternalData_81</vt:lpstr>
      <vt:lpstr>'Range 3'!ExternalData_81</vt:lpstr>
      <vt:lpstr>Voltage!ExternalData_81</vt:lpstr>
      <vt:lpstr>'Range 0'!ExternalData_82</vt:lpstr>
      <vt:lpstr>'Range 3'!ExternalData_82</vt:lpstr>
      <vt:lpstr>Voltage!ExternalData_82</vt:lpstr>
      <vt:lpstr>'Range 0'!ExternalData_83</vt:lpstr>
      <vt:lpstr>'Range 3'!ExternalData_83</vt:lpstr>
      <vt:lpstr>Voltage!ExternalData_83</vt:lpstr>
      <vt:lpstr>'Range 0'!ExternalData_84</vt:lpstr>
      <vt:lpstr>'Range 3'!ExternalData_84</vt:lpstr>
      <vt:lpstr>Voltage!ExternalData_84</vt:lpstr>
      <vt:lpstr>'Range 0'!ExternalData_85</vt:lpstr>
      <vt:lpstr>'Range 3'!ExternalData_85</vt:lpstr>
      <vt:lpstr>Voltage!ExternalData_85</vt:lpstr>
      <vt:lpstr>'Range 0'!ExternalData_86</vt:lpstr>
      <vt:lpstr>'Range 3'!ExternalData_86</vt:lpstr>
      <vt:lpstr>Voltage!ExternalData_86</vt:lpstr>
      <vt:lpstr>'Range 0'!ExternalData_87</vt:lpstr>
      <vt:lpstr>'Range 3'!ExternalData_87</vt:lpstr>
      <vt:lpstr>Voltage!ExternalData_87</vt:lpstr>
      <vt:lpstr>'Range 0'!ExternalData_88</vt:lpstr>
      <vt:lpstr>'Range 3'!ExternalData_88</vt:lpstr>
      <vt:lpstr>Voltage!ExternalData_88</vt:lpstr>
      <vt:lpstr>'Range 0'!ExternalData_89</vt:lpstr>
      <vt:lpstr>'Range 3'!ExternalData_89</vt:lpstr>
      <vt:lpstr>Voltage!ExternalData_89</vt:lpstr>
      <vt:lpstr>Calibrate!ExternalData_9</vt:lpstr>
      <vt:lpstr>'Range 0'!ExternalData_9</vt:lpstr>
      <vt:lpstr>'Range 1'!ExternalData_9</vt:lpstr>
      <vt:lpstr>'Range 2'!ExternalData_9</vt:lpstr>
      <vt:lpstr>'Range 3'!ExternalData_9</vt:lpstr>
      <vt:lpstr>'Range 0'!ExternalData_90</vt:lpstr>
      <vt:lpstr>'Range 3'!ExternalData_90</vt:lpstr>
      <vt:lpstr>Voltage!ExternalData_90</vt:lpstr>
      <vt:lpstr>'Range 0'!ExternalData_91</vt:lpstr>
      <vt:lpstr>'Range 3'!ExternalData_91</vt:lpstr>
      <vt:lpstr>Voltage!ExternalData_91</vt:lpstr>
      <vt:lpstr>'Range 0'!ExternalData_92</vt:lpstr>
      <vt:lpstr>'Range 3'!ExternalData_92</vt:lpstr>
      <vt:lpstr>Voltage!ExternalData_92</vt:lpstr>
      <vt:lpstr>'Range 0'!ExternalData_93</vt:lpstr>
      <vt:lpstr>'Range 3'!ExternalData_93</vt:lpstr>
      <vt:lpstr>Voltage!ExternalData_93</vt:lpstr>
      <vt:lpstr>'Range 0'!ExternalData_94</vt:lpstr>
      <vt:lpstr>'Range 3'!ExternalData_94</vt:lpstr>
      <vt:lpstr>Voltage!ExternalData_94</vt:lpstr>
      <vt:lpstr>'Range 0'!ExternalData_95</vt:lpstr>
      <vt:lpstr>'Range 3'!ExternalData_95</vt:lpstr>
      <vt:lpstr>Voltage!ExternalData_95</vt:lpstr>
      <vt:lpstr>'Range 0'!ExternalData_96</vt:lpstr>
      <vt:lpstr>'Range 3'!ExternalData_96</vt:lpstr>
      <vt:lpstr>Voltage!ExternalData_96</vt:lpstr>
      <vt:lpstr>'Range 0'!ExternalData_97</vt:lpstr>
      <vt:lpstr>'Range 3'!ExternalData_97</vt:lpstr>
      <vt:lpstr>Voltage!ExternalData_97</vt:lpstr>
      <vt:lpstr>'Range 0'!ExternalData_98</vt:lpstr>
      <vt:lpstr>'Range 3'!ExternalData_98</vt:lpstr>
      <vt:lpstr>Voltage!ExternalData_98</vt:lpstr>
      <vt:lpstr>'Range 0'!ExternalData_99</vt:lpstr>
      <vt:lpstr>'Range 3'!ExternalData_99</vt:lpstr>
      <vt:lpstr>Voltage!ExternalData_99</vt:lpstr>
      <vt:lpstr>Igain</vt:lpstr>
      <vt:lpstr>INT16_MAX</vt:lpstr>
      <vt:lpstr>INT16_MIN</vt:lpstr>
      <vt:lpstr>Vgain</vt:lpstr>
      <vt:lpstr>VOLT_RNG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Sclafani</dc:creator>
  <cp:lastModifiedBy>Matt</cp:lastModifiedBy>
  <dcterms:created xsi:type="dcterms:W3CDTF">2017-10-17T17:25:27Z</dcterms:created>
  <dcterms:modified xsi:type="dcterms:W3CDTF">2018-01-01T04:20:01Z</dcterms:modified>
</cp:coreProperties>
</file>