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otentiostat\SquidstatCalibrator\bin\Debug\"/>
    </mc:Choice>
  </mc:AlternateContent>
  <bookViews>
    <workbookView xWindow="0" yWindow="0" windowWidth="23040" windowHeight="8175" tabRatio="898" activeTab="1" xr2:uid="{00000000-000D-0000-FFFF-FFFF00000000}"/>
  </bookViews>
  <sheets>
    <sheet name="Connect" sheetId="10" r:id="rId1"/>
    <sheet name="Data" sheetId="1" r:id="rId2"/>
    <sheet name="Voltage" sheetId="2" r:id="rId3"/>
    <sheet name="Range 0" sheetId="12" r:id="rId4"/>
    <sheet name="Range 1" sheetId="13" r:id="rId5"/>
    <sheet name="Range 2" sheetId="14" r:id="rId6"/>
    <sheet name="Range 3" sheetId="15" r:id="rId7"/>
    <sheet name="Range 4" sheetId="16" r:id="rId8"/>
    <sheet name="Range 5" sheetId="17" r:id="rId9"/>
    <sheet name="Range 6" sheetId="18" r:id="rId10"/>
    <sheet name="Range 7" sheetId="19" r:id="rId11"/>
    <sheet name="Calibrate" sheetId="21" r:id="rId12"/>
    <sheet name="Hardware Data" sheetId="22" r:id="rId13"/>
    <sheet name="Internal" sheetId="11" r:id="rId14"/>
  </sheets>
  <definedNames>
    <definedName name="CUR_RNG_R0">Internal!$F$3</definedName>
    <definedName name="CUR_RNG_R1">Internal!$F$4</definedName>
    <definedName name="CUR_RNG_R2">Internal!$F$5</definedName>
    <definedName name="CUR_RNG_R3">Internal!$F$6</definedName>
    <definedName name="CUR_RNG_R4">Internal!$F$7</definedName>
    <definedName name="CUR_RNG_R5">Internal!$F$8</definedName>
    <definedName name="CUR_RNG_R6">Internal!$F$9</definedName>
    <definedName name="CUR_RNG_R7">Internal!$F$10</definedName>
    <definedName name="ExternalData_1" localSheetId="11">Calibrate!$L$1:$L$61</definedName>
    <definedName name="ExternalData_1" localSheetId="3">'Range 0'!#REF!</definedName>
    <definedName name="ExternalData_1" localSheetId="4">'Range 1'!$L$1:$M$22</definedName>
    <definedName name="ExternalData_1" localSheetId="5">'Range 2'!$L$1:$M$22</definedName>
    <definedName name="ExternalData_1" localSheetId="6">'Range 3'!$L$1:$M$22</definedName>
    <definedName name="ExternalData_1" localSheetId="7">'Range 4'!$L$1:$M$21</definedName>
    <definedName name="ExternalData_1" localSheetId="2">Voltage!$L$1:$O$22</definedName>
    <definedName name="ExternalData_10" localSheetId="11">Calibrate!$L$1:$L$61</definedName>
    <definedName name="ExternalData_10" localSheetId="3">'Range 0'!$L$1:$M$22</definedName>
    <definedName name="ExternalData_10" localSheetId="4">'Range 1'!$L$1:$M$22</definedName>
    <definedName name="ExternalData_10" localSheetId="5">'Range 2'!$L$1:$M$23</definedName>
    <definedName name="ExternalData_100" localSheetId="2">Voltage!$L$1:$O$22</definedName>
    <definedName name="ExternalData_101" localSheetId="2">Voltage!$L$1:$O$22</definedName>
    <definedName name="ExternalData_102" localSheetId="2">Voltage!$L$1:$O$22</definedName>
    <definedName name="ExternalData_103" localSheetId="2">Voltage!$L$1:$O$22</definedName>
    <definedName name="ExternalData_104" localSheetId="2">Voltage!$L$1:$O$22</definedName>
    <definedName name="ExternalData_105" localSheetId="2">Voltage!$L$1:$O$22</definedName>
    <definedName name="ExternalData_106" localSheetId="2">Voltage!$L$1:$O$22</definedName>
    <definedName name="ExternalData_107" localSheetId="2">Voltage!$L$1:$O$22</definedName>
    <definedName name="ExternalData_108" localSheetId="2">Voltage!$L$1:$O$22</definedName>
    <definedName name="ExternalData_109" localSheetId="2">Voltage!$L$1:$O$22</definedName>
    <definedName name="ExternalData_11" localSheetId="11">Calibrate!$L$1:$L$61</definedName>
    <definedName name="ExternalData_11" localSheetId="3">'Range 0'!$L$1:$M$22</definedName>
    <definedName name="ExternalData_11" localSheetId="4">'Range 1'!$L$1:$M$22</definedName>
    <definedName name="ExternalData_11" localSheetId="5">'Range 2'!$L$1:$M$23</definedName>
    <definedName name="ExternalData_11" localSheetId="6">'Range 3'!$L$1:$M$22</definedName>
    <definedName name="ExternalData_110" localSheetId="2">Voltage!$L$1:$O$22</definedName>
    <definedName name="ExternalData_111" localSheetId="2">Voltage!$L$1:$O$22</definedName>
    <definedName name="ExternalData_112" localSheetId="2">Voltage!$L$1:$O$22</definedName>
    <definedName name="ExternalData_113" localSheetId="2">Voltage!$L$1:$O$22</definedName>
    <definedName name="ExternalData_114" localSheetId="2">Voltage!$L$1:$O$22</definedName>
    <definedName name="ExternalData_115" localSheetId="2">Voltage!$L$1:$O$22</definedName>
    <definedName name="ExternalData_116" localSheetId="2">Voltage!$L$1:$O$22</definedName>
    <definedName name="ExternalData_117" localSheetId="2">Voltage!$L$1:$O$22</definedName>
    <definedName name="ExternalData_118" localSheetId="2">Voltage!$L$1:$O$22</definedName>
    <definedName name="ExternalData_119" localSheetId="2">Voltage!$L$1:$O$22</definedName>
    <definedName name="ExternalData_12" localSheetId="11">Calibrate!$L$1:$L$61</definedName>
    <definedName name="ExternalData_12" localSheetId="3">'Range 0'!$L$1:$M$22</definedName>
    <definedName name="ExternalData_12" localSheetId="4">'Range 1'!$L$1:$M$22</definedName>
    <definedName name="ExternalData_12" localSheetId="5">'Range 2'!$L$1:$M$23</definedName>
    <definedName name="ExternalData_12" localSheetId="6">'Range 3'!$L$1:$M$22</definedName>
    <definedName name="ExternalData_120" localSheetId="2">Voltage!$L$1:$O$22</definedName>
    <definedName name="ExternalData_121" localSheetId="2">Voltage!$L$1:$O$22</definedName>
    <definedName name="ExternalData_122" localSheetId="2">Voltage!$L$1:$O$22</definedName>
    <definedName name="ExternalData_123" localSheetId="2">Voltage!$L$1:$O$22</definedName>
    <definedName name="ExternalData_124" localSheetId="2">Voltage!$L$1:$O$22</definedName>
    <definedName name="ExternalData_125" localSheetId="2">Voltage!$L$1:$O$22</definedName>
    <definedName name="ExternalData_126" localSheetId="2">Voltage!$L$1:$M$22</definedName>
    <definedName name="ExternalData_127" localSheetId="2">Voltage!$L$1:$O$22</definedName>
    <definedName name="ExternalData_128" localSheetId="2">Voltage!$L$1:$O$22</definedName>
    <definedName name="ExternalData_129" localSheetId="2">Voltage!$L$1:$O$22</definedName>
    <definedName name="ExternalData_13" localSheetId="11">Calibrate!$L$1:$L$61</definedName>
    <definedName name="ExternalData_13" localSheetId="3">'Range 0'!$L$1:$M$22</definedName>
    <definedName name="ExternalData_13" localSheetId="4">'Range 1'!$L$1:$M$22</definedName>
    <definedName name="ExternalData_13" localSheetId="5">'Range 2'!$L$1:$M$23</definedName>
    <definedName name="ExternalData_13" localSheetId="6">'Range 3'!$L$1:$M$22</definedName>
    <definedName name="ExternalData_130" localSheetId="2">Voltage!$L$1:$O$22</definedName>
    <definedName name="ExternalData_131" localSheetId="2">Voltage!$L$1:$O$22</definedName>
    <definedName name="ExternalData_132" localSheetId="2">Voltage!$L$1:$O$22</definedName>
    <definedName name="ExternalData_133" localSheetId="2">Voltage!$L$1:$O$22</definedName>
    <definedName name="ExternalData_134" localSheetId="2">Voltage!$L$1:$O$22</definedName>
    <definedName name="ExternalData_14" localSheetId="11">Calibrate!$L$1:$L$61</definedName>
    <definedName name="ExternalData_14" localSheetId="3">'Range 0'!$L$1:$M$22</definedName>
    <definedName name="ExternalData_14" localSheetId="4">'Range 1'!$L$1:$M$22</definedName>
    <definedName name="ExternalData_14" localSheetId="5">'Range 2'!$L$1:$M$22</definedName>
    <definedName name="ExternalData_14" localSheetId="6">'Range 3'!$L$1:$M$22</definedName>
    <definedName name="ExternalData_15" localSheetId="11">Calibrate!$L$1:$L$61</definedName>
    <definedName name="ExternalData_15" localSheetId="3">'Range 0'!$L$1:$M$22</definedName>
    <definedName name="ExternalData_15" localSheetId="4">'Range 1'!$L$1:$M$22</definedName>
    <definedName name="ExternalData_15" localSheetId="5">'Range 2'!$L$1:$M$22</definedName>
    <definedName name="ExternalData_15" localSheetId="6">'Range 3'!$L$1:$M$22</definedName>
    <definedName name="ExternalData_16" localSheetId="11">Calibrate!$L$1:$L$61</definedName>
    <definedName name="ExternalData_16" localSheetId="3">'Range 0'!$L$1:$M$22</definedName>
    <definedName name="ExternalData_16" localSheetId="4">'Range 1'!$L$1:$M$22</definedName>
    <definedName name="ExternalData_16" localSheetId="5">'Range 2'!$L$1:$M$22</definedName>
    <definedName name="ExternalData_16" localSheetId="6">'Range 3'!$L$1:$M$22</definedName>
    <definedName name="ExternalData_17" localSheetId="11">Calibrate!$L$1:$L$61</definedName>
    <definedName name="ExternalData_17" localSheetId="3">'Range 0'!$L$1:$M$22</definedName>
    <definedName name="ExternalData_17" localSheetId="4">'Range 1'!$L$1:$M$22</definedName>
    <definedName name="ExternalData_17" localSheetId="5">'Range 2'!$L$1:$M$22</definedName>
    <definedName name="ExternalData_17" localSheetId="6">'Range 3'!$L$1:$M$22</definedName>
    <definedName name="ExternalData_17" localSheetId="2">Voltage!$L$1:$O$22</definedName>
    <definedName name="ExternalData_18" localSheetId="11">Calibrate!$L$1:$L$61</definedName>
    <definedName name="ExternalData_18" localSheetId="3">'Range 0'!$L$1:$M$22</definedName>
    <definedName name="ExternalData_18" localSheetId="4">'Range 1'!$L$1:$M$22</definedName>
    <definedName name="ExternalData_18" localSheetId="5">'Range 2'!$L$1:$M$23</definedName>
    <definedName name="ExternalData_18" localSheetId="6">'Range 3'!$L$1:$M$22</definedName>
    <definedName name="ExternalData_18" localSheetId="2">Voltage!$L$1:$O$22</definedName>
    <definedName name="ExternalData_19" localSheetId="11">Calibrate!$L$1:$L$61</definedName>
    <definedName name="ExternalData_19" localSheetId="3">'Range 0'!$L$1:$M$22</definedName>
    <definedName name="ExternalData_19" localSheetId="4">'Range 1'!$L$1:$M$22</definedName>
    <definedName name="ExternalData_19" localSheetId="5">'Range 2'!$L$1:$M$22</definedName>
    <definedName name="ExternalData_19" localSheetId="6">'Range 3'!$L$1:$M$22</definedName>
    <definedName name="ExternalData_19" localSheetId="2">Voltage!$L$1:$O$22</definedName>
    <definedName name="ExternalData_2" localSheetId="11">Calibrate!$L$1:$L$61</definedName>
    <definedName name="ExternalData_2" localSheetId="3">'Range 0'!$L$2:$M$22</definedName>
    <definedName name="ExternalData_2" localSheetId="4">'Range 1'!$L$1:$M$22</definedName>
    <definedName name="ExternalData_2" localSheetId="5">'Range 2'!$L$1:$M$22</definedName>
    <definedName name="ExternalData_2" localSheetId="6">'Range 3'!$L$1:$M$22</definedName>
    <definedName name="ExternalData_2" localSheetId="7">'Range 4'!$L$1:$M$21</definedName>
    <definedName name="ExternalData_2" localSheetId="2">Voltage!$L$1:$O$22</definedName>
    <definedName name="ExternalData_20" localSheetId="11">Calibrate!$L$1:$L$61</definedName>
    <definedName name="ExternalData_20" localSheetId="3">'Range 0'!$L$1:$M$22</definedName>
    <definedName name="ExternalData_20" localSheetId="4">'Range 1'!$L$1:$M$22</definedName>
    <definedName name="ExternalData_20" localSheetId="5">'Range 2'!$L$1:$M$22</definedName>
    <definedName name="ExternalData_20" localSheetId="6">'Range 3'!$L$1:$M$22</definedName>
    <definedName name="ExternalData_20" localSheetId="2">Voltage!$L$1:$O$22</definedName>
    <definedName name="ExternalData_21" localSheetId="11">Calibrate!$L$1:$L$61</definedName>
    <definedName name="ExternalData_21" localSheetId="3">'Range 0'!$L$1:$M$22</definedName>
    <definedName name="ExternalData_21" localSheetId="4">'Range 1'!$L$1:$M$22</definedName>
    <definedName name="ExternalData_21" localSheetId="5">'Range 2'!$L$1:$M$22</definedName>
    <definedName name="ExternalData_21" localSheetId="6">'Range 3'!$L$1:$M$22</definedName>
    <definedName name="ExternalData_21" localSheetId="2">Voltage!$L$1:$O$22</definedName>
    <definedName name="ExternalData_22" localSheetId="11">Calibrate!$L$1:$L$61</definedName>
    <definedName name="ExternalData_22" localSheetId="3">'Range 0'!$L$1:$M$22</definedName>
    <definedName name="ExternalData_22" localSheetId="4">'Range 1'!$L$1:$M$22</definedName>
    <definedName name="ExternalData_22" localSheetId="5">'Range 2'!$L$1:$M$22</definedName>
    <definedName name="ExternalData_22" localSheetId="6">'Range 3'!$L$1:$M$22</definedName>
    <definedName name="ExternalData_22" localSheetId="2">Voltage!$L$1:$O$22</definedName>
    <definedName name="ExternalData_23" localSheetId="11">Calibrate!$L$1:$L$61</definedName>
    <definedName name="ExternalData_23" localSheetId="3">'Range 0'!$L$1:$M$22</definedName>
    <definedName name="ExternalData_23" localSheetId="4">'Range 1'!$L$1:$M$22</definedName>
    <definedName name="ExternalData_23" localSheetId="5">'Range 2'!$L$1:$M$22</definedName>
    <definedName name="ExternalData_23" localSheetId="6">'Range 3'!$L$1:$M$22</definedName>
    <definedName name="ExternalData_23" localSheetId="2">Voltage!$L$1:$O$22</definedName>
    <definedName name="ExternalData_24" localSheetId="11">Calibrate!$L$1:$L$61</definedName>
    <definedName name="ExternalData_24" localSheetId="3">'Range 0'!$L$1:$M$22</definedName>
    <definedName name="ExternalData_24" localSheetId="4">'Range 1'!$L$1:$M$22</definedName>
    <definedName name="ExternalData_24" localSheetId="5">'Range 2'!$L$1:$M$22</definedName>
    <definedName name="ExternalData_24" localSheetId="6">'Range 3'!$L$1:$M$22</definedName>
    <definedName name="ExternalData_24" localSheetId="2">Voltage!$L$1:$O$22</definedName>
    <definedName name="ExternalData_25" localSheetId="11">Calibrate!$L$1:$L$61</definedName>
    <definedName name="ExternalData_25" localSheetId="3">'Range 0'!$L$1:$M$22</definedName>
    <definedName name="ExternalData_25" localSheetId="4">'Range 1'!$L$1:$M$22</definedName>
    <definedName name="ExternalData_25" localSheetId="5">'Range 2'!$L$1:$M$22</definedName>
    <definedName name="ExternalData_25" localSheetId="6">'Range 3'!$L$1:$M$22</definedName>
    <definedName name="ExternalData_25" localSheetId="2">Voltage!$L$1:$O$22</definedName>
    <definedName name="ExternalData_26" localSheetId="11">Calibrate!$L$1:$L$61</definedName>
    <definedName name="ExternalData_26" localSheetId="3">'Range 0'!$L$1:$M$22</definedName>
    <definedName name="ExternalData_26" localSheetId="4">'Range 1'!$L$1:$M$22</definedName>
    <definedName name="ExternalData_26" localSheetId="5">'Range 2'!$L$1:$M$22</definedName>
    <definedName name="ExternalData_26" localSheetId="6">'Range 3'!$L$1:$M$22</definedName>
    <definedName name="ExternalData_26" localSheetId="2">Voltage!$L$1:$O$22</definedName>
    <definedName name="ExternalData_27" localSheetId="11">Calibrate!$L$1:$L$61</definedName>
    <definedName name="ExternalData_27" localSheetId="3">'Range 0'!$L$1:$M$22</definedName>
    <definedName name="ExternalData_27" localSheetId="4">'Range 1'!$L$1:$M$22</definedName>
    <definedName name="ExternalData_27" localSheetId="5">'Range 2'!$L$1:$M$22</definedName>
    <definedName name="ExternalData_27" localSheetId="6">'Range 3'!$L$1:$M$22</definedName>
    <definedName name="ExternalData_27" localSheetId="2">Voltage!$L$2:$O$23</definedName>
    <definedName name="ExternalData_28" localSheetId="11">Calibrate!$L$1:$L$61</definedName>
    <definedName name="ExternalData_28" localSheetId="3">'Range 0'!$L$1:$M$22</definedName>
    <definedName name="ExternalData_28" localSheetId="4">'Range 1'!$L$1:$M$22</definedName>
    <definedName name="ExternalData_28" localSheetId="5">'Range 2'!$L$1:$M$22</definedName>
    <definedName name="ExternalData_28" localSheetId="6">'Range 3'!$L$1:$M$22</definedName>
    <definedName name="ExternalData_28" localSheetId="2">Voltage!$L$1:$O$22</definedName>
    <definedName name="ExternalData_29" localSheetId="11">Calibrate!$L$1:$L$61</definedName>
    <definedName name="ExternalData_29" localSheetId="3">'Range 0'!$L$1:$M$22</definedName>
    <definedName name="ExternalData_29" localSheetId="4">'Range 1'!$L$1:$M$22</definedName>
    <definedName name="ExternalData_29" localSheetId="5">'Range 2'!$L$1:$M$22</definedName>
    <definedName name="ExternalData_29" localSheetId="6">'Range 3'!$L$1:$M$22</definedName>
    <definedName name="ExternalData_29" localSheetId="2">Voltage!$L$1:$O$22</definedName>
    <definedName name="ExternalData_3" localSheetId="11">Calibrate!$L$1:$L$61</definedName>
    <definedName name="ExternalData_3" localSheetId="3">'Range 0'!$L$2:$M$22</definedName>
    <definedName name="ExternalData_3" localSheetId="4">'Range 1'!$L$1:$M$22</definedName>
    <definedName name="ExternalData_3" localSheetId="5">'Range 2'!$L$1:$M$22</definedName>
    <definedName name="ExternalData_3" localSheetId="6">'Range 3'!$L$1:$M$22</definedName>
    <definedName name="ExternalData_3" localSheetId="2">Voltage!$L$1:$O$22</definedName>
    <definedName name="ExternalData_30" localSheetId="3">'Range 0'!$L$1:$M$22</definedName>
    <definedName name="ExternalData_30" localSheetId="4">'Range 1'!$L$1:$M$22</definedName>
    <definedName name="ExternalData_30" localSheetId="5">'Range 2'!$L$1:$M$22</definedName>
    <definedName name="ExternalData_30" localSheetId="6">'Range 3'!$L$1:$M$22</definedName>
    <definedName name="ExternalData_30" localSheetId="2">Voltage!$L$1:$O$22</definedName>
    <definedName name="ExternalData_31" localSheetId="3">'Range 0'!$L$1:$M$22</definedName>
    <definedName name="ExternalData_31" localSheetId="4">'Range 1'!$L$1:$M$22</definedName>
    <definedName name="ExternalData_31" localSheetId="5">'Range 2'!$L$1:$M$22</definedName>
    <definedName name="ExternalData_31" localSheetId="6">'Range 3'!$L$1:$M$23</definedName>
    <definedName name="ExternalData_31" localSheetId="2">Voltage!$L$1:$O$22</definedName>
    <definedName name="ExternalData_32" localSheetId="3">'Range 0'!$L$1:$M$22</definedName>
    <definedName name="ExternalData_32" localSheetId="4">'Range 1'!$L$1:$M$22</definedName>
    <definedName name="ExternalData_32" localSheetId="5">'Range 2'!$L$1:$M$22</definedName>
    <definedName name="ExternalData_32" localSheetId="6">'Range 3'!$L$1:$M$23</definedName>
    <definedName name="ExternalData_32" localSheetId="2">Voltage!$L$1:$M$22</definedName>
    <definedName name="ExternalData_33" localSheetId="3">'Range 0'!$L$1:$M$22</definedName>
    <definedName name="ExternalData_33" localSheetId="4">'Range 1'!$L$1:$M$22</definedName>
    <definedName name="ExternalData_33" localSheetId="5">'Range 2'!$L$1:$M$22</definedName>
    <definedName name="ExternalData_33" localSheetId="6">'Range 3'!$L$1:$M$23</definedName>
    <definedName name="ExternalData_33" localSheetId="2">Voltage!$L$1:$O$22</definedName>
    <definedName name="ExternalData_34" localSheetId="3">'Range 0'!$L$1:$M$22</definedName>
    <definedName name="ExternalData_34" localSheetId="4">'Range 1'!$L$1:$M$22</definedName>
    <definedName name="ExternalData_34" localSheetId="5">'Range 2'!$L$1:$M$22</definedName>
    <definedName name="ExternalData_34" localSheetId="6">'Range 3'!$L$1:$M$23</definedName>
    <definedName name="ExternalData_34" localSheetId="2">Voltage!$L$1:$O$22</definedName>
    <definedName name="ExternalData_35" localSheetId="3">'Range 0'!$L$1:$M$22</definedName>
    <definedName name="ExternalData_35" localSheetId="4">'Range 1'!$L$1:$M$22</definedName>
    <definedName name="ExternalData_35" localSheetId="5">'Range 2'!$L$1:$M$22</definedName>
    <definedName name="ExternalData_35" localSheetId="6">'Range 3'!$L$1:$M$22</definedName>
    <definedName name="ExternalData_35" localSheetId="2">Voltage!$L$1:$O$22</definedName>
    <definedName name="ExternalData_36" localSheetId="3">'Range 0'!$L$1:$M$22</definedName>
    <definedName name="ExternalData_36" localSheetId="4">'Range 1'!$L$1:$M$22</definedName>
    <definedName name="ExternalData_36" localSheetId="5">'Range 2'!$L$1:$M$22</definedName>
    <definedName name="ExternalData_36" localSheetId="6">'Range 3'!$L$1:$M$22</definedName>
    <definedName name="ExternalData_36" localSheetId="2">Voltage!$L$1:$O$22</definedName>
    <definedName name="ExternalData_37" localSheetId="3">'Range 0'!$L$1:$M$22</definedName>
    <definedName name="ExternalData_37" localSheetId="4">'Range 1'!$L$1:$M$22</definedName>
    <definedName name="ExternalData_37" localSheetId="5">'Range 2'!$L$1:$M$22</definedName>
    <definedName name="ExternalData_37" localSheetId="6">'Range 3'!$L$1:$M$22</definedName>
    <definedName name="ExternalData_37" localSheetId="2">Voltage!$L$1:$O$22</definedName>
    <definedName name="ExternalData_38" localSheetId="3">'Range 0'!$L$1:$M$22</definedName>
    <definedName name="ExternalData_38" localSheetId="4">'Range 1'!$L$1:$M$22</definedName>
    <definedName name="ExternalData_38" localSheetId="5">'Range 2'!$L$1:$M$22</definedName>
    <definedName name="ExternalData_38" localSheetId="6">'Range 3'!$L$1:$M$22</definedName>
    <definedName name="ExternalData_38" localSheetId="2">Voltage!$L$1:$O$22</definedName>
    <definedName name="ExternalData_39" localSheetId="3">'Range 0'!$L$1:$M$22</definedName>
    <definedName name="ExternalData_39" localSheetId="4">'Range 1'!$L$1:$M$22</definedName>
    <definedName name="ExternalData_39" localSheetId="5">'Range 2'!$L$1:$M$22</definedName>
    <definedName name="ExternalData_39" localSheetId="6">'Range 3'!$L$1:$M$22</definedName>
    <definedName name="ExternalData_39" localSheetId="2">Voltage!$L$1:$O$22</definedName>
    <definedName name="ExternalData_4" localSheetId="11">Calibrate!$L$1:$L$61</definedName>
    <definedName name="ExternalData_4" localSheetId="3">'Range 0'!$L$1:$M$22</definedName>
    <definedName name="ExternalData_4" localSheetId="4">'Range 1'!$L$1:$M$22</definedName>
    <definedName name="ExternalData_4" localSheetId="5">'Range 2'!$L$1:$M$22</definedName>
    <definedName name="ExternalData_4" localSheetId="6">'Range 3'!$L$1:$M$22</definedName>
    <definedName name="ExternalData_4" localSheetId="2">Voltage!$L$1:$O$22</definedName>
    <definedName name="ExternalData_40" localSheetId="3">'Range 0'!$L$1:$M$22</definedName>
    <definedName name="ExternalData_40" localSheetId="4">'Range 1'!$L$1:$M$22</definedName>
    <definedName name="ExternalData_40" localSheetId="5">'Range 2'!$L$1:$M$22</definedName>
    <definedName name="ExternalData_40" localSheetId="6">'Range 3'!$L$1:$M$22</definedName>
    <definedName name="ExternalData_40" localSheetId="2">Voltage!$L$1:$O$22</definedName>
    <definedName name="ExternalData_41" localSheetId="3">'Range 0'!$L$1:$M$22</definedName>
    <definedName name="ExternalData_41" localSheetId="4">'Range 1'!$L$1:$M$22</definedName>
    <definedName name="ExternalData_41" localSheetId="5">'Range 2'!$L$1:$M$22</definedName>
    <definedName name="ExternalData_41" localSheetId="6">'Range 3'!$L$1:$M$22</definedName>
    <definedName name="ExternalData_41" localSheetId="2">Voltage!$L$1:$O$22</definedName>
    <definedName name="ExternalData_42" localSheetId="3">'Range 0'!$L$1:$M$22</definedName>
    <definedName name="ExternalData_42" localSheetId="4">'Range 1'!$L$1:$M$22</definedName>
    <definedName name="ExternalData_42" localSheetId="5">'Range 2'!$L$1:$M$22</definedName>
    <definedName name="ExternalData_42" localSheetId="6">'Range 3'!$L$1:$M$22</definedName>
    <definedName name="ExternalData_42" localSheetId="2">Voltage!$L$1:$O$22</definedName>
    <definedName name="ExternalData_43" localSheetId="3">'Range 0'!$L$1:$M$22</definedName>
    <definedName name="ExternalData_43" localSheetId="4">'Range 1'!$L$1:$M$22</definedName>
    <definedName name="ExternalData_43" localSheetId="5">'Range 2'!$L$1:$M$22</definedName>
    <definedName name="ExternalData_43" localSheetId="6">'Range 3'!$L$1:$M$22</definedName>
    <definedName name="ExternalData_43" localSheetId="2">Voltage!$L$1:$O$22</definedName>
    <definedName name="ExternalData_44" localSheetId="3">'Range 0'!$L$1:$M$22</definedName>
    <definedName name="ExternalData_44" localSheetId="4">'Range 1'!$L$1:$M$22</definedName>
    <definedName name="ExternalData_44" localSheetId="5">'Range 2'!$L$1:$M$22</definedName>
    <definedName name="ExternalData_44" localSheetId="6">'Range 3'!$L$1:$M$22</definedName>
    <definedName name="ExternalData_44" localSheetId="2">Voltage!$L$1:$M$22</definedName>
    <definedName name="ExternalData_45" localSheetId="3">'Range 0'!$L$1:$M$22</definedName>
    <definedName name="ExternalData_45" localSheetId="4">'Range 1'!$L$1:$M$22</definedName>
    <definedName name="ExternalData_45" localSheetId="5">'Range 2'!$L$1:$M$22</definedName>
    <definedName name="ExternalData_45" localSheetId="6">'Range 3'!$L$1:$M$22</definedName>
    <definedName name="ExternalData_45" localSheetId="2">Voltage!$L$1:$O$22</definedName>
    <definedName name="ExternalData_46" localSheetId="3">'Range 0'!$L$1:$M$22</definedName>
    <definedName name="ExternalData_46" localSheetId="4">'Range 1'!$L$1:$M$22</definedName>
    <definedName name="ExternalData_46" localSheetId="5">'Range 2'!$L$1:$M$22</definedName>
    <definedName name="ExternalData_46" localSheetId="6">'Range 3'!$L$1:$M$22</definedName>
    <definedName name="ExternalData_46" localSheetId="2">Voltage!$L$1:$O$22</definedName>
    <definedName name="ExternalData_47" localSheetId="3">'Range 0'!$L$1:$M$22</definedName>
    <definedName name="ExternalData_47" localSheetId="4">'Range 1'!$L$1:$M$22</definedName>
    <definedName name="ExternalData_47" localSheetId="5">'Range 2'!$L$1:$M$22</definedName>
    <definedName name="ExternalData_47" localSheetId="6">'Range 3'!$L$1:$M$22</definedName>
    <definedName name="ExternalData_47" localSheetId="2">Voltage!$L$1:$O$22</definedName>
    <definedName name="ExternalData_48" localSheetId="3">'Range 0'!$L$1:$M$22</definedName>
    <definedName name="ExternalData_48" localSheetId="4">'Range 1'!$L$1:$M$22</definedName>
    <definedName name="ExternalData_48" localSheetId="5">'Range 2'!$L$1:$M$22</definedName>
    <definedName name="ExternalData_48" localSheetId="6">'Range 3'!$L$1:$M$22</definedName>
    <definedName name="ExternalData_48" localSheetId="2">Voltage!$L$1:$O$22</definedName>
    <definedName name="ExternalData_49" localSheetId="3">'Range 0'!$L$1:$M$22</definedName>
    <definedName name="ExternalData_49" localSheetId="4">'Range 1'!$L$1:$M$22</definedName>
    <definedName name="ExternalData_49" localSheetId="5">'Range 2'!$L$1:$M$22</definedName>
    <definedName name="ExternalData_49" localSheetId="6">'Range 3'!$L$1:$M$22</definedName>
    <definedName name="ExternalData_49" localSheetId="2">Voltage!$L$1:$O$22</definedName>
    <definedName name="ExternalData_5" localSheetId="11">Calibrate!$L$1:$L$61</definedName>
    <definedName name="ExternalData_5" localSheetId="3">'Range 0'!$L$1:$M$22</definedName>
    <definedName name="ExternalData_5" localSheetId="4">'Range 1'!$L$1:$M$22</definedName>
    <definedName name="ExternalData_5" localSheetId="5">'Range 2'!$L$1:$M$22</definedName>
    <definedName name="ExternalData_5" localSheetId="6">'Range 3'!$L$1:$M$22</definedName>
    <definedName name="ExternalData_5" localSheetId="2">Voltage!$L$1:$O$22</definedName>
    <definedName name="ExternalData_50" localSheetId="3">'Range 0'!$L$1:$M$22</definedName>
    <definedName name="ExternalData_50" localSheetId="4">'Range 1'!$L$1:$M$22</definedName>
    <definedName name="ExternalData_50" localSheetId="5">'Range 2'!$L$1:$M$22</definedName>
    <definedName name="ExternalData_50" localSheetId="6">'Range 3'!$L$1:$M$22</definedName>
    <definedName name="ExternalData_50" localSheetId="2">Voltage!$L$1:$O$22</definedName>
    <definedName name="ExternalData_51" localSheetId="3">'Range 0'!$L$1:$M$22</definedName>
    <definedName name="ExternalData_51" localSheetId="4">'Range 1'!$L$1:$M$22</definedName>
    <definedName name="ExternalData_51" localSheetId="5">'Range 2'!$L$1:$M$22</definedName>
    <definedName name="ExternalData_51" localSheetId="6">'Range 3'!$L$1:$M$22</definedName>
    <definedName name="ExternalData_51" localSheetId="2">Voltage!$L$1:$O$22</definedName>
    <definedName name="ExternalData_52" localSheetId="3">'Range 0'!$L$1:$M$22</definedName>
    <definedName name="ExternalData_52" localSheetId="4">'Range 1'!$L$1:$M$22</definedName>
    <definedName name="ExternalData_52" localSheetId="5">'Range 2'!$L$1:$M$22</definedName>
    <definedName name="ExternalData_52" localSheetId="6">'Range 3'!$L$1:$M$22</definedName>
    <definedName name="ExternalData_52" localSheetId="2">Voltage!$L$1:$O$22</definedName>
    <definedName name="ExternalData_53" localSheetId="3">'Range 0'!$L$1:$M$22</definedName>
    <definedName name="ExternalData_53" localSheetId="4">'Range 1'!$L$1:$M$22</definedName>
    <definedName name="ExternalData_53" localSheetId="5">'Range 2'!$L$1:$M$22</definedName>
    <definedName name="ExternalData_53" localSheetId="6">'Range 3'!$L$1:$M$22</definedName>
    <definedName name="ExternalData_53" localSheetId="2">Voltage!$L$1:$O$22</definedName>
    <definedName name="ExternalData_54" localSheetId="3">'Range 0'!$L$1:$M$22</definedName>
    <definedName name="ExternalData_54" localSheetId="5">'Range 2'!$L$1:$M$22</definedName>
    <definedName name="ExternalData_54" localSheetId="6">'Range 3'!$L$1:$M$22</definedName>
    <definedName name="ExternalData_54" localSheetId="2">Voltage!$L$1:$O$22</definedName>
    <definedName name="ExternalData_55" localSheetId="3">'Range 0'!$L$1:$M$22</definedName>
    <definedName name="ExternalData_55" localSheetId="5">'Range 2'!$L$1:$M$21</definedName>
    <definedName name="ExternalData_55" localSheetId="6">'Range 3'!$L$1:$M$22</definedName>
    <definedName name="ExternalData_55" localSheetId="2">Voltage!$L$1:$O$22</definedName>
    <definedName name="ExternalData_56" localSheetId="3">'Range 0'!$L$1:$M$22</definedName>
    <definedName name="ExternalData_56" localSheetId="5">'Range 2'!$L$1:$M$22</definedName>
    <definedName name="ExternalData_56" localSheetId="6">'Range 3'!$L$1:$M$22</definedName>
    <definedName name="ExternalData_56" localSheetId="2">Voltage!$L$1:$O$22</definedName>
    <definedName name="ExternalData_57" localSheetId="3">'Range 0'!$L$1:$M$22</definedName>
    <definedName name="ExternalData_57" localSheetId="5">'Range 2'!$L$1:$M$22</definedName>
    <definedName name="ExternalData_57" localSheetId="6">'Range 3'!$L$1:$M$22</definedName>
    <definedName name="ExternalData_57" localSheetId="2">Voltage!$L$1:$O$22</definedName>
    <definedName name="ExternalData_58" localSheetId="3">'Range 0'!$L$1:$M$22</definedName>
    <definedName name="ExternalData_58" localSheetId="5">'Range 2'!$L$1:$M$22</definedName>
    <definedName name="ExternalData_58" localSheetId="6">'Range 3'!$L$1:$M$22</definedName>
    <definedName name="ExternalData_58" localSheetId="2">Voltage!$L$1:$O$22</definedName>
    <definedName name="ExternalData_59" localSheetId="3">'Range 0'!$L$1:$M$22</definedName>
    <definedName name="ExternalData_59" localSheetId="5">'Range 2'!$L$1:$M$22</definedName>
    <definedName name="ExternalData_59" localSheetId="6">'Range 3'!$L$1:$M$22</definedName>
    <definedName name="ExternalData_59" localSheetId="2">Voltage!$L$1:$O$22</definedName>
    <definedName name="ExternalData_6" localSheetId="11">Calibrate!$L$1:$L$61</definedName>
    <definedName name="ExternalData_6" localSheetId="3">'Range 0'!$L$1:$M$22</definedName>
    <definedName name="ExternalData_6" localSheetId="4">'Range 1'!$L$1:$M$22</definedName>
    <definedName name="ExternalData_6" localSheetId="5">'Range 2'!$L$1:$M$22</definedName>
    <definedName name="ExternalData_6" localSheetId="6">'Range 3'!$L$1:$M$22</definedName>
    <definedName name="ExternalData_6" localSheetId="2">Voltage!$L$1:$O$22</definedName>
    <definedName name="ExternalData_60" localSheetId="3">'Range 0'!$L$1:$M$22</definedName>
    <definedName name="ExternalData_60" localSheetId="6">'Range 3'!$L$1:$M$22</definedName>
    <definedName name="ExternalData_60" localSheetId="2">Voltage!$L$1:$O$22</definedName>
    <definedName name="ExternalData_61" localSheetId="3">'Range 0'!$L$1:$M$22</definedName>
    <definedName name="ExternalData_61" localSheetId="6">'Range 3'!$L$1:$M$22</definedName>
    <definedName name="ExternalData_61" localSheetId="2">Voltage!$L$1:$O$22</definedName>
    <definedName name="ExternalData_62" localSheetId="3">'Range 0'!$L$1:$M$22</definedName>
    <definedName name="ExternalData_62" localSheetId="6">'Range 3'!$L$1:$M$22</definedName>
    <definedName name="ExternalData_62" localSheetId="2">Voltage!$L$1:$O$22</definedName>
    <definedName name="ExternalData_63" localSheetId="3">'Range 0'!$L$1:$M$22</definedName>
    <definedName name="ExternalData_63" localSheetId="6">'Range 3'!$L$1:$M$22</definedName>
    <definedName name="ExternalData_63" localSheetId="2">Voltage!$L$1:$O$22</definedName>
    <definedName name="ExternalData_64" localSheetId="3">'Range 0'!$L$1:$M$22</definedName>
    <definedName name="ExternalData_64" localSheetId="6">'Range 3'!$L$1:$M$22</definedName>
    <definedName name="ExternalData_64" localSheetId="2">Voltage!$L$1:$O$22</definedName>
    <definedName name="ExternalData_65" localSheetId="3">'Range 0'!$L$1:$M$22</definedName>
    <definedName name="ExternalData_65" localSheetId="6">'Range 3'!$L$1:$M$22</definedName>
    <definedName name="ExternalData_65" localSheetId="2">Voltage!$L$1:$O$22</definedName>
    <definedName name="ExternalData_66" localSheetId="3">'Range 0'!$L$1:$M$22</definedName>
    <definedName name="ExternalData_66" localSheetId="6">'Range 3'!$L$1:$M$22</definedName>
    <definedName name="ExternalData_66" localSheetId="2">Voltage!$L$1:$O$22</definedName>
    <definedName name="ExternalData_67" localSheetId="3">'Range 0'!$L$1:$M$22</definedName>
    <definedName name="ExternalData_67" localSheetId="6">'Range 3'!$L$1:$M$22</definedName>
    <definedName name="ExternalData_67" localSheetId="2">Voltage!$L$1:$O$22</definedName>
    <definedName name="ExternalData_68" localSheetId="3">'Range 0'!$L$1:$M$22</definedName>
    <definedName name="ExternalData_68" localSheetId="6">'Range 3'!$L$1:$M$22</definedName>
    <definedName name="ExternalData_68" localSheetId="2">Voltage!$L$1:$O$22</definedName>
    <definedName name="ExternalData_69" localSheetId="3">'Range 0'!$L$1:$M$22</definedName>
    <definedName name="ExternalData_69" localSheetId="6">'Range 3'!$L$1:$M$22</definedName>
    <definedName name="ExternalData_69" localSheetId="2">Voltage!$L$1:$O$22</definedName>
    <definedName name="ExternalData_7" localSheetId="11">Calibrate!$L$1:$L$61</definedName>
    <definedName name="ExternalData_7" localSheetId="3">'Range 0'!$L$1:$M$22</definedName>
    <definedName name="ExternalData_7" localSheetId="4">'Range 1'!$L$1:$M$22</definedName>
    <definedName name="ExternalData_7" localSheetId="5">'Range 2'!$L$1:$M$23</definedName>
    <definedName name="ExternalData_7" localSheetId="6">'Range 3'!$L$1:$M$2</definedName>
    <definedName name="ExternalData_7" localSheetId="2">Voltage!$L$1:$O$22</definedName>
    <definedName name="ExternalData_70" localSheetId="3">'Range 0'!$L$1:$M$22</definedName>
    <definedName name="ExternalData_70" localSheetId="6">'Range 3'!$L$1:$M$22</definedName>
    <definedName name="ExternalData_70" localSheetId="2">Voltage!$L$1:$O$22</definedName>
    <definedName name="ExternalData_71" localSheetId="3">'Range 0'!$L$1:$M$22</definedName>
    <definedName name="ExternalData_71" localSheetId="6">'Range 3'!$L$1:$M$21</definedName>
    <definedName name="ExternalData_71" localSheetId="2">Voltage!$L$1:$O$22</definedName>
    <definedName name="ExternalData_72" localSheetId="3">'Range 0'!$L$1:$M$22</definedName>
    <definedName name="ExternalData_72" localSheetId="6">'Range 3'!$L$1:$M$22</definedName>
    <definedName name="ExternalData_72" localSheetId="2">Voltage!$L$1:$O$22</definedName>
    <definedName name="ExternalData_73" localSheetId="3">'Range 0'!$L$1:$M$22</definedName>
    <definedName name="ExternalData_73" localSheetId="6">'Range 3'!$L$1:$M$22</definedName>
    <definedName name="ExternalData_73" localSheetId="2">Voltage!$L$1:$O$22</definedName>
    <definedName name="ExternalData_74" localSheetId="3">'Range 0'!$L$1:$M$22</definedName>
    <definedName name="ExternalData_74" localSheetId="6">'Range 3'!$L$1:$M$22</definedName>
    <definedName name="ExternalData_74" localSheetId="2">Voltage!$L$1:$O$22</definedName>
    <definedName name="ExternalData_75" localSheetId="3">'Range 0'!$L$1:$M$22</definedName>
    <definedName name="ExternalData_75" localSheetId="2">Voltage!$L$1:$O$22</definedName>
    <definedName name="ExternalData_76" localSheetId="3">'Range 0'!$L$1:$M$22</definedName>
    <definedName name="ExternalData_76" localSheetId="2">Voltage!$L$1:$O$22</definedName>
    <definedName name="ExternalData_77" localSheetId="3">'Range 0'!$L$1:$M$22</definedName>
    <definedName name="ExternalData_77" localSheetId="2">Voltage!$L$1:$O$22</definedName>
    <definedName name="ExternalData_78" localSheetId="3">'Range 0'!$L$1:$M$22</definedName>
    <definedName name="ExternalData_78" localSheetId="2">Voltage!$L$1:$O$22</definedName>
    <definedName name="ExternalData_79" localSheetId="3">'Range 0'!$L$1:$M$22</definedName>
    <definedName name="ExternalData_79" localSheetId="2">Voltage!$L$1:$O$22</definedName>
    <definedName name="ExternalData_8" localSheetId="11">Calibrate!$L$1:$L$61</definedName>
    <definedName name="ExternalData_8" localSheetId="3">'Range 0'!$L$1:$M$22</definedName>
    <definedName name="ExternalData_8" localSheetId="4">'Range 1'!$L$1:$M$22</definedName>
    <definedName name="ExternalData_8" localSheetId="5">'Range 2'!$L$1:$M$23</definedName>
    <definedName name="ExternalData_8" localSheetId="6">'Range 3'!$L$1:$M$2</definedName>
    <definedName name="ExternalData_8" localSheetId="2">Voltage!$L$1:$O$22</definedName>
    <definedName name="ExternalData_80" localSheetId="3">'Range 0'!$L$1:$M$22</definedName>
    <definedName name="ExternalData_80" localSheetId="2">Voltage!$L$1:$O$22</definedName>
    <definedName name="ExternalData_81" localSheetId="2">Voltage!$L$1:$O$22</definedName>
    <definedName name="ExternalData_82" localSheetId="2">Voltage!$L$1:$O$22</definedName>
    <definedName name="ExternalData_83" localSheetId="2">Voltage!$L$1:$O$22</definedName>
    <definedName name="ExternalData_84" localSheetId="2">Voltage!$L$1:$O$22</definedName>
    <definedName name="ExternalData_85" localSheetId="2">Voltage!$L$1:$O$22</definedName>
    <definedName name="ExternalData_86" localSheetId="2">Voltage!$L$1:$O$22</definedName>
    <definedName name="ExternalData_87" localSheetId="2">Voltage!$L$1:$O$22</definedName>
    <definedName name="ExternalData_88" localSheetId="2">Voltage!$L$1:$O$22</definedName>
    <definedName name="ExternalData_89" localSheetId="2">Voltage!$L$1:$O$22</definedName>
    <definedName name="ExternalData_9" localSheetId="11">Calibrate!$L$1:$L$61</definedName>
    <definedName name="ExternalData_9" localSheetId="3">'Range 0'!$L$1:$M$22</definedName>
    <definedName name="ExternalData_9" localSheetId="4">'Range 1'!$L$1:$M$22</definedName>
    <definedName name="ExternalData_9" localSheetId="5">'Range 2'!$L$1:$M$23</definedName>
    <definedName name="ExternalData_9" localSheetId="6">'Range 3'!$L$1:$M$2</definedName>
    <definedName name="ExternalData_90" localSheetId="2">Voltage!$L$1:$O$22</definedName>
    <definedName name="ExternalData_91" localSheetId="2">Voltage!$L$1:$O$22</definedName>
    <definedName name="ExternalData_92" localSheetId="2">Voltage!$L$1:$O$22</definedName>
    <definedName name="ExternalData_93" localSheetId="2">Voltage!$L$1:$O$22</definedName>
    <definedName name="ExternalData_94" localSheetId="2">Voltage!$L$1:$O$22</definedName>
    <definedName name="ExternalData_95" localSheetId="2">Voltage!$L$1:$O$22</definedName>
    <definedName name="ExternalData_96" localSheetId="2">Voltage!$L$1:$O$22</definedName>
    <definedName name="ExternalData_97" localSheetId="2">Voltage!$L$1:$O$22</definedName>
    <definedName name="ExternalData_98" localSheetId="2">Voltage!$L$1:$O$22</definedName>
    <definedName name="ExternalData_99" localSheetId="2">Voltage!$L$1:$O$22</definedName>
    <definedName name="INT16_MAX">Internal!$L$3</definedName>
    <definedName name="INT16_MIN">Internal!$L$2</definedName>
    <definedName name="VOLT_RNG">Internal!$F$2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2" i="1" l="1"/>
  <c r="U21" i="1"/>
  <c r="U20" i="1"/>
  <c r="U19" i="1"/>
  <c r="U18" i="1"/>
  <c r="U17" i="1"/>
  <c r="U16" i="1"/>
  <c r="U15" i="1"/>
  <c r="U14" i="1"/>
  <c r="U13" i="1"/>
  <c r="E14" i="1"/>
  <c r="E15" i="1"/>
  <c r="E16" i="1"/>
  <c r="E17" i="1"/>
  <c r="E18" i="1"/>
  <c r="E19" i="1"/>
  <c r="E20" i="1"/>
  <c r="E21" i="1"/>
  <c r="E22" i="1"/>
  <c r="E13" i="1"/>
  <c r="E12" i="1"/>
  <c r="U3" i="1"/>
  <c r="U4" i="1"/>
  <c r="U5" i="1"/>
  <c r="U6" i="1"/>
  <c r="U7" i="1"/>
  <c r="U8" i="1"/>
  <c r="U9" i="1"/>
  <c r="U10" i="1"/>
  <c r="U11" i="1"/>
  <c r="U12" i="1"/>
  <c r="U2" i="1"/>
  <c r="E35" i="1"/>
  <c r="E32" i="1"/>
  <c r="E26" i="1"/>
  <c r="E29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" i="1"/>
  <c r="AG2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" i="1"/>
  <c r="AF2" i="1"/>
  <c r="B42" i="21" l="1"/>
  <c r="B34" i="21"/>
  <c r="C7" i="22" l="1"/>
  <c r="C2" i="21" l="1"/>
  <c r="B2" i="21" l="1"/>
  <c r="B1" i="22"/>
  <c r="B2" i="22"/>
  <c r="AR22" i="1"/>
  <c r="AS22" i="1" s="1"/>
  <c r="AT22" i="1" s="1"/>
  <c r="AR21" i="1"/>
  <c r="AS21" i="1" s="1"/>
  <c r="AT21" i="1" s="1"/>
  <c r="AR20" i="1"/>
  <c r="AS20" i="1" s="1"/>
  <c r="AT20" i="1" s="1"/>
  <c r="AR19" i="1"/>
  <c r="AS19" i="1" s="1"/>
  <c r="AT19" i="1" s="1"/>
  <c r="AR18" i="1"/>
  <c r="AS18" i="1" s="1"/>
  <c r="AT18" i="1" s="1"/>
  <c r="AR17" i="1"/>
  <c r="AS17" i="1" s="1"/>
  <c r="AT17" i="1" s="1"/>
  <c r="AR16" i="1"/>
  <c r="AS16" i="1" s="1"/>
  <c r="AT16" i="1" s="1"/>
  <c r="AR15" i="1"/>
  <c r="AS15" i="1" s="1"/>
  <c r="AT15" i="1" s="1"/>
  <c r="AR14" i="1"/>
  <c r="AS14" i="1" s="1"/>
  <c r="AT14" i="1" s="1"/>
  <c r="AR13" i="1"/>
  <c r="AS13" i="1" s="1"/>
  <c r="AT13" i="1" s="1"/>
  <c r="AR12" i="1"/>
  <c r="AS12" i="1" s="1"/>
  <c r="AT12" i="1" s="1"/>
  <c r="AR11" i="1"/>
  <c r="AS11" i="1" s="1"/>
  <c r="AT11" i="1" s="1"/>
  <c r="AR10" i="1"/>
  <c r="AS10" i="1" s="1"/>
  <c r="AT10" i="1" s="1"/>
  <c r="AR9" i="1"/>
  <c r="AS9" i="1" s="1"/>
  <c r="AT9" i="1" s="1"/>
  <c r="AR8" i="1"/>
  <c r="AS8" i="1" s="1"/>
  <c r="AT8" i="1" s="1"/>
  <c r="AR7" i="1"/>
  <c r="AS7" i="1" s="1"/>
  <c r="AT7" i="1" s="1"/>
  <c r="AR6" i="1"/>
  <c r="AS6" i="1" s="1"/>
  <c r="AT6" i="1" s="1"/>
  <c r="AR5" i="1"/>
  <c r="AS5" i="1" s="1"/>
  <c r="AT5" i="1" s="1"/>
  <c r="AR4" i="1"/>
  <c r="AS4" i="1" s="1"/>
  <c r="AT4" i="1" s="1"/>
  <c r="AR3" i="1"/>
  <c r="AS3" i="1" s="1"/>
  <c r="AT3" i="1" s="1"/>
  <c r="AR2" i="1"/>
  <c r="AS2" i="1" s="1"/>
  <c r="AT2" i="1" s="1"/>
  <c r="F4" i="11" l="1"/>
  <c r="F5" i="11"/>
  <c r="F6" i="11"/>
  <c r="F7" i="11"/>
  <c r="F8" i="11"/>
  <c r="F9" i="11"/>
  <c r="F10" i="11"/>
  <c r="F3" i="11"/>
  <c r="D6" i="11"/>
  <c r="D5" i="11"/>
  <c r="D4" i="11"/>
  <c r="V2" i="1"/>
  <c r="W2" i="1"/>
  <c r="AA2" i="1"/>
  <c r="AB2" i="1"/>
  <c r="D3" i="11"/>
  <c r="C9" i="21"/>
  <c r="C10" i="21"/>
  <c r="C11" i="21"/>
  <c r="C12" i="21"/>
  <c r="G29" i="1" s="1"/>
  <c r="C13" i="21"/>
  <c r="G26" i="1" s="1"/>
  <c r="C14" i="21"/>
  <c r="G32" i="1" s="1"/>
  <c r="C15" i="21"/>
  <c r="I29" i="1" s="1"/>
  <c r="C16" i="21"/>
  <c r="I26" i="1" s="1"/>
  <c r="C17" i="21"/>
  <c r="I32" i="1" s="1"/>
  <c r="C18" i="21"/>
  <c r="M29" i="1" s="1"/>
  <c r="C19" i="21"/>
  <c r="M26" i="1" s="1"/>
  <c r="C20" i="21"/>
  <c r="M32" i="1" s="1"/>
  <c r="C21" i="21"/>
  <c r="R29" i="1" s="1"/>
  <c r="C22" i="21"/>
  <c r="X29" i="1" s="1"/>
  <c r="C23" i="21"/>
  <c r="AC29" i="1" s="1"/>
  <c r="C24" i="21"/>
  <c r="AH29" i="1" s="1"/>
  <c r="C25" i="21"/>
  <c r="AM29" i="1" s="1"/>
  <c r="C26" i="21"/>
  <c r="AR29" i="1" s="1"/>
  <c r="C27" i="21"/>
  <c r="AW29" i="1" s="1"/>
  <c r="C28" i="21"/>
  <c r="BB29" i="1" s="1"/>
  <c r="C29" i="21"/>
  <c r="R26" i="1" s="1"/>
  <c r="C30" i="21"/>
  <c r="X26" i="1" s="1"/>
  <c r="C31" i="21"/>
  <c r="AC26" i="1" s="1"/>
  <c r="C32" i="21"/>
  <c r="AH26" i="1" s="1"/>
  <c r="C33" i="21"/>
  <c r="AM26" i="1" s="1"/>
  <c r="C34" i="21"/>
  <c r="AR26" i="1" s="1"/>
  <c r="C35" i="21"/>
  <c r="AW26" i="1" s="1"/>
  <c r="C36" i="21"/>
  <c r="BB26" i="1" s="1"/>
  <c r="C37" i="21"/>
  <c r="R32" i="1" s="1"/>
  <c r="C38" i="21"/>
  <c r="X32" i="1" s="1"/>
  <c r="C39" i="21"/>
  <c r="AC32" i="1" s="1"/>
  <c r="C40" i="21"/>
  <c r="AH32" i="1" s="1"/>
  <c r="C41" i="21"/>
  <c r="AM32" i="1" s="1"/>
  <c r="AM12" i="1" s="1"/>
  <c r="AN12" i="1" s="1"/>
  <c r="AO12" i="1" s="1"/>
  <c r="C42" i="21"/>
  <c r="AR32" i="1" s="1"/>
  <c r="C43" i="21"/>
  <c r="AW32" i="1" s="1"/>
  <c r="C44" i="21"/>
  <c r="BB32" i="1" s="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8" i="21"/>
  <c r="AM2" i="1" l="1"/>
  <c r="AN2" i="1" s="1"/>
  <c r="AO2" i="1" s="1"/>
  <c r="AM11" i="1"/>
  <c r="AN11" i="1" s="1"/>
  <c r="AO11" i="1" s="1"/>
  <c r="AM7" i="1"/>
  <c r="AN7" i="1" s="1"/>
  <c r="AO7" i="1" s="1"/>
  <c r="AM3" i="1"/>
  <c r="AN3" i="1" s="1"/>
  <c r="AO3" i="1" s="1"/>
  <c r="AM10" i="1"/>
  <c r="AN10" i="1" s="1"/>
  <c r="AO10" i="1" s="1"/>
  <c r="AM6" i="1"/>
  <c r="AN6" i="1" s="1"/>
  <c r="AO6" i="1" s="1"/>
  <c r="AM9" i="1"/>
  <c r="AN9" i="1" s="1"/>
  <c r="AO9" i="1" s="1"/>
  <c r="AM5" i="1"/>
  <c r="AN5" i="1" s="1"/>
  <c r="AO5" i="1" s="1"/>
  <c r="AM8" i="1"/>
  <c r="AN8" i="1" s="1"/>
  <c r="AO8" i="1" s="1"/>
  <c r="AM4" i="1"/>
  <c r="AN4" i="1" s="1"/>
  <c r="AO4" i="1" s="1"/>
  <c r="AM17" i="1"/>
  <c r="AN17" i="1" s="1"/>
  <c r="AO17" i="1" s="1"/>
  <c r="AM14" i="1"/>
  <c r="AN14" i="1" s="1"/>
  <c r="AO14" i="1" s="1"/>
  <c r="AM20" i="1"/>
  <c r="AN20" i="1" s="1"/>
  <c r="AO20" i="1" s="1"/>
  <c r="AM13" i="1"/>
  <c r="AN13" i="1" s="1"/>
  <c r="AO13" i="1" s="1"/>
  <c r="AM22" i="1"/>
  <c r="AN22" i="1" s="1"/>
  <c r="AO22" i="1" s="1"/>
  <c r="AM19" i="1"/>
  <c r="AN19" i="1" s="1"/>
  <c r="AO19" i="1" s="1"/>
  <c r="AM16" i="1"/>
  <c r="AN16" i="1" s="1"/>
  <c r="AO16" i="1" s="1"/>
  <c r="AM21" i="1"/>
  <c r="AN21" i="1" s="1"/>
  <c r="AO21" i="1" s="1"/>
  <c r="AM18" i="1"/>
  <c r="AN18" i="1" s="1"/>
  <c r="AO18" i="1" s="1"/>
  <c r="AM15" i="1"/>
  <c r="AN15" i="1" s="1"/>
  <c r="AO15" i="1" s="1"/>
  <c r="X2" i="1"/>
  <c r="Y2" i="1" s="1"/>
  <c r="Z2" i="1" s="1"/>
  <c r="AC2" i="1"/>
  <c r="AD2" i="1" s="1"/>
  <c r="AE2" i="1" s="1"/>
  <c r="AH2" i="1"/>
  <c r="AI2" i="1" s="1"/>
  <c r="AJ2" i="1" s="1"/>
  <c r="U2" i="2" l="1"/>
  <c r="T2" i="2"/>
  <c r="S2" i="2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" i="1"/>
  <c r="P26" i="1" l="1"/>
  <c r="V29" i="1"/>
  <c r="V32" i="1"/>
  <c r="V26" i="1"/>
  <c r="AF26" i="1"/>
  <c r="AA32" i="1"/>
  <c r="AA29" i="1"/>
  <c r="AA26" i="1"/>
  <c r="AF29" i="1"/>
  <c r="AF32" i="1"/>
  <c r="P32" i="1"/>
  <c r="P29" i="1"/>
  <c r="C1" i="19"/>
  <c r="B2" i="19" s="1"/>
  <c r="C1" i="18"/>
  <c r="B2" i="18" s="1"/>
  <c r="C1" i="17"/>
  <c r="B2" i="17" s="1"/>
  <c r="C1" i="16"/>
  <c r="B2" i="16" s="1"/>
  <c r="C1" i="14"/>
  <c r="B2" i="14" s="1"/>
  <c r="C1" i="13"/>
  <c r="B2" i="13" s="1"/>
  <c r="C1" i="12"/>
  <c r="B2" i="12" s="1"/>
  <c r="C1" i="2"/>
  <c r="B2" i="2" s="1"/>
  <c r="C1" i="15"/>
  <c r="B2" i="15" s="1"/>
  <c r="B8" i="21"/>
  <c r="AZ23" i="1" l="1"/>
  <c r="AU23" i="1"/>
  <c r="AP23" i="1"/>
  <c r="AK23" i="1"/>
  <c r="AF23" i="1"/>
  <c r="AA23" i="1"/>
  <c r="V23" i="1"/>
  <c r="P23" i="1"/>
  <c r="D23" i="1"/>
  <c r="AG3" i="1" l="1"/>
  <c r="AH3" i="1" s="1"/>
  <c r="AI3" i="1" s="1"/>
  <c r="AJ3" i="1" s="1"/>
  <c r="AG4" i="1"/>
  <c r="AH4" i="1" s="1"/>
  <c r="AI4" i="1" s="1"/>
  <c r="AJ4" i="1" s="1"/>
  <c r="AG5" i="1"/>
  <c r="AH5" i="1" s="1"/>
  <c r="AI5" i="1" s="1"/>
  <c r="AJ5" i="1" s="1"/>
  <c r="AG6" i="1"/>
  <c r="AH6" i="1" s="1"/>
  <c r="AI6" i="1" s="1"/>
  <c r="AJ6" i="1" s="1"/>
  <c r="AG7" i="1"/>
  <c r="AH7" i="1" s="1"/>
  <c r="AI7" i="1" s="1"/>
  <c r="AJ7" i="1" s="1"/>
  <c r="AG8" i="1"/>
  <c r="AH8" i="1" s="1"/>
  <c r="AI8" i="1" s="1"/>
  <c r="AJ8" i="1" s="1"/>
  <c r="AG9" i="1"/>
  <c r="AH9" i="1" s="1"/>
  <c r="AI9" i="1" s="1"/>
  <c r="AJ9" i="1" s="1"/>
  <c r="AG10" i="1"/>
  <c r="AH10" i="1" s="1"/>
  <c r="AI10" i="1" s="1"/>
  <c r="AJ10" i="1" s="1"/>
  <c r="AG11" i="1"/>
  <c r="AH11" i="1" s="1"/>
  <c r="AI11" i="1" s="1"/>
  <c r="AJ11" i="1" s="1"/>
  <c r="AG12" i="1"/>
  <c r="AH12" i="1" s="1"/>
  <c r="AI12" i="1" s="1"/>
  <c r="AJ12" i="1" s="1"/>
  <c r="AG13" i="1"/>
  <c r="AH13" i="1" s="1"/>
  <c r="AI13" i="1" s="1"/>
  <c r="AJ13" i="1" s="1"/>
  <c r="AG14" i="1"/>
  <c r="AH14" i="1" s="1"/>
  <c r="AI14" i="1" s="1"/>
  <c r="AJ14" i="1" s="1"/>
  <c r="AG15" i="1"/>
  <c r="AH15" i="1" s="1"/>
  <c r="AI15" i="1" s="1"/>
  <c r="AJ15" i="1" s="1"/>
  <c r="AG16" i="1"/>
  <c r="AH16" i="1" s="1"/>
  <c r="AI16" i="1" s="1"/>
  <c r="AJ16" i="1" s="1"/>
  <c r="AG17" i="1"/>
  <c r="AH17" i="1" s="1"/>
  <c r="AI17" i="1" s="1"/>
  <c r="AJ17" i="1" s="1"/>
  <c r="AG18" i="1"/>
  <c r="AH18" i="1" s="1"/>
  <c r="AI18" i="1" s="1"/>
  <c r="AJ18" i="1" s="1"/>
  <c r="AG19" i="1"/>
  <c r="AH19" i="1" s="1"/>
  <c r="AI19" i="1" s="1"/>
  <c r="AJ19" i="1" s="1"/>
  <c r="AG20" i="1"/>
  <c r="AH20" i="1" s="1"/>
  <c r="AI20" i="1" s="1"/>
  <c r="AJ20" i="1" s="1"/>
  <c r="AG21" i="1"/>
  <c r="AH21" i="1" s="1"/>
  <c r="AI21" i="1" s="1"/>
  <c r="AJ21" i="1" s="1"/>
  <c r="AG22" i="1"/>
  <c r="AH22" i="1" s="1"/>
  <c r="AI22" i="1" s="1"/>
  <c r="AJ22" i="1" s="1"/>
  <c r="D2" i="1"/>
  <c r="E2" i="1" s="1"/>
  <c r="W3" i="1"/>
  <c r="X3" i="1" s="1"/>
  <c r="Y3" i="1" s="1"/>
  <c r="Z3" i="1" s="1"/>
  <c r="AB3" i="1"/>
  <c r="AC3" i="1" s="1"/>
  <c r="AD3" i="1" s="1"/>
  <c r="AE3" i="1" s="1"/>
  <c r="W4" i="1"/>
  <c r="X4" i="1" s="1"/>
  <c r="Y4" i="1" s="1"/>
  <c r="Z4" i="1" s="1"/>
  <c r="AB4" i="1"/>
  <c r="AC4" i="1" s="1"/>
  <c r="AD4" i="1" s="1"/>
  <c r="AE4" i="1" s="1"/>
  <c r="W5" i="1"/>
  <c r="X5" i="1" s="1"/>
  <c r="Y5" i="1" s="1"/>
  <c r="Z5" i="1" s="1"/>
  <c r="AB5" i="1"/>
  <c r="AC5" i="1" s="1"/>
  <c r="AD5" i="1" s="1"/>
  <c r="AE5" i="1" s="1"/>
  <c r="W6" i="1"/>
  <c r="X6" i="1" s="1"/>
  <c r="Y6" i="1" s="1"/>
  <c r="Z6" i="1" s="1"/>
  <c r="AB6" i="1"/>
  <c r="AC6" i="1" s="1"/>
  <c r="AD6" i="1" s="1"/>
  <c r="AE6" i="1" s="1"/>
  <c r="W7" i="1"/>
  <c r="X7" i="1" s="1"/>
  <c r="Y7" i="1" s="1"/>
  <c r="Z7" i="1" s="1"/>
  <c r="AB7" i="1"/>
  <c r="AC7" i="1" s="1"/>
  <c r="AD7" i="1" s="1"/>
  <c r="AE7" i="1" s="1"/>
  <c r="W8" i="1"/>
  <c r="X8" i="1" s="1"/>
  <c r="Y8" i="1" s="1"/>
  <c r="Z8" i="1" s="1"/>
  <c r="AB8" i="1"/>
  <c r="AC8" i="1" s="1"/>
  <c r="AD8" i="1" s="1"/>
  <c r="AE8" i="1" s="1"/>
  <c r="W9" i="1"/>
  <c r="X9" i="1" s="1"/>
  <c r="Y9" i="1" s="1"/>
  <c r="Z9" i="1" s="1"/>
  <c r="AB9" i="1"/>
  <c r="AC9" i="1" s="1"/>
  <c r="AD9" i="1" s="1"/>
  <c r="AE9" i="1" s="1"/>
  <c r="W10" i="1"/>
  <c r="X10" i="1" s="1"/>
  <c r="Y10" i="1" s="1"/>
  <c r="Z10" i="1" s="1"/>
  <c r="AB10" i="1"/>
  <c r="AC10" i="1" s="1"/>
  <c r="AD10" i="1" s="1"/>
  <c r="AE10" i="1" s="1"/>
  <c r="W11" i="1"/>
  <c r="X11" i="1" s="1"/>
  <c r="Y11" i="1" s="1"/>
  <c r="Z11" i="1" s="1"/>
  <c r="AB11" i="1"/>
  <c r="AC11" i="1" s="1"/>
  <c r="AD11" i="1" s="1"/>
  <c r="AE11" i="1" s="1"/>
  <c r="W12" i="1"/>
  <c r="X12" i="1" s="1"/>
  <c r="Y12" i="1" s="1"/>
  <c r="Z12" i="1" s="1"/>
  <c r="AB12" i="1"/>
  <c r="AC12" i="1" s="1"/>
  <c r="AD12" i="1" s="1"/>
  <c r="AE12" i="1" s="1"/>
  <c r="W13" i="1"/>
  <c r="X13" i="1" s="1"/>
  <c r="Y13" i="1" s="1"/>
  <c r="Z13" i="1" s="1"/>
  <c r="AB13" i="1"/>
  <c r="AC13" i="1" s="1"/>
  <c r="AD13" i="1" s="1"/>
  <c r="AE13" i="1" s="1"/>
  <c r="W14" i="1"/>
  <c r="X14" i="1" s="1"/>
  <c r="Y14" i="1" s="1"/>
  <c r="Z14" i="1" s="1"/>
  <c r="AB14" i="1"/>
  <c r="AC14" i="1" s="1"/>
  <c r="AD14" i="1" s="1"/>
  <c r="AE14" i="1" s="1"/>
  <c r="W15" i="1"/>
  <c r="X15" i="1" s="1"/>
  <c r="Y15" i="1" s="1"/>
  <c r="Z15" i="1" s="1"/>
  <c r="AB15" i="1"/>
  <c r="AC15" i="1" s="1"/>
  <c r="AD15" i="1" s="1"/>
  <c r="AE15" i="1" s="1"/>
  <c r="W16" i="1"/>
  <c r="X16" i="1" s="1"/>
  <c r="Y16" i="1" s="1"/>
  <c r="Z16" i="1" s="1"/>
  <c r="AB16" i="1"/>
  <c r="AC16" i="1" s="1"/>
  <c r="AD16" i="1" s="1"/>
  <c r="AE16" i="1" s="1"/>
  <c r="W17" i="1"/>
  <c r="X17" i="1" s="1"/>
  <c r="Y17" i="1" s="1"/>
  <c r="Z17" i="1" s="1"/>
  <c r="AB17" i="1"/>
  <c r="AC17" i="1" s="1"/>
  <c r="AD17" i="1" s="1"/>
  <c r="AE17" i="1" s="1"/>
  <c r="W18" i="1"/>
  <c r="X18" i="1" s="1"/>
  <c r="Y18" i="1" s="1"/>
  <c r="Z18" i="1" s="1"/>
  <c r="AB18" i="1"/>
  <c r="AC18" i="1" s="1"/>
  <c r="AD18" i="1" s="1"/>
  <c r="AE18" i="1" s="1"/>
  <c r="W19" i="1"/>
  <c r="X19" i="1" s="1"/>
  <c r="Y19" i="1" s="1"/>
  <c r="Z19" i="1" s="1"/>
  <c r="AB19" i="1"/>
  <c r="AC19" i="1" s="1"/>
  <c r="AD19" i="1" s="1"/>
  <c r="AE19" i="1" s="1"/>
  <c r="W20" i="1"/>
  <c r="X20" i="1" s="1"/>
  <c r="Y20" i="1" s="1"/>
  <c r="Z20" i="1" s="1"/>
  <c r="AB20" i="1"/>
  <c r="AC20" i="1" s="1"/>
  <c r="AD20" i="1" s="1"/>
  <c r="AE20" i="1" s="1"/>
  <c r="W21" i="1"/>
  <c r="X21" i="1" s="1"/>
  <c r="Y21" i="1" s="1"/>
  <c r="Z21" i="1" s="1"/>
  <c r="AB21" i="1"/>
  <c r="AC21" i="1" s="1"/>
  <c r="AD21" i="1" s="1"/>
  <c r="AE21" i="1" s="1"/>
  <c r="W22" i="1"/>
  <c r="X22" i="1" s="1"/>
  <c r="Y22" i="1" s="1"/>
  <c r="Z22" i="1" s="1"/>
  <c r="AB22" i="1"/>
  <c r="AC22" i="1" s="1"/>
  <c r="AD22" i="1" s="1"/>
  <c r="AE22" i="1" s="1"/>
  <c r="AU32" i="1"/>
  <c r="B67" i="21" s="1"/>
  <c r="AK32" i="1"/>
  <c r="B65" i="21" s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" i="1"/>
  <c r="R2" i="1" s="1"/>
  <c r="S2" i="1" s="1"/>
  <c r="T2" i="1" s="1"/>
  <c r="D3" i="1"/>
  <c r="E3" i="1" s="1"/>
  <c r="F3" i="1"/>
  <c r="H3" i="1"/>
  <c r="I3" i="1" s="1"/>
  <c r="L3" i="1"/>
  <c r="M3" i="1" s="1"/>
  <c r="D4" i="1"/>
  <c r="E4" i="1" s="1"/>
  <c r="F4" i="1"/>
  <c r="H4" i="1"/>
  <c r="I4" i="1" s="1"/>
  <c r="L4" i="1"/>
  <c r="M4" i="1" s="1"/>
  <c r="D5" i="1"/>
  <c r="E5" i="1" s="1"/>
  <c r="F5" i="1"/>
  <c r="H5" i="1"/>
  <c r="I5" i="1" s="1"/>
  <c r="L5" i="1"/>
  <c r="M5" i="1" s="1"/>
  <c r="D6" i="1"/>
  <c r="E6" i="1" s="1"/>
  <c r="F6" i="1"/>
  <c r="H6" i="1"/>
  <c r="I6" i="1" s="1"/>
  <c r="L6" i="1"/>
  <c r="M6" i="1" s="1"/>
  <c r="D7" i="1"/>
  <c r="E7" i="1" s="1"/>
  <c r="F7" i="1"/>
  <c r="H7" i="1"/>
  <c r="I7" i="1" s="1"/>
  <c r="L7" i="1"/>
  <c r="M7" i="1" s="1"/>
  <c r="D8" i="1"/>
  <c r="E8" i="1" s="1"/>
  <c r="F8" i="1"/>
  <c r="H8" i="1"/>
  <c r="I8" i="1" s="1"/>
  <c r="L8" i="1"/>
  <c r="M8" i="1" s="1"/>
  <c r="D9" i="1"/>
  <c r="E9" i="1" s="1"/>
  <c r="F9" i="1"/>
  <c r="H9" i="1"/>
  <c r="I9" i="1" s="1"/>
  <c r="L9" i="1"/>
  <c r="M9" i="1" s="1"/>
  <c r="D10" i="1"/>
  <c r="E10" i="1" s="1"/>
  <c r="F10" i="1"/>
  <c r="H10" i="1"/>
  <c r="I10" i="1" s="1"/>
  <c r="L10" i="1"/>
  <c r="M10" i="1" s="1"/>
  <c r="D11" i="1"/>
  <c r="E11" i="1" s="1"/>
  <c r="F11" i="1"/>
  <c r="H11" i="1"/>
  <c r="I11" i="1" s="1"/>
  <c r="L11" i="1"/>
  <c r="M11" i="1" s="1"/>
  <c r="D12" i="1"/>
  <c r="F12" i="1"/>
  <c r="H12" i="1"/>
  <c r="I12" i="1" s="1"/>
  <c r="L12" i="1"/>
  <c r="M12" i="1" s="1"/>
  <c r="D13" i="1"/>
  <c r="F13" i="1"/>
  <c r="H13" i="1"/>
  <c r="I13" i="1" s="1"/>
  <c r="L13" i="1"/>
  <c r="M13" i="1" s="1"/>
  <c r="D14" i="1"/>
  <c r="F14" i="1"/>
  <c r="H14" i="1"/>
  <c r="I14" i="1" s="1"/>
  <c r="L14" i="1"/>
  <c r="M14" i="1" s="1"/>
  <c r="D15" i="1"/>
  <c r="F15" i="1"/>
  <c r="H15" i="1"/>
  <c r="I15" i="1" s="1"/>
  <c r="L15" i="1"/>
  <c r="M15" i="1" s="1"/>
  <c r="D16" i="1"/>
  <c r="F16" i="1"/>
  <c r="H16" i="1"/>
  <c r="I16" i="1" s="1"/>
  <c r="L16" i="1"/>
  <c r="M16" i="1" s="1"/>
  <c r="D17" i="1"/>
  <c r="F17" i="1"/>
  <c r="H17" i="1"/>
  <c r="I17" i="1" s="1"/>
  <c r="L17" i="1"/>
  <c r="M17" i="1" s="1"/>
  <c r="D18" i="1"/>
  <c r="F18" i="1"/>
  <c r="H18" i="1"/>
  <c r="I18" i="1" s="1"/>
  <c r="L18" i="1"/>
  <c r="M18" i="1" s="1"/>
  <c r="D19" i="1"/>
  <c r="F19" i="1"/>
  <c r="H19" i="1"/>
  <c r="I19" i="1" s="1"/>
  <c r="L19" i="1"/>
  <c r="M19" i="1" s="1"/>
  <c r="D20" i="1"/>
  <c r="F20" i="1"/>
  <c r="H20" i="1"/>
  <c r="I20" i="1" s="1"/>
  <c r="L20" i="1"/>
  <c r="M20" i="1" s="1"/>
  <c r="D21" i="1"/>
  <c r="F21" i="1"/>
  <c r="H21" i="1"/>
  <c r="I21" i="1" s="1"/>
  <c r="L21" i="1"/>
  <c r="M21" i="1" s="1"/>
  <c r="D22" i="1"/>
  <c r="F22" i="1"/>
  <c r="H22" i="1"/>
  <c r="I22" i="1" s="1"/>
  <c r="L22" i="1"/>
  <c r="M22" i="1" s="1"/>
  <c r="F2" i="1"/>
  <c r="H2" i="1"/>
  <c r="I2" i="1" s="1"/>
  <c r="L2" i="1"/>
  <c r="M2" i="1" s="1"/>
  <c r="J2" i="1" l="1"/>
  <c r="R12" i="1"/>
  <c r="S12" i="1" s="1"/>
  <c r="T12" i="1" s="1"/>
  <c r="N12" i="1"/>
  <c r="O12" i="1" s="1"/>
  <c r="R19" i="1"/>
  <c r="S19" i="1" s="1"/>
  <c r="T19" i="1" s="1"/>
  <c r="R3" i="1"/>
  <c r="S3" i="1" s="1"/>
  <c r="T3" i="1" s="1"/>
  <c r="R22" i="1"/>
  <c r="S22" i="1" s="1"/>
  <c r="T22" i="1" s="1"/>
  <c r="R18" i="1"/>
  <c r="S18" i="1" s="1"/>
  <c r="T18" i="1" s="1"/>
  <c r="R14" i="1"/>
  <c r="S14" i="1" s="1"/>
  <c r="T14" i="1" s="1"/>
  <c r="R10" i="1"/>
  <c r="S10" i="1" s="1"/>
  <c r="T10" i="1" s="1"/>
  <c r="R6" i="1"/>
  <c r="S6" i="1" s="1"/>
  <c r="T6" i="1" s="1"/>
  <c r="R11" i="1"/>
  <c r="S11" i="1" s="1"/>
  <c r="T11" i="1" s="1"/>
  <c r="R21" i="1"/>
  <c r="S21" i="1" s="1"/>
  <c r="T21" i="1" s="1"/>
  <c r="R17" i="1"/>
  <c r="S17" i="1" s="1"/>
  <c r="T17" i="1" s="1"/>
  <c r="R13" i="1"/>
  <c r="S13" i="1" s="1"/>
  <c r="T13" i="1" s="1"/>
  <c r="R9" i="1"/>
  <c r="S9" i="1" s="1"/>
  <c r="T9" i="1" s="1"/>
  <c r="R5" i="1"/>
  <c r="S5" i="1" s="1"/>
  <c r="T5" i="1" s="1"/>
  <c r="R15" i="1"/>
  <c r="S15" i="1" s="1"/>
  <c r="T15" i="1" s="1"/>
  <c r="R7" i="1"/>
  <c r="S7" i="1" s="1"/>
  <c r="T7" i="1" s="1"/>
  <c r="N22" i="1"/>
  <c r="O22" i="1" s="1"/>
  <c r="N21" i="1"/>
  <c r="O21" i="1" s="1"/>
  <c r="N20" i="1"/>
  <c r="O20" i="1" s="1"/>
  <c r="N19" i="1"/>
  <c r="O19" i="1" s="1"/>
  <c r="N18" i="1"/>
  <c r="O18" i="1" s="1"/>
  <c r="N17" i="1"/>
  <c r="O17" i="1" s="1"/>
  <c r="N16" i="1"/>
  <c r="O16" i="1" s="1"/>
  <c r="N15" i="1"/>
  <c r="O15" i="1" s="1"/>
  <c r="N14" i="1"/>
  <c r="O14" i="1" s="1"/>
  <c r="N13" i="1"/>
  <c r="O13" i="1" s="1"/>
  <c r="N11" i="1"/>
  <c r="O11" i="1" s="1"/>
  <c r="N10" i="1"/>
  <c r="O10" i="1" s="1"/>
  <c r="N9" i="1"/>
  <c r="O9" i="1" s="1"/>
  <c r="N8" i="1"/>
  <c r="O8" i="1" s="1"/>
  <c r="N7" i="1"/>
  <c r="O7" i="1" s="1"/>
  <c r="N6" i="1"/>
  <c r="O6" i="1" s="1"/>
  <c r="N5" i="1"/>
  <c r="O5" i="1" s="1"/>
  <c r="N4" i="1"/>
  <c r="O4" i="1" s="1"/>
  <c r="N3" i="1"/>
  <c r="O3" i="1" s="1"/>
  <c r="R20" i="1"/>
  <c r="S20" i="1" s="1"/>
  <c r="T20" i="1" s="1"/>
  <c r="R16" i="1"/>
  <c r="S16" i="1" s="1"/>
  <c r="T16" i="1" s="1"/>
  <c r="R8" i="1"/>
  <c r="S8" i="1" s="1"/>
  <c r="T8" i="1" s="1"/>
  <c r="R4" i="1"/>
  <c r="S4" i="1" s="1"/>
  <c r="T4" i="1" s="1"/>
  <c r="N2" i="1"/>
  <c r="O2" i="1" s="1"/>
  <c r="J20" i="1"/>
  <c r="K20" i="1" s="1"/>
  <c r="J19" i="1"/>
  <c r="K19" i="1" s="1"/>
  <c r="J15" i="1"/>
  <c r="K15" i="1" s="1"/>
  <c r="J12" i="1"/>
  <c r="K12" i="1" s="1"/>
  <c r="J11" i="1"/>
  <c r="K11" i="1" s="1"/>
  <c r="J8" i="1"/>
  <c r="K8" i="1" s="1"/>
  <c r="J7" i="1"/>
  <c r="K7" i="1" s="1"/>
  <c r="J4" i="1"/>
  <c r="K4" i="1" s="1"/>
  <c r="J3" i="1"/>
  <c r="K3" i="1" s="1"/>
  <c r="J16" i="1"/>
  <c r="K16" i="1" s="1"/>
  <c r="K2" i="1"/>
  <c r="J21" i="1"/>
  <c r="K21" i="1" s="1"/>
  <c r="J18" i="1"/>
  <c r="K18" i="1" s="1"/>
  <c r="J14" i="1"/>
  <c r="K14" i="1" s="1"/>
  <c r="J13" i="1"/>
  <c r="K13" i="1" s="1"/>
  <c r="J10" i="1"/>
  <c r="K10" i="1" s="1"/>
  <c r="J9" i="1"/>
  <c r="K9" i="1" s="1"/>
  <c r="J6" i="1"/>
  <c r="K6" i="1" s="1"/>
  <c r="J5" i="1"/>
  <c r="K5" i="1" s="1"/>
  <c r="J22" i="1"/>
  <c r="K22" i="1" s="1"/>
  <c r="J17" i="1"/>
  <c r="K17" i="1" s="1"/>
  <c r="H29" i="1"/>
  <c r="H26" i="1"/>
  <c r="B16" i="21" s="1"/>
  <c r="Q29" i="1"/>
  <c r="B21" i="21" s="1"/>
  <c r="D26" i="1"/>
  <c r="AL32" i="1"/>
  <c r="B41" i="21" s="1"/>
  <c r="AL26" i="1"/>
  <c r="B33" i="21" s="1"/>
  <c r="AV32" i="1"/>
  <c r="AV26" i="1"/>
  <c r="AL29" i="1"/>
  <c r="B25" i="21" s="1"/>
  <c r="BA29" i="1"/>
  <c r="AB29" i="1"/>
  <c r="B23" i="21" s="1"/>
  <c r="AG29" i="1"/>
  <c r="B24" i="21" s="1"/>
  <c r="AV29" i="1"/>
  <c r="AB32" i="1"/>
  <c r="B39" i="21" s="1"/>
  <c r="AB26" i="1"/>
  <c r="B31" i="21" s="1"/>
  <c r="BA32" i="1"/>
  <c r="BA26" i="1"/>
  <c r="AG26" i="1"/>
  <c r="B32" i="21" s="1"/>
  <c r="AG32" i="1"/>
  <c r="B40" i="21" s="1"/>
  <c r="W29" i="1"/>
  <c r="B22" i="21" s="1"/>
  <c r="W32" i="1"/>
  <c r="B38" i="21" s="1"/>
  <c r="W26" i="1"/>
  <c r="B30" i="21" s="1"/>
  <c r="Q32" i="1"/>
  <c r="B37" i="21" s="1"/>
  <c r="Q26" i="1"/>
  <c r="B29" i="21" s="1"/>
  <c r="D32" i="1"/>
  <c r="B11" i="21" s="1"/>
  <c r="D29" i="1"/>
  <c r="B9" i="21" s="1"/>
  <c r="AZ29" i="1"/>
  <c r="B52" i="21" s="1"/>
  <c r="AZ26" i="1"/>
  <c r="B60" i="21" s="1"/>
  <c r="AU26" i="1"/>
  <c r="B59" i="21" s="1"/>
  <c r="AP29" i="1"/>
  <c r="AK26" i="1"/>
  <c r="B57" i="21" s="1"/>
  <c r="AK29" i="1"/>
  <c r="B49" i="21" s="1"/>
  <c r="B47" i="21"/>
  <c r="B48" i="21"/>
  <c r="L29" i="1"/>
  <c r="B18" i="21" s="1"/>
  <c r="H32" i="1"/>
  <c r="B17" i="21" s="1"/>
  <c r="L26" i="1"/>
  <c r="B19" i="21" s="1"/>
  <c r="F32" i="1"/>
  <c r="B14" i="21" s="1"/>
  <c r="F29" i="1"/>
  <c r="B12" i="21" s="1"/>
  <c r="L32" i="1"/>
  <c r="B20" i="21" s="1"/>
  <c r="F26" i="1"/>
  <c r="B13" i="21" s="1"/>
  <c r="B45" i="21"/>
  <c r="B61" i="21"/>
  <c r="B53" i="21"/>
  <c r="AU29" i="1"/>
  <c r="B51" i="21" s="1"/>
  <c r="AP26" i="1"/>
  <c r="B58" i="21" s="1"/>
  <c r="AP32" i="1"/>
  <c r="B66" i="21" s="1"/>
  <c r="B64" i="21"/>
  <c r="B46" i="21"/>
  <c r="AZ32" i="1"/>
  <c r="B68" i="21" s="1"/>
  <c r="B56" i="21"/>
  <c r="B55" i="21"/>
  <c r="B63" i="21"/>
  <c r="B62" i="21"/>
  <c r="B54" i="21"/>
  <c r="B27" i="21" l="1"/>
  <c r="AW21" i="1"/>
  <c r="AX21" i="1" s="1"/>
  <c r="AY21" i="1" s="1"/>
  <c r="AW18" i="1"/>
  <c r="AX18" i="1" s="1"/>
  <c r="AY18" i="1" s="1"/>
  <c r="AW15" i="1"/>
  <c r="AX15" i="1" s="1"/>
  <c r="AY15" i="1" s="1"/>
  <c r="AW20" i="1"/>
  <c r="AX20" i="1" s="1"/>
  <c r="AY20" i="1" s="1"/>
  <c r="AW17" i="1"/>
  <c r="AX17" i="1" s="1"/>
  <c r="AY17" i="1" s="1"/>
  <c r="AW14" i="1"/>
  <c r="AX14" i="1" s="1"/>
  <c r="AY14" i="1" s="1"/>
  <c r="AW19" i="1"/>
  <c r="AX19" i="1" s="1"/>
  <c r="AY19" i="1" s="1"/>
  <c r="AW16" i="1"/>
  <c r="AX16" i="1" s="1"/>
  <c r="AY16" i="1" s="1"/>
  <c r="AW13" i="1"/>
  <c r="AX13" i="1" s="1"/>
  <c r="AY13" i="1" s="1"/>
  <c r="AW22" i="1"/>
  <c r="AX22" i="1" s="1"/>
  <c r="AY22" i="1" s="1"/>
  <c r="B44" i="21"/>
  <c r="BB12" i="1"/>
  <c r="BC12" i="1" s="1"/>
  <c r="BD12" i="1" s="1"/>
  <c r="B35" i="21"/>
  <c r="AW9" i="1"/>
  <c r="AX9" i="1" s="1"/>
  <c r="AY9" i="1" s="1"/>
  <c r="AW6" i="1"/>
  <c r="AX6" i="1" s="1"/>
  <c r="AY6" i="1" s="1"/>
  <c r="AW11" i="1"/>
  <c r="AX11" i="1" s="1"/>
  <c r="AY11" i="1" s="1"/>
  <c r="AW8" i="1"/>
  <c r="AX8" i="1" s="1"/>
  <c r="AY8" i="1" s="1"/>
  <c r="AW3" i="1"/>
  <c r="AX3" i="1" s="1"/>
  <c r="AY3" i="1" s="1"/>
  <c r="AW4" i="1"/>
  <c r="AX4" i="1" s="1"/>
  <c r="AY4" i="1" s="1"/>
  <c r="AW10" i="1"/>
  <c r="AX10" i="1" s="1"/>
  <c r="AY10" i="1" s="1"/>
  <c r="AW5" i="1"/>
  <c r="AX5" i="1" s="1"/>
  <c r="AY5" i="1" s="1"/>
  <c r="AW2" i="1"/>
  <c r="AX2" i="1" s="1"/>
  <c r="AY2" i="1" s="1"/>
  <c r="AW7" i="1"/>
  <c r="AX7" i="1" s="1"/>
  <c r="AY7" i="1" s="1"/>
  <c r="B36" i="21"/>
  <c r="BB9" i="1"/>
  <c r="BC9" i="1" s="1"/>
  <c r="BD9" i="1" s="1"/>
  <c r="BB6" i="1"/>
  <c r="BC6" i="1" s="1"/>
  <c r="BD6" i="1" s="1"/>
  <c r="BB11" i="1"/>
  <c r="BC11" i="1" s="1"/>
  <c r="BD11" i="1" s="1"/>
  <c r="BB8" i="1"/>
  <c r="BC8" i="1" s="1"/>
  <c r="BD8" i="1" s="1"/>
  <c r="BB3" i="1"/>
  <c r="BC3" i="1" s="1"/>
  <c r="BD3" i="1" s="1"/>
  <c r="BB10" i="1"/>
  <c r="BC10" i="1" s="1"/>
  <c r="BD10" i="1" s="1"/>
  <c r="BB5" i="1"/>
  <c r="BC5" i="1" s="1"/>
  <c r="BD5" i="1" s="1"/>
  <c r="BB2" i="1"/>
  <c r="BC2" i="1" s="1"/>
  <c r="BD2" i="1" s="1"/>
  <c r="BB7" i="1"/>
  <c r="BC7" i="1" s="1"/>
  <c r="BD7" i="1" s="1"/>
  <c r="BB4" i="1"/>
  <c r="BC4" i="1" s="1"/>
  <c r="BD4" i="1" s="1"/>
  <c r="B43" i="21"/>
  <c r="AW12" i="1"/>
  <c r="AX12" i="1" s="1"/>
  <c r="AY12" i="1" s="1"/>
  <c r="B50" i="21"/>
  <c r="B26" i="21"/>
  <c r="B28" i="21"/>
  <c r="BB21" i="1"/>
  <c r="BC21" i="1" s="1"/>
  <c r="BD21" i="1" s="1"/>
  <c r="BB18" i="1"/>
  <c r="BC18" i="1" s="1"/>
  <c r="BD18" i="1" s="1"/>
  <c r="BB15" i="1"/>
  <c r="BC15" i="1" s="1"/>
  <c r="BD15" i="1" s="1"/>
  <c r="BB20" i="1"/>
  <c r="BC20" i="1" s="1"/>
  <c r="BD20" i="1" s="1"/>
  <c r="BB17" i="1"/>
  <c r="BC17" i="1" s="1"/>
  <c r="BD17" i="1" s="1"/>
  <c r="BB14" i="1"/>
  <c r="BC14" i="1" s="1"/>
  <c r="BD14" i="1" s="1"/>
  <c r="BB19" i="1"/>
  <c r="BC19" i="1" s="1"/>
  <c r="BD19" i="1" s="1"/>
  <c r="BB16" i="1"/>
  <c r="BC16" i="1" s="1"/>
  <c r="BD16" i="1" s="1"/>
  <c r="BB13" i="1"/>
  <c r="BC13" i="1" s="1"/>
  <c r="BD13" i="1" s="1"/>
  <c r="BB22" i="1"/>
  <c r="BC22" i="1" s="1"/>
  <c r="BD22" i="1" s="1"/>
  <c r="B15" i="21"/>
  <c r="B1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Sclafani</author>
  </authors>
  <commentList>
    <comment ref="F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Matthew Sclafani:</t>
        </r>
        <r>
          <rPr>
            <sz val="9"/>
            <color indexed="81"/>
            <rFont val="Tahoma"/>
            <family val="2"/>
          </rPr>
          <t xml:space="preserve">
V1: always 0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al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2" xr16:uid="{00000000-0015-0000-FFFF-FFFF01000000}" name="cal_rsp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" xr16:uid="{00000000-0015-0000-FFFF-FFFF02000000}" name="cal_rsp1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" xr16:uid="{00000000-0015-0000-FFFF-FFFF03000000}" name="cal_rsp10" type="6" refreshedVersion="6" background="1" saveData="1">
    <textPr prompt="0" codePage="936" sourceFile="C:\Potentiostat\SquidstatCalibrator\bin\Debug\ch4\cal_rsp.csv" comma="1">
      <textFields>
        <textField/>
      </textFields>
    </textPr>
  </connection>
  <connection id="5" xr16:uid="{00000000-0015-0000-FFFF-FFFF04000000}" name="cal_rsp11" type="6" refreshedVersion="6" background="1" saveData="1">
    <textPr prompt="0" codePage="936" sourceFile="C:\Potentiostat\SquidstatCalibrator\bin\Debug\ss_1031_v1\ch4\cal_rsp.csv" comma="1">
      <textFields>
        <textField/>
      </textFields>
    </textPr>
  </connection>
  <connection id="6" xr16:uid="{00000000-0015-0000-FFFF-FFFF05000000}" name="cal_rsp1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7" xr16:uid="{00000000-0015-0000-FFFF-FFFF06000000}" name="cal_rsp13" type="6" refreshedVersion="6" background="1" saveData="1">
    <textPr prompt="0" codePage="936" sourceFile="C:\Potentiostat\SquidstatCalibrator\bin\Debug\ss_1031_v1\ch4\cal_rsp.csv" comma="1">
      <textFields>
        <textField/>
      </textFields>
    </textPr>
  </connection>
  <connection id="8" xr16:uid="{00000000-0015-0000-FFFF-FFFF07000000}" name="cal_rsp1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9" xr16:uid="{00000000-0015-0000-FFFF-FFFF08000000}" name="cal_rsp1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0" xr16:uid="{00000000-0015-0000-FFFF-FFFF09000000}" name="cal_rsp1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1" xr16:uid="{00000000-0015-0000-FFFF-FFFF0A000000}" name="cal_rsp1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2" xr16:uid="{00000000-0015-0000-FFFF-FFFF0B000000}" name="cal_rsp1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3" xr16:uid="{00000000-0015-0000-FFFF-FFFF0C000000}" name="cal_rsp19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4" xr16:uid="{00000000-0015-0000-FFFF-FFFF0D000000}" name="cal_rsp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5" xr16:uid="{00000000-0015-0000-FFFF-FFFF0E000000}" name="cal_rsp20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6" xr16:uid="{00000000-0015-0000-FFFF-FFFF0F000000}" name="cal_rsp21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7" xr16:uid="{9D9D0163-383B-4355-BDF8-49E0B12EAC53}" name="cal_rsp2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8" xr16:uid="{DD5989EC-45EC-4AAD-BC66-5100EE6FCC37}" name="cal_rsp23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9" xr16:uid="{DE49B28C-A060-42CB-B3BD-9E81C0F32871}" name="cal_rsp2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0" xr16:uid="{5FD82A1B-15FD-4C10-B27C-FD8531D5BD43}" name="cal_rsp2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1" xr16:uid="{00000000-0015-0000-FFFF-FFFF10000000}" name="cal_rsp3" type="6" refreshedVersion="6" background="1" saveData="1">
    <textPr prompt="0" codePage="936" sourceFile="C:\Potentiostat\SquidstatCalibrator\bin\Debug\ch1\cal_rsp.csv" comma="1">
      <textFields>
        <textField/>
      </textFields>
    </textPr>
  </connection>
  <connection id="22" xr16:uid="{00000000-0015-0000-FFFF-FFFF11000000}" name="cal_rsp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3" xr16:uid="{00000000-0015-0000-FFFF-FFFF12000000}" name="cal_rsp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4" xr16:uid="{00000000-0015-0000-FFFF-FFFF13000000}" name="cal_rsp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5" xr16:uid="{00000000-0015-0000-FFFF-FFFF14000000}" name="cal_rsp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6" xr16:uid="{00000000-0015-0000-FFFF-FFFF15000000}" name="cal_rsp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7" xr16:uid="{00000000-0015-0000-FFFF-FFFF16000000}" name="cal_rsp9" type="6" refreshedVersion="6" background="1" saveData="1">
    <textPr prompt="0" codePage="936" sourceFile="C:\Potentiostat\SquidstatCalibrator\bin\Debug\ch1\cal_rsp.csv" comma="1">
      <textFields>
        <textField/>
      </textFields>
    </textPr>
  </connection>
  <connection id="28" xr16:uid="{00000000-0015-0000-FFFF-FFFF17000000}" name="cal1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29" xr16:uid="{00000000-0015-0000-FFFF-FFFF18000000}" name="cal2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30" xr16:uid="{00000000-0015-0000-FFFF-FFFF19000000}" keepAlive="1" name="Query - r0" description="Connection to the 'r0' query in the workbook." type="5" refreshedVersion="6" background="1">
    <dbPr connection="Provider=Microsoft.Mashup.OleDb.1;Data Source=$Workbook$;Location=r0;Extended Properties=&quot;&quot;" command="SELECT * FROM [r0]"/>
  </connection>
  <connection id="31" xr16:uid="{00000000-0015-0000-FFFF-FFFF1A000000}" name="r0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32" xr16:uid="{00000000-0015-0000-FFFF-FFFF1B000000}" name="r0_agilent" type="6" refreshedVersion="6" background="1" saveData="1">
    <textPr prompt="0" codePage="936" sourceFile="C:\Users\mattc\GoogleDrive_ASU\SquidstatCalibrator\SquidstatCalibrator\bin\Debug\r0_agilent.csv" comma="1">
      <textFields>
        <textField/>
      </textFields>
    </textPr>
  </connection>
  <connection id="33" xr16:uid="{00000000-0015-0000-FFFF-FFFF1C000000}" name="r01" type="6" refreshedVersion="6" background="1" saveData="1">
    <textPr prompt="0" codePage="936" sourceFile="C:\Users\mattc\GoogleDrive_ASU\SimpleSerial (1)\SimpleSerial\bin\Debug\r0.csv" comma="1">
      <textFields>
        <textField/>
      </textFields>
    </textPr>
  </connection>
  <connection id="34" xr16:uid="{00000000-0015-0000-FFFF-FFFF1D000000}" name="r01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5" xr16:uid="{00000000-0015-0000-FFFF-FFFF1E000000}" name="r01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6" xr16:uid="{00000000-0015-0000-FFFF-FFFF1F000000}" name="r01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7" xr16:uid="{00000000-0015-0000-FFFF-FFFF20000000}" name="r01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8" xr16:uid="{00000000-0015-0000-FFFF-FFFF21000000}" name="r01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9" xr16:uid="{00000000-0015-0000-FFFF-FFFF22000000}" name="r01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0" xr16:uid="{00000000-0015-0000-FFFF-FFFF23000000}" name="r01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1" xr16:uid="{00000000-0015-0000-FFFF-FFFF24000000}" name="r01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2" xr16:uid="{00000000-0015-0000-FFFF-FFFF25000000}" name="r01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3" xr16:uid="{00000000-0015-0000-FFFF-FFFF26000000}" name="r019" type="6" refreshedVersion="6" background="1" saveData="1">
    <textPr prompt="0" codePage="936" sourceFile="C:\Users\Matt\Dropbox\MFC Systems files\Calibration files\Prime1029\ch0\r0.csv" comma="1">
      <textFields>
        <textField/>
      </textFields>
    </textPr>
  </connection>
  <connection id="44" xr16:uid="{00000000-0015-0000-FFFF-FFFF27000000}" name="r02" type="6" refreshedVersion="6" background="1" saveData="1">
    <textPr prompt="0" codePage="936" sourceFile="C:\Users\mattc\GoogleDrive_ASU\SimpleSerial (1)\SimpleSerial\bin\Debug\r0.csv" comma="1">
      <textFields>
        <textField/>
      </textFields>
    </textPr>
  </connection>
  <connection id="45" xr16:uid="{00000000-0015-0000-FFFF-FFFF28000000}" name="r020" type="6" refreshedVersion="6" background="1" saveData="1">
    <textPr prompt="0" codePage="936" sourceFile="C:\Users\Matt\Dropbox\MFC Systems files\Calibration files\Prime1029\ch1\r0.csv" comma="1">
      <textFields>
        <textField/>
      </textFields>
    </textPr>
  </connection>
  <connection id="46" xr16:uid="{00000000-0015-0000-FFFF-FFFF29000000}" name="r021" type="6" refreshedVersion="6" background="1" saveData="1">
    <textPr prompt="0" codePage="936" sourceFile="C:\Users\Matt\Dropbox\MFC Systems files\Calibration files\Prime1029\ch0\r0.csv" comma="1">
      <textFields>
        <textField/>
      </textFields>
    </textPr>
  </connection>
  <connection id="47" xr16:uid="{00000000-0015-0000-FFFF-FFFF2A000000}" name="r022" type="6" refreshedVersion="6" background="1" saveData="1">
    <textPr prompt="0" codePage="936" sourceFile="C:\Users\Matt\Dropbox\MFC Systems files\Calibration files\Prime1029\ch2\r0.csv" comma="1">
      <textFields>
        <textField/>
      </textFields>
    </textPr>
  </connection>
  <connection id="48" xr16:uid="{00000000-0015-0000-FFFF-FFFF2B000000}" name="r023" type="6" refreshedVersion="6" background="1" saveData="1">
    <textPr prompt="0" codePage="936" sourceFile="C:\Users\Matt\Dropbox\MFC Systems files\Calibration files\Prime1029\ch3\r0.csv" comma="1">
      <textFields>
        <textField/>
      </textFields>
    </textPr>
  </connection>
  <connection id="49" xr16:uid="{00000000-0015-0000-FFFF-FFFF2C000000}" name="r02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0" xr16:uid="{00000000-0015-0000-FFFF-FFFF2D000000}" name="r02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1" xr16:uid="{00000000-0015-0000-FFFF-FFFF2E000000}" name="r02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2" xr16:uid="{00000000-0015-0000-FFFF-FFFF2F000000}" name="r02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3" xr16:uid="{00000000-0015-0000-FFFF-FFFF30000000}" name="r02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4" xr16:uid="{00000000-0015-0000-FFFF-FFFF31000000}" name="r029" type="6" refreshedVersion="6" background="1" saveData="1">
    <textPr prompt="0" codePage="936" sourceFile="C:\Potentiostat\SquidstatCalibrator\bin\Debug\ch1\r0.csv" comma="1">
      <textFields>
        <textField/>
      </textFields>
    </textPr>
  </connection>
  <connection id="55" xr16:uid="{00000000-0015-0000-FFFF-FFFF32000000}" name="r03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56" xr16:uid="{00000000-0015-0000-FFFF-FFFF33000000}" name="r03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7" xr16:uid="{00000000-0015-0000-FFFF-FFFF34000000}" name="r03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8" xr16:uid="{00000000-0015-0000-FFFF-FFFF35000000}" name="r03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9" xr16:uid="{00000000-0015-0000-FFFF-FFFF36000000}" name="r03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0" xr16:uid="{00000000-0015-0000-FFFF-FFFF37000000}" name="r03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1" xr16:uid="{00000000-0015-0000-FFFF-FFFF38000000}" name="r035" type="6" refreshedVersion="6" background="1" saveData="1">
    <textPr prompt="0" codePage="936" sourceFile="C:\Potentiostat\SquidstatCalibrator\bin\Debug\ch1\r0.csv" comma="1">
      <textFields>
        <textField/>
      </textFields>
    </textPr>
  </connection>
  <connection id="62" xr16:uid="{00000000-0015-0000-FFFF-FFFF39000000}" name="r03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3" xr16:uid="{00000000-0015-0000-FFFF-FFFF3A000000}" name="r03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4" xr16:uid="{00000000-0015-0000-FFFF-FFFF3B000000}" name="r03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5" xr16:uid="{00000000-0015-0000-FFFF-FFFF3C000000}" name="r03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6" xr16:uid="{00000000-0015-0000-FFFF-FFFF3D000000}" name="r04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67" xr16:uid="{00000000-0015-0000-FFFF-FFFF3E000000}" name="r04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8" xr16:uid="{00000000-0015-0000-FFFF-FFFF3F000000}" name="r04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9" xr16:uid="{00000000-0015-0000-FFFF-FFFF40000000}" name="r04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0" xr16:uid="{00000000-0015-0000-FFFF-FFFF41000000}" name="r04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1" xr16:uid="{00000000-0015-0000-FFFF-FFFF42000000}" name="r04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2" xr16:uid="{00000000-0015-0000-FFFF-FFFF43000000}" name="r04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3" xr16:uid="{00000000-0015-0000-FFFF-FFFF44000000}" name="r04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4" xr16:uid="{00000000-0015-0000-FFFF-FFFF45000000}" name="r04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5" xr16:uid="{00000000-0015-0000-FFFF-FFFF46000000}" name="r04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6" xr16:uid="{00000000-0015-0000-FFFF-FFFF47000000}" name="r04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7" xr16:uid="{00000000-0015-0000-FFFF-FFFF48000000}" name="r05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78" xr16:uid="{00000000-0015-0000-FFFF-FFFF49000000}" name="r05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9" xr16:uid="{00000000-0015-0000-FFFF-FFFF4A000000}" name="r05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0" xr16:uid="{00000000-0015-0000-FFFF-FFFF4B000000}" name="r052" type="6" refreshedVersion="6" background="1" saveData="1">
    <textPr prompt="0" codePage="936" sourceFile="C:\Potentiostat\SquidstatCalibrator\bin\Debug\ss_1031_v1\ch4\r0.csv" comma="1">
      <textFields>
        <textField/>
      </textFields>
    </textPr>
  </connection>
  <connection id="81" xr16:uid="{00000000-0015-0000-FFFF-FFFF4C000000}" name="r053" type="6" refreshedVersion="6" background="1" saveData="1">
    <textPr prompt="0" codePage="936" sourceFile="C:\Potentiostat\SquidstatCalibrator\bin\Debug\ss_1031_v1\ch4\r0.csv" comma="1">
      <textFields>
        <textField/>
      </textFields>
    </textPr>
  </connection>
  <connection id="82" xr16:uid="{00000000-0015-0000-FFFF-FFFF4D000000}" name="r05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3" xr16:uid="{00000000-0015-0000-FFFF-FFFF4E000000}" name="r05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4" xr16:uid="{00000000-0015-0000-FFFF-FFFF4F000000}" name="r05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5" xr16:uid="{00000000-0015-0000-FFFF-FFFF50000000}" name="r05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6" xr16:uid="{00000000-0015-0000-FFFF-FFFF51000000}" name="r05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7" xr16:uid="{00000000-0015-0000-FFFF-FFFF52000000}" name="r05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8" xr16:uid="{00000000-0015-0000-FFFF-FFFF53000000}" name="r06" type="6" refreshedVersion="6" background="1" saveData="1">
    <textPr prompt="0" codePage="936" sourceFile="C:\Users\Matt\Dropbox (Admiral Instruments)\Admiral Instruments Dropbox\software\SquidstatCalibrator\bin\Debug\r0.csv" comma="1">
      <textFields>
        <textField/>
      </textFields>
    </textPr>
  </connection>
  <connection id="89" xr16:uid="{00000000-0015-0000-FFFF-FFFF54000000}" name="r06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0" xr16:uid="{00000000-0015-0000-FFFF-FFFF55000000}" name="r06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1" xr16:uid="{00000000-0015-0000-FFFF-FFFF56000000}" name="r06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2" xr16:uid="{00000000-0015-0000-FFFF-FFFF57000000}" name="r06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3" xr16:uid="{00000000-0015-0000-FFFF-FFFF58000000}" name="r06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4" xr16:uid="{00000000-0015-0000-FFFF-FFFF59000000}" name="r06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5" xr16:uid="{00000000-0015-0000-FFFF-FFFF5A000000}" name="r06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6" xr16:uid="{00000000-0015-0000-FFFF-FFFF5B000000}" name="r06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7" xr16:uid="{00000000-0015-0000-FFFF-FFFF5C000000}" name="r06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8" xr16:uid="{00000000-0015-0000-FFFF-FFFF5D000000}" name="r06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9" xr16:uid="{00000000-0015-0000-FFFF-FFFF5E000000}" name="r0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0" xr16:uid="{00000000-0015-0000-FFFF-FFFF5F000000}" name="r07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1" xr16:uid="{00000000-0015-0000-FFFF-FFFF60000000}" name="r07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2" xr16:uid="{00000000-0015-0000-FFFF-FFFF61000000}" name="r07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3" xr16:uid="{00000000-0015-0000-FFFF-FFFF62000000}" name="r07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4" xr16:uid="{00000000-0015-0000-FFFF-FFFF63000000}" name="r07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5" xr16:uid="{00000000-0015-0000-FFFF-FFFF64000000}" name="r07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6" xr16:uid="{306FE812-8043-4627-8341-1D5100DFFA9C}" name="r07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7" xr16:uid="{DDA54AA7-54BF-4208-BE14-FB05DB71CC8A}" name="r07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8" xr16:uid="{2CB48E8F-AB2B-44A8-9C64-C2E8323214AB}" name="r07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9" xr16:uid="{709DCF3E-8F80-47CF-BD42-8394B6A6D114}" name="r07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10" xr16:uid="{00000000-0015-0000-FFFF-FFFF65000000}" name="r0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11" xr16:uid="{00000000-0015-0000-FFFF-FFFF66000000}" name="r0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12" xr16:uid="{00000000-0015-0000-FFFF-FFFF67000000}" name="r1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113" xr16:uid="{00000000-0015-0000-FFFF-FFFF68000000}" name="r1_good" type="6" refreshedVersion="6" background="1" saveData="1">
    <textPr prompt="0" codePage="936" sourceFile="C:\Potentiostat\SquidstatCalibrator\bin\Debug\r1_good.csv" comma="1">
      <textFields>
        <textField/>
      </textFields>
    </textPr>
  </connection>
  <connection id="114" xr16:uid="{00000000-0015-0000-FFFF-FFFF69000000}" name="r11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115" xr16:uid="{00000000-0015-0000-FFFF-FFFF6A000000}" name="r11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16" xr16:uid="{00000000-0015-0000-FFFF-FFFF6B000000}" name="r11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17" xr16:uid="{00000000-0015-0000-FFFF-FFFF6C000000}" name="r112" type="6" refreshedVersion="6" background="1" saveData="1">
    <textPr prompt="0" codePage="936" sourceFile="C:\Users\Matt\Dropbox\MFC Systems files\Calibration files\Prime1029\ch0\r1.csv" comma="1">
      <textFields>
        <textField/>
      </textFields>
    </textPr>
  </connection>
  <connection id="118" xr16:uid="{00000000-0015-0000-FFFF-FFFF6D000000}" name="r113" type="6" refreshedVersion="6" background="1" saveData="1">
    <textPr prompt="0" codePage="936" sourceFile="C:\Users\Matt\Dropbox\MFC Systems files\Calibration files\Prime1029\ch1\r1.csv" comma="1">
      <textFields>
        <textField/>
      </textFields>
    </textPr>
  </connection>
  <connection id="119" xr16:uid="{00000000-0015-0000-FFFF-FFFF6E000000}" name="r114" type="6" refreshedVersion="6" background="1" saveData="1">
    <textPr prompt="0" codePage="936" sourceFile="C:\Users\Matt\Dropbox\MFC Systems files\Calibration files\Prime1029\ch0\r1.csv" comma="1">
      <textFields>
        <textField/>
      </textFields>
    </textPr>
  </connection>
  <connection id="120" xr16:uid="{00000000-0015-0000-FFFF-FFFF6F000000}" name="r115" type="6" refreshedVersion="6" background="1" saveData="1">
    <textPr prompt="0" codePage="936" sourceFile="C:\Users\Matt\Dropbox\MFC Systems files\Calibration files\Prime1029\ch2\r1.csv" comma="1">
      <textFields>
        <textField/>
      </textFields>
    </textPr>
  </connection>
  <connection id="121" xr16:uid="{00000000-0015-0000-FFFF-FFFF70000000}" name="r116" type="6" refreshedVersion="6" background="1" saveData="1">
    <textPr prompt="0" codePage="936" sourceFile="C:\Users\Matt\Dropbox\MFC Systems files\Calibration files\Prime1029\ch3\r1.csv" comma="1">
      <textFields>
        <textField/>
      </textFields>
    </textPr>
  </connection>
  <connection id="122" xr16:uid="{00000000-0015-0000-FFFF-FFFF71000000}" name="r11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3" xr16:uid="{00000000-0015-0000-FFFF-FFFF72000000}" name="r11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4" xr16:uid="{00000000-0015-0000-FFFF-FFFF73000000}" name="r11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5" xr16:uid="{00000000-0015-0000-FFFF-FFFF74000000}" name="r12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126" xr16:uid="{00000000-0015-0000-FFFF-FFFF75000000}" name="r120" type="6" refreshedVersion="6" background="1" saveData="1">
    <textPr prompt="0" codePage="936" sourceFile="C:\Potentiostat\SquidstatCalibrator\bin\Debug\ch1\r1.csv" comma="1">
      <textFields>
        <textField/>
      </textFields>
    </textPr>
  </connection>
  <connection id="127" xr16:uid="{00000000-0015-0000-FFFF-FFFF76000000}" name="r12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8" xr16:uid="{00000000-0015-0000-FFFF-FFFF77000000}" name="r12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9" xr16:uid="{00000000-0015-0000-FFFF-FFFF78000000}" name="r12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30" xr16:uid="{00000000-0015-0000-FFFF-FFFF79000000}" name="r12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31" xr16:uid="{00000000-0015-0000-FFFF-FFFF7A000000}" name="r12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32" xr16:uid="{00000000-0015-0000-FFFF-FFFF7B000000}" name="r12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33" xr16:uid="{00000000-0015-0000-FFFF-FFFF7C000000}" name="r127" type="6" refreshedVersion="6" background="1" saveData="1">
    <textPr prompt="0" codePage="936" sourceFile="C:\Potentiostat\SquidstatCalibrator\bin\Debug\ss_1031_v1\ch4\r1.csv" comma="1">
      <textFields>
        <textField/>
      </textFields>
    </textPr>
  </connection>
  <connection id="134" xr16:uid="{00000000-0015-0000-FFFF-FFFF7D000000}" name="r128" type="6" refreshedVersion="6" background="1" saveData="1">
    <textPr prompt="0" codePage="936" sourceFile="C:\Potentiostat\SquidstatCalibrator\bin\Debug\ss_1031_v1\ch4\r1.csv" comma="1">
      <textFields>
        <textField/>
      </textFields>
    </textPr>
  </connection>
  <connection id="135" xr16:uid="{00000000-0015-0000-FFFF-FFFF7E000000}" name="r12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36" xr16:uid="{00000000-0015-0000-FFFF-FFFF7F000000}" name="r13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137" xr16:uid="{00000000-0015-0000-FFFF-FFFF80000000}" name="r13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38" xr16:uid="{00000000-0015-0000-FFFF-FFFF81000000}" name="r13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39" xr16:uid="{00000000-0015-0000-FFFF-FFFF82000000}" name="r13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40" xr16:uid="{00000000-0015-0000-FFFF-FFFF83000000}" name="r13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41" xr16:uid="{00000000-0015-0000-FFFF-FFFF84000000}" name="r13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42" xr16:uid="{00000000-0015-0000-FFFF-FFFF85000000}" name="r13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43" xr16:uid="{00000000-0015-0000-FFFF-FFFF86000000}" name="r13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44" xr16:uid="{00000000-0015-0000-FFFF-FFFF87000000}" name="r13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45" xr16:uid="{00000000-0015-0000-FFFF-FFFF88000000}" name="r13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46" xr16:uid="{00000000-0015-0000-FFFF-FFFF89000000}" name="r13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47" xr16:uid="{00000000-0015-0000-FFFF-FFFF8A000000}" name="r14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148" xr16:uid="{00000000-0015-0000-FFFF-FFFF8B000000}" name="r14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49" xr16:uid="{00000000-0015-0000-FFFF-FFFF8C000000}" name="r14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50" xr16:uid="{00000000-0015-0000-FFFF-FFFF8D000000}" name="r14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51" xr16:uid="{00000000-0015-0000-FFFF-FFFF8E000000}" name="r14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52" xr16:uid="{00000000-0015-0000-FFFF-FFFF8F000000}" name="r14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53" xr16:uid="{00000000-0015-0000-FFFF-FFFF90000000}" name="r14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54" xr16:uid="{00000000-0015-0000-FFFF-FFFF91000000}" name="r14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55" xr16:uid="{00000000-0015-0000-FFFF-FFFF92000000}" name="r14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56" xr16:uid="{46B445AB-2948-4420-90A9-A92B97715E1E}" name="r14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57" xr16:uid="{B46F9C7C-A0AA-45FF-BEE9-D91B0F6A1954}" name="r14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58" xr16:uid="{00000000-0015-0000-FFFF-FFFF93000000}" name="r1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59" xr16:uid="{4F359B25-A509-45FA-B708-19C3F547168B}" name="r15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60" xr16:uid="{9871E18F-615D-43E5-B3B3-2C7583E61AB0}" name="r15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61" xr16:uid="{00000000-0015-0000-FFFF-FFFF94000000}" name="r1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62" xr16:uid="{00000000-0015-0000-FFFF-FFFF95000000}" name="r1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63" xr16:uid="{00000000-0015-0000-FFFF-FFFF96000000}" name="r1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64" xr16:uid="{00000000-0015-0000-FFFF-FFFF97000000}" name="r1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65" xr16:uid="{00000000-0015-0000-FFFF-FFFF98000000}" name="r2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166" xr16:uid="{00000000-0015-0000-FFFF-FFFF99000000}" name="r2_keithley" type="6" refreshedVersion="6" background="1" saveData="1">
    <textPr prompt="0" codePage="936" sourceFile="C:\Users\mattc\GoogleDrive_ASU\SquidstatCalibrator\SquidstatCalibrator\bin\Debug\r2_keithley.csv" comma="1">
      <textFields>
        <textField/>
      </textFields>
    </textPr>
  </connection>
  <connection id="167" xr16:uid="{00000000-0015-0000-FFFF-FFFF9A000000}" name="r2_keithley1" type="6" refreshedVersion="6" background="1" saveData="1">
    <textPr prompt="0" codePage="936" sourceFile="C:\Users\mattc\GoogleDrive_ASU\SquidstatCalibrator\SquidstatCalibrator\bin\Debug\r2_keithley.csv" comma="1">
      <textFields>
        <textField/>
      </textFields>
    </textPr>
  </connection>
  <connection id="168" xr16:uid="{00000000-0015-0000-FFFF-FFFF9B000000}" name="r21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169" xr16:uid="{00000000-0015-0000-FFFF-FFFF9C000000}" name="r21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0" xr16:uid="{00000000-0015-0000-FFFF-FFFF9D000000}" name="r21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1" xr16:uid="{00000000-0015-0000-FFFF-FFFF9E000000}" name="r21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2" xr16:uid="{00000000-0015-0000-FFFF-FFFF9F000000}" name="r21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3" xr16:uid="{00000000-0015-0000-FFFF-FFFFA0000000}" name="r214" type="6" refreshedVersion="6" background="1" saveData="1">
    <textPr prompt="0" codePage="936" sourceFile="C:\Users\Matt\Dropbox\MFC Systems files\Calibration files\Prime1029\ch0\r2.csv" comma="1">
      <textFields>
        <textField/>
      </textFields>
    </textPr>
  </connection>
  <connection id="174" xr16:uid="{00000000-0015-0000-FFFF-FFFFA1000000}" name="r215" type="6" refreshedVersion="6" background="1" saveData="1">
    <textPr prompt="0" codePage="936" sourceFile="C:\Users\Matt\Dropbox\MFC Systems files\Calibration files\Prime1029\ch1\r2.csv" comma="1">
      <textFields>
        <textField/>
      </textFields>
    </textPr>
  </connection>
  <connection id="175" xr16:uid="{00000000-0015-0000-FFFF-FFFFA2000000}" name="r216" type="6" refreshedVersion="6" background="1" saveData="1">
    <textPr prompt="0" codePage="936" sourceFile="C:\Users\Matt\Dropbox\MFC Systems files\Calibration files\Prime1029\ch0\r2.csv" comma="1">
      <textFields>
        <textField/>
      </textFields>
    </textPr>
  </connection>
  <connection id="176" xr16:uid="{00000000-0015-0000-FFFF-FFFFA3000000}" name="r217" type="6" refreshedVersion="6" background="1" saveData="1">
    <textPr prompt="0" codePage="936" sourceFile="C:\Users\Matt\Dropbox\MFC Systems files\Calibration files\Prime1029\ch2\r2.csv" comma="1">
      <textFields>
        <textField/>
      </textFields>
    </textPr>
  </connection>
  <connection id="177" xr16:uid="{00000000-0015-0000-FFFF-FFFFA4000000}" name="r218" type="6" refreshedVersion="6" background="1" saveData="1">
    <textPr prompt="0" codePage="936" sourceFile="C:\Users\Matt\Dropbox\MFC Systems files\Calibration files\Prime1029\ch3\r2.csv" comma="1">
      <textFields>
        <textField/>
      </textFields>
    </textPr>
  </connection>
  <connection id="178" xr16:uid="{00000000-0015-0000-FFFF-FFFFA5000000}" name="r21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9" xr16:uid="{00000000-0015-0000-FFFF-FFFFA6000000}" name="r22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180" xr16:uid="{00000000-0015-0000-FFFF-FFFFA7000000}" name="r22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81" xr16:uid="{00000000-0015-0000-FFFF-FFFFA8000000}" name="r22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82" xr16:uid="{00000000-0015-0000-FFFF-FFFFA9000000}" name="r222" type="6" refreshedVersion="6" background="1" saveData="1">
    <textPr prompt="0" codePage="936" sourceFile="C:\Potentiostat\SquidstatCalibrator\bin\Debug\ch1\r2.csv" comma="1">
      <textFields>
        <textField/>
      </textFields>
    </textPr>
  </connection>
  <connection id="183" xr16:uid="{00000000-0015-0000-FFFF-FFFFAA000000}" name="r22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84" xr16:uid="{00000000-0015-0000-FFFF-FFFFAB000000}" name="r22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85" xr16:uid="{00000000-0015-0000-FFFF-FFFFAC000000}" name="r22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86" xr16:uid="{00000000-0015-0000-FFFF-FFFFAD000000}" name="r22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87" xr16:uid="{00000000-0015-0000-FFFF-FFFFAE000000}" name="r22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88" xr16:uid="{00000000-0015-0000-FFFF-FFFFAF000000}" name="r22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89" xr16:uid="{00000000-0015-0000-FFFF-FFFFB0000000}" name="r22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90" xr16:uid="{00000000-0015-0000-FFFF-FFFFB1000000}" name="r23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191" xr16:uid="{00000000-0015-0000-FFFF-FFFFB2000000}" name="r230" type="6" refreshedVersion="6" background="1" saveData="1">
    <textPr prompt="0" codePage="936" sourceFile="C:\Potentiostat\SquidstatCalibrator\bin\Debug\ss_1031_v1\ch4\r2.csv" comma="1">
      <textFields>
        <textField/>
      </textFields>
    </textPr>
  </connection>
  <connection id="192" xr16:uid="{00000000-0015-0000-FFFF-FFFFB3000000}" name="r231" type="6" refreshedVersion="6" background="1" saveData="1">
    <textPr prompt="0" codePage="936" sourceFile="C:\Potentiostat\SquidstatCalibrator\bin\Debug\ss_1031_v1\ch4\r2.csv" comma="1">
      <textFields>
        <textField/>
      </textFields>
    </textPr>
  </connection>
  <connection id="193" xr16:uid="{00000000-0015-0000-FFFF-FFFFB4000000}" name="r23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94" xr16:uid="{00000000-0015-0000-FFFF-FFFFB5000000}" name="r23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95" xr16:uid="{00000000-0015-0000-FFFF-FFFFB6000000}" name="r23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96" xr16:uid="{00000000-0015-0000-FFFF-FFFFB7000000}" name="r23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97" xr16:uid="{00000000-0015-0000-FFFF-FFFFB8000000}" name="r23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98" xr16:uid="{00000000-0015-0000-FFFF-FFFFB9000000}" name="r23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99" xr16:uid="{00000000-0015-0000-FFFF-FFFFBA000000}" name="r23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00" xr16:uid="{00000000-0015-0000-FFFF-FFFFBB000000}" name="r23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01" xr16:uid="{00000000-0015-0000-FFFF-FFFFBC000000}" name="r2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02" xr16:uid="{00000000-0015-0000-FFFF-FFFFBD000000}" name="r24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03" xr16:uid="{00000000-0015-0000-FFFF-FFFFBE000000}" name="r24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04" xr16:uid="{00000000-0015-0000-FFFF-FFFFBF000000}" name="r24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05" xr16:uid="{00000000-0015-0000-FFFF-FFFFC0000000}" name="r24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06" xr16:uid="{00000000-0015-0000-FFFF-FFFFC1000000}" name="r24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07" xr16:uid="{00000000-0015-0000-FFFF-FFFFC2000000}" name="r24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08" xr16:uid="{00000000-0015-0000-FFFF-FFFFC3000000}" name="r24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09" xr16:uid="{00000000-0015-0000-FFFF-FFFFC4000000}" name="r24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10" xr16:uid="{00000000-0015-0000-FFFF-FFFFC5000000}" name="r24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11" xr16:uid="{00000000-0015-0000-FFFF-FFFFC6000000}" name="r24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12" xr16:uid="{00000000-0015-0000-FFFF-FFFFC7000000}" name="r2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13" xr16:uid="{00000000-0015-0000-FFFF-FFFFC8000000}" name="r25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14" xr16:uid="{4698B9EC-2E62-4F08-9BB5-9FEB4BFC9CBA}" name="r25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15" xr16:uid="{06F4B960-14BA-4F9E-8A7B-F64FB5CE658F}" name="r25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16" xr16:uid="{78495470-5A31-45C9-B179-44BC498CB525}" name="r25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17" xr16:uid="{D232163C-3EC4-4E87-AF9F-93F1ECC839D6}" name="r25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18" xr16:uid="{B306BA5F-9E35-4CFC-A104-B306E2F00F93}" name="r25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19" xr16:uid="{00000000-0015-0000-FFFF-FFFFC9000000}" name="r2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20" xr16:uid="{00000000-0015-0000-FFFF-FFFFCA000000}" name="r2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21" xr16:uid="{00000000-0015-0000-FFFF-FFFFCB000000}" name="r2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22" xr16:uid="{00000000-0015-0000-FFFF-FFFFCC000000}" name="r2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23" xr16:uid="{00000000-0015-0000-FFFF-FFFFCD000000}" name="r3" type="6" refreshedVersion="6" background="1" saveData="1">
    <textPr prompt="0" codePage="936" sourceFile="C:\Users\mattc\GoogleDrive_ASU\SimpleSerial (1)\SimpleSerial\bin\Debug\r3.csv" comma="1">
      <textFields>
        <textField/>
      </textFields>
    </textPr>
  </connection>
  <connection id="224" xr16:uid="{00000000-0015-0000-FFFF-FFFFCE000000}" name="r3_keithley" type="6" refreshedVersion="6" background="1" saveData="1">
    <textPr prompt="0" codePage="936" sourceFile="C:\Users\mattc\GoogleDrive_ASU\SquidstatCalibrator\SquidstatCalibrator\bin\Debug\r3_keithley.csv" comma="1">
      <textFields>
        <textField/>
      </textFields>
    </textPr>
  </connection>
  <connection id="225" xr16:uid="{00000000-0015-0000-FFFF-FFFFCF000000}" name="r31" type="6" refreshedVersion="6" background="1" saveData="1">
    <textPr prompt="0" codePage="936" sourceFile="C:\Users\mattc\GoogleDrive_ASU\SimpleSerial (1)\SimpleSerial\bin\Debug\r3.csv" comma="1">
      <textFields>
        <textField/>
      </textFields>
    </textPr>
  </connection>
  <connection id="226" xr16:uid="{00000000-0015-0000-FFFF-FFFFD0000000}" name="r310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27" xr16:uid="{00000000-0015-0000-FFFF-FFFFD1000000}" name="r31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28" xr16:uid="{00000000-0015-0000-FFFF-FFFFD2000000}" name="r31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29" xr16:uid="{00000000-0015-0000-FFFF-FFFFD3000000}" name="r31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30" xr16:uid="{00000000-0015-0000-FFFF-FFFFD4000000}" name="r31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31" xr16:uid="{00000000-0015-0000-FFFF-FFFFD5000000}" name="r31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32" xr16:uid="{00000000-0015-0000-FFFF-FFFFD6000000}" name="r31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33" xr16:uid="{00000000-0015-0000-FFFF-FFFFD7000000}" name="r317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34" xr16:uid="{00000000-0015-0000-FFFF-FFFFD8000000}" name="r318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35" xr16:uid="{00000000-0015-0000-FFFF-FFFFD9000000}" name="r319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36" xr16:uid="{00000000-0015-0000-FFFF-FFFFDA000000}" name="r3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37" xr16:uid="{00000000-0015-0000-FFFF-FFFFDB000000}" name="r320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38" xr16:uid="{00000000-0015-0000-FFFF-FFFFDC000000}" name="r32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39" xr16:uid="{00000000-0015-0000-FFFF-FFFFDD000000}" name="r32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40" xr16:uid="{00000000-0015-0000-FFFF-FFFFDE000000}" name="r32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41" xr16:uid="{00000000-0015-0000-FFFF-FFFFDF000000}" name="r32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42" xr16:uid="{00000000-0015-0000-FFFF-FFFFE0000000}" name="r32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43" xr16:uid="{00000000-0015-0000-FFFF-FFFFE1000000}" name="r32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44" xr16:uid="{00000000-0015-0000-FFFF-FFFFE2000000}" name="r32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45" xr16:uid="{00000000-0015-0000-FFFF-FFFFE3000000}" name="r32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46" xr16:uid="{00000000-0015-0000-FFFF-FFFFE4000000}" name="r32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47" xr16:uid="{00000000-0015-0000-FFFF-FFFFE5000000}" name="r3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48" xr16:uid="{00000000-0015-0000-FFFF-FFFFE6000000}" name="r33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49" xr16:uid="{00000000-0015-0000-FFFF-FFFFE7000000}" name="r33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50" xr16:uid="{00000000-0015-0000-FFFF-FFFFE8000000}" name="r33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51" xr16:uid="{00000000-0015-0000-FFFF-FFFFE9000000}" name="r33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52" xr16:uid="{00000000-0015-0000-FFFF-FFFFEA000000}" name="r33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53" xr16:uid="{00000000-0015-0000-FFFF-FFFFEB000000}" name="r335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254" xr16:uid="{00000000-0015-0000-FFFF-FFFFEC000000}" name="r336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255" xr16:uid="{00000000-0015-0000-FFFF-FFFFED000000}" name="r337" type="6" refreshedVersion="6" background="1" saveData="1">
    <textPr prompt="0" codePage="936" sourceFile="C:\Users\Matt\Dropbox\MFC Systems files\Calibration files\Prime1029\ch1\r3.csv" comma="1">
      <textFields>
        <textField/>
      </textFields>
    </textPr>
  </connection>
  <connection id="256" xr16:uid="{00000000-0015-0000-FFFF-FFFFEE000000}" name="r338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257" xr16:uid="{00000000-0015-0000-FFFF-FFFFEF000000}" name="r339" type="6" refreshedVersion="6" background="1" saveData="1">
    <textPr prompt="0" codePage="936" sourceFile="C:\Users\Matt\Dropbox\MFC Systems files\Calibration files\Prime1029\ch2\r3.csv" comma="1">
      <textFields>
        <textField/>
      </textFields>
    </textPr>
  </connection>
  <connection id="258" xr16:uid="{00000000-0015-0000-FFFF-FFFFF0000000}" name="r3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59" xr16:uid="{00000000-0015-0000-FFFF-FFFFF1000000}" name="r340" type="6" refreshedVersion="6" background="1" saveData="1">
    <textPr prompt="0" codePage="936" sourceFile="C:\Users\Matt\Dropbox\MFC Systems files\Calibration files\Prime1029\ch3\r3.csv" comma="1">
      <textFields>
        <textField/>
      </textFields>
    </textPr>
  </connection>
  <connection id="260" xr16:uid="{00000000-0015-0000-FFFF-FFFFF2000000}" name="r34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61" xr16:uid="{00000000-0015-0000-FFFF-FFFFF3000000}" name="r34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62" xr16:uid="{00000000-0015-0000-FFFF-FFFFF4000000}" name="r34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63" xr16:uid="{00000000-0015-0000-FFFF-FFFFF5000000}" name="r344" type="6" refreshedVersion="6" background="1" saveData="1">
    <textPr prompt="0" codePage="936" sourceFile="C:\Potentiostat\SquidstatCalibrator\bin\Debug\ch1\r3.csv" comma="1">
      <textFields>
        <textField/>
      </textFields>
    </textPr>
  </connection>
  <connection id="264" xr16:uid="{00000000-0015-0000-FFFF-FFFFF6000000}" name="r34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65" xr16:uid="{00000000-0015-0000-FFFF-FFFFF7000000}" name="r34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66" xr16:uid="{00000000-0015-0000-FFFF-FFFFF8000000}" name="r34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67" xr16:uid="{00000000-0015-0000-FFFF-FFFFF9000000}" name="r348" type="6" refreshedVersion="6" background="1" saveData="1">
    <textPr prompt="0" codePage="936" sourceFile="C:\Potentiostat\SquidstatCalibrator\bin\Debug\ss_1031_v1\ch4\r3.csv" comma="1">
      <textFields>
        <textField/>
      </textFields>
    </textPr>
  </connection>
  <connection id="268" xr16:uid="{00000000-0015-0000-FFFF-FFFFFA000000}" name="r349" type="6" refreshedVersion="6" background="1" saveData="1">
    <textPr prompt="0" codePage="936" sourceFile="C:\Potentiostat\SquidstatCalibrator\bin\Debug\ss_1031_v1\ch4\r3.csv" comma="1">
      <textFields>
        <textField/>
      </textFields>
    </textPr>
  </connection>
  <connection id="269" xr16:uid="{00000000-0015-0000-FFFF-FFFFFB000000}" name="r3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70" xr16:uid="{00000000-0015-0000-FFFF-FFFFFC000000}" name="r35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71" xr16:uid="{00000000-0015-0000-FFFF-FFFFFD000000}" name="r35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72" xr16:uid="{00000000-0015-0000-FFFF-FFFFFE000000}" name="r35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73" xr16:uid="{00000000-0015-0000-FFFF-FFFFFF000000}" name="r35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74" xr16:uid="{00000000-0015-0000-FFFF-FFFF00010000}" name="r35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75" xr16:uid="{00000000-0015-0000-FFFF-FFFF01010000}" name="r35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76" xr16:uid="{00000000-0015-0000-FFFF-FFFF02010000}" name="r35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77" xr16:uid="{00000000-0015-0000-FFFF-FFFF03010000}" name="r35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78" xr16:uid="{00000000-0015-0000-FFFF-FFFF04010000}" name="r35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79" xr16:uid="{00000000-0015-0000-FFFF-FFFF05010000}" name="r35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80" xr16:uid="{00000000-0015-0000-FFFF-FFFF06010000}" name="r3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81" xr16:uid="{00000000-0015-0000-FFFF-FFFF07010000}" name="r36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82" xr16:uid="{00000000-0015-0000-FFFF-FFFF08010000}" name="r36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83" xr16:uid="{00000000-0015-0000-FFFF-FFFF09010000}" name="r36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84" xr16:uid="{00000000-0015-0000-FFFF-FFFF0A010000}" name="r36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85" xr16:uid="{00000000-0015-0000-FFFF-FFFF0B010000}" name="r36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86" xr16:uid="{00000000-0015-0000-FFFF-FFFF0C010000}" name="r36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87" xr16:uid="{00000000-0015-0000-FFFF-FFFF0D010000}" name="r36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88" xr16:uid="{00000000-0015-0000-FFFF-FFFF0E010000}" name="r36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89" xr16:uid="{00000000-0015-0000-FFFF-FFFF0F010000}" name="r36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90" xr16:uid="{4CAA5F48-00A3-487C-82D9-FD90FE82A1C0}" name="r36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91" xr16:uid="{00000000-0015-0000-FFFF-FFFF10010000}" name="r37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92" xr16:uid="{83B68570-9208-433D-B25D-FD749B266FF3}" name="r37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93" xr16:uid="{B5B06175-530B-4BEB-8641-D88C0F3E896D}" name="r37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94" xr16:uid="{0815E814-E40B-4067-8F13-1F2BFDBB649E}" name="r37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95" xr16:uid="{00000000-0015-0000-FFFF-FFFF11010000}" name="r38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96" xr16:uid="{00000000-0015-0000-FFFF-FFFF12010000}" name="r39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97" xr16:uid="{00000000-0015-0000-FFFF-FFFF13010000}" name="r39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98" xr16:uid="{D25BD2FD-C42F-4FF7-8295-DA2A2ECA9085}" name="r4" type="6" refreshedVersion="6" background="1" saveData="1">
    <textPr prompt="0" codePage="936" sourceFile="C:\Potentiostat\SquidstatCalibrator\bin\Debug\r4.csv" comma="1">
      <textFields>
        <textField/>
      </textFields>
    </textPr>
  </connection>
  <connection id="299" xr16:uid="{05DCE3E4-2298-4D5D-AD84-00DD73AD2813}" name="r41" type="6" refreshedVersion="6" background="1" saveData="1">
    <textPr prompt="0" codePage="936" sourceFile="C:\Potentiostat\SquidstatCalibrator\bin\Debug\r4.csv" comma="1">
      <textFields>
        <textField/>
      </textFields>
    </textPr>
  </connection>
  <connection id="300" xr16:uid="{00000000-0015-0000-FFFF-FFFF14010000}" name="v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301" xr16:uid="{00000000-0015-0000-FFFF-FFFF15010000}" name="v1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302" xr16:uid="{00000000-0015-0000-FFFF-FFFF16010000}" name="v10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03" xr16:uid="{00000000-0015-0000-FFFF-FFFF17010000}" name="v10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4" xr16:uid="{00000000-0015-0000-FFFF-FFFF18010000}" name="v10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5" xr16:uid="{00000000-0015-0000-FFFF-FFFF19010000}" name="v102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6" xr16:uid="{00000000-0015-0000-FFFF-FFFF1A010000}" name="v10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7" xr16:uid="{00000000-0015-0000-FFFF-FFFF1B010000}" name="v10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8" xr16:uid="{00000000-0015-0000-FFFF-FFFF1C010000}" name="v10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9" xr16:uid="{00000000-0015-0000-FFFF-FFFF1D010000}" name="v10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10" xr16:uid="{00000000-0015-0000-FFFF-FFFF1E010000}" name="v10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11" xr16:uid="{00000000-0015-0000-FFFF-FFFF1F010000}" name="v10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12" xr16:uid="{00000000-0015-0000-FFFF-FFFF20010000}" name="v10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13" xr16:uid="{00000000-0015-0000-FFFF-FFFF21010000}" name="v1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14" xr16:uid="{00000000-0015-0000-FFFF-FFFF22010000}" name="v11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15" xr16:uid="{00000000-0015-0000-FFFF-FFFF23010000}" name="v11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16" xr16:uid="{00000000-0015-0000-FFFF-FFFF24010000}" name="v112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17" xr16:uid="{00000000-0015-0000-FFFF-FFFF25010000}" name="v11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18" xr16:uid="{00000000-0015-0000-FFFF-FFFF26010000}" name="v11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19" xr16:uid="{27D29EB8-A348-4E83-A1DB-FB9375BE7017}" name="v11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0" xr16:uid="{35D02D8C-C8DF-447B-A776-9DB8CE960B91}" name="v11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1" xr16:uid="{EB33E5A2-A5C1-4C85-81B5-C6691D219025}" name="v11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2" xr16:uid="{3C80C045-CED8-4E3F-8B2A-862DCAE0235F}" name="v11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3" xr16:uid="{148D2041-185B-48F3-AFAC-774811C47687}" name="v11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4" xr16:uid="{00000000-0015-0000-FFFF-FFFF27010000}" name="v1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325" xr16:uid="{0856901C-5258-48FC-BC08-02D138F1943E}" name="v12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6" xr16:uid="{C1CEA49E-2DAD-4225-A305-D7514CE1BF5A}" name="v12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7" xr16:uid="{00000000-0015-0000-FFFF-FFFF28010000}" name="v13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28" xr16:uid="{00000000-0015-0000-FFFF-FFFF29010000}" name="v14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29" xr16:uid="{00000000-0015-0000-FFFF-FFFF2A010000}" name="v15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30" xr16:uid="{00000000-0015-0000-FFFF-FFFF2B010000}" name="v16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31" xr16:uid="{00000000-0015-0000-FFFF-FFFF2C010000}" name="v17" type="6" refreshedVersion="6" background="1" saveData="1">
    <textPr prompt="0" codePage="936" sourceFile="C:\Users\Matt\Dropbox (Admiral Instruments)\Admiral Instruments Dropbox\software\SquidstatCalibrator\bin\Debug\v.csv" comma="1">
      <textFields>
        <textField/>
      </textFields>
    </textPr>
  </connection>
  <connection id="332" xr16:uid="{00000000-0015-0000-FFFF-FFFF2D010000}" name="v18" type="6" refreshedVersion="6" background="1" saveData="1">
    <textPr prompt="0" codePage="936" sourceFile="C:\Users\Matt\Dropbox (Admiral Instruments)\Admiral Instruments Dropbox\software\SquidstatCalibrator\bin\Debug\v.csv" comma="1">
      <textFields>
        <textField/>
      </textFields>
    </textPr>
  </connection>
  <connection id="333" xr16:uid="{00000000-0015-0000-FFFF-FFFF2E010000}" name="v1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4" xr16:uid="{00000000-0015-0000-FFFF-FFFF2F010000}" name="v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335" xr16:uid="{00000000-0015-0000-FFFF-FFFF30010000}" name="v2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6" xr16:uid="{00000000-0015-0000-FFFF-FFFF31010000}" name="v2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7" xr16:uid="{00000000-0015-0000-FFFF-FFFF32010000}" name="v2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338" xr16:uid="{00000000-0015-0000-FFFF-FFFF33010000}" name="v2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9" xr16:uid="{00000000-0015-0000-FFFF-FFFF34010000}" name="v2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40" xr16:uid="{00000000-0015-0000-FFFF-FFFF35010000}" name="v2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41" xr16:uid="{00000000-0015-0000-FFFF-FFFF36010000}" name="v2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42" xr16:uid="{00000000-0015-0000-FFFF-FFFF37010000}" name="v2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43" xr16:uid="{00000000-0015-0000-FFFF-FFFF38010000}" name="v2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44" xr16:uid="{00000000-0015-0000-FFFF-FFFF39010000}" name="v2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45" xr16:uid="{00000000-0015-0000-FFFF-FFFF3A010000}" name="v3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46" xr16:uid="{00000000-0015-0000-FFFF-FFFF3B010000}" name="v3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47" xr16:uid="{00000000-0015-0000-FFFF-FFFF3C010000}" name="v3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48" xr16:uid="{00000000-0015-0000-FFFF-FFFF3D010000}" name="v3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49" xr16:uid="{00000000-0015-0000-FFFF-FFFF3E010000}" name="v3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50" xr16:uid="{00000000-0015-0000-FFFF-FFFF3F010000}" name="v3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51" xr16:uid="{00000000-0015-0000-FFFF-FFFF40010000}" name="v3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52" xr16:uid="{00000000-0015-0000-FFFF-FFFF41010000}" name="v3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53" xr16:uid="{00000000-0015-0000-FFFF-FFFF42010000}" name="v3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54" xr16:uid="{00000000-0015-0000-FFFF-FFFF43010000}" name="v3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55" xr16:uid="{00000000-0015-0000-FFFF-FFFF44010000}" name="v3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56" xr16:uid="{00000000-0015-0000-FFFF-FFFF45010000}" name="v4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57" xr16:uid="{00000000-0015-0000-FFFF-FFFF46010000}" name="v4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58" xr16:uid="{00000000-0015-0000-FFFF-FFFF47010000}" name="v4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59" xr16:uid="{00000000-0015-0000-FFFF-FFFF48010000}" name="v4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60" xr16:uid="{00000000-0015-0000-FFFF-FFFF49010000}" name="v4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61" xr16:uid="{00000000-0015-0000-FFFF-FFFF4A010000}" name="v44" type="6" refreshedVersion="6" background="1" saveData="1">
    <textPr prompt="0" codePage="936" sourceFile="C:\Users\Matt\Dropbox\MFC Systems files\Calibration files\Prime1029\ch0\v.csv" comma="1">
      <textFields>
        <textField/>
      </textFields>
    </textPr>
  </connection>
  <connection id="362" xr16:uid="{00000000-0015-0000-FFFF-FFFF4B010000}" name="v45" type="6" refreshedVersion="6" background="1" saveData="1">
    <textPr prompt="0" codePage="936" sourceFile="C:\Users\Matt\Dropbox\MFC Systems files\Calibration files\Prime1029\ch1\v.csv" comma="1">
      <textFields>
        <textField/>
      </textFields>
    </textPr>
  </connection>
  <connection id="363" xr16:uid="{00000000-0015-0000-FFFF-FFFF4C010000}" name="v46" type="6" refreshedVersion="6" background="1" saveData="1">
    <textPr prompt="0" codePage="936" sourceFile="C:\Users\Matt\Dropbox\MFC Systems files\Calibration files\Prime1029\ch0\v.csv" comma="1">
      <textFields>
        <textField/>
      </textFields>
    </textPr>
  </connection>
  <connection id="364" xr16:uid="{00000000-0015-0000-FFFF-FFFF4D010000}" name="v47" type="6" refreshedVersion="6" background="1" saveData="1">
    <textPr prompt="0" codePage="936" sourceFile="C:\Users\Matt\Dropbox\MFC Systems files\Calibration files\Prime1029\ch2\v.csv" comma="1">
      <textFields>
        <textField/>
      </textFields>
    </textPr>
  </connection>
  <connection id="365" xr16:uid="{00000000-0015-0000-FFFF-FFFF4E010000}" name="v48" type="6" refreshedVersion="6" background="1" saveData="1">
    <textPr prompt="0" codePage="936" sourceFile="C:\Users\Matt\Dropbox\MFC Systems files\Calibration files\Prime1029\ch2\v.csv" comma="1">
      <textFields>
        <textField/>
      </textFields>
    </textPr>
  </connection>
  <connection id="366" xr16:uid="{00000000-0015-0000-FFFF-FFFF4F010000}" name="v49" type="6" refreshedVersion="6" background="1" saveData="1">
    <textPr prompt="0" codePage="936" sourceFile="C:\Users\Matt\Dropbox\MFC Systems files\Calibration files\Prime1029\ch3\v.csv" comma="1">
      <textFields>
        <textField/>
      </textFields>
    </textPr>
  </connection>
  <connection id="367" xr16:uid="{00000000-0015-0000-FFFF-FFFF50010000}" name="v5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68" xr16:uid="{00000000-0015-0000-FFFF-FFFF51010000}" name="v50" type="6" refreshedVersion="6" background="1" saveData="1">
    <textPr prompt="0" codePage="936" sourceFile="C:\Users\mattc\Documents\v.csv" comma="1">
      <textFields>
        <textField/>
      </textFields>
    </textPr>
  </connection>
  <connection id="369" xr16:uid="{00000000-0015-0000-FFFF-FFFF52010000}" name="v5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70" xr16:uid="{00000000-0015-0000-FFFF-FFFF53010000}" name="v5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71" xr16:uid="{00000000-0015-0000-FFFF-FFFF54010000}" name="v5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72" xr16:uid="{00000000-0015-0000-FFFF-FFFF55010000}" name="v5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73" xr16:uid="{00000000-0015-0000-FFFF-FFFF56010000}" name="v5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74" xr16:uid="{00000000-0015-0000-FFFF-FFFF57010000}" name="v5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75" xr16:uid="{00000000-0015-0000-FFFF-FFFF58010000}" name="v57" type="6" refreshedVersion="6" background="1" saveData="1">
    <textPr prompt="0" codePage="936" sourceFile="C:\Potentiostat\SquidstatCalibrator\bin\Debug\ch1\v.csv" comma="1">
      <textFields>
        <textField/>
      </textFields>
    </textPr>
  </connection>
  <connection id="376" xr16:uid="{00000000-0015-0000-FFFF-FFFF59010000}" name="v5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77" xr16:uid="{00000000-0015-0000-FFFF-FFFF5A010000}" name="v5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78" xr16:uid="{00000000-0015-0000-FFFF-FFFF5B010000}" name="v6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79" xr16:uid="{00000000-0015-0000-FFFF-FFFF5C010000}" name="v6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80" xr16:uid="{00000000-0015-0000-FFFF-FFFF5D010000}" name="v6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81" xr16:uid="{00000000-0015-0000-FFFF-FFFF5E010000}" name="v6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82" xr16:uid="{00000000-0015-0000-FFFF-FFFF5F010000}" name="v6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83" xr16:uid="{00000000-0015-0000-FFFF-FFFF60010000}" name="v6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84" xr16:uid="{00000000-0015-0000-FFFF-FFFF61010000}" name="v6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85" xr16:uid="{00000000-0015-0000-FFFF-FFFF62010000}" name="v6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86" xr16:uid="{00000000-0015-0000-FFFF-FFFF63010000}" name="v6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87" xr16:uid="{00000000-0015-0000-FFFF-FFFF64010000}" name="v6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88" xr16:uid="{00000000-0015-0000-FFFF-FFFF65010000}" name="v6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89" xr16:uid="{00000000-0015-0000-FFFF-FFFF66010000}" name="v7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90" xr16:uid="{00000000-0015-0000-FFFF-FFFF67010000}" name="v7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91" xr16:uid="{00000000-0015-0000-FFFF-FFFF68010000}" name="v71" type="6" refreshedVersion="6" background="1" saveData="1">
    <textPr prompt="0" codePage="936" sourceFile="C:\Potentiostat\SquidstatCalibrator\bin\Debug\ch1\v.csv" comma="1">
      <textFields>
        <textField/>
      </textFields>
    </textPr>
  </connection>
  <connection id="392" xr16:uid="{00000000-0015-0000-FFFF-FFFF69010000}" name="v72" type="6" refreshedVersion="6" background="1" saveData="1">
    <textPr prompt="0" codePage="936" sourceFile="C:\Potentiostat\SquidstatCalibrator\bin\Debug\ch4\v.csv" comma="1">
      <textFields>
        <textField/>
      </textFields>
    </textPr>
  </connection>
  <connection id="393" xr16:uid="{00000000-0015-0000-FFFF-FFFF6A010000}" name="v73" type="6" refreshedVersion="6" background="1" saveData="1">
    <textPr prompt="0" codePage="936" sourceFile="C:\Potentiostat\SquidstatCalibrator\bin\Debug\ch4\v.csv" comma="1">
      <textFields>
        <textField/>
      </textFields>
    </textPr>
  </connection>
  <connection id="394" xr16:uid="{00000000-0015-0000-FFFF-FFFF6B010000}" name="v7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95" xr16:uid="{00000000-0015-0000-FFFF-FFFF6C010000}" name="v7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96" xr16:uid="{00000000-0015-0000-FFFF-FFFF6D010000}" name="v76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397" xr16:uid="{00000000-0015-0000-FFFF-FFFF6E010000}" name="v77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398" xr16:uid="{00000000-0015-0000-FFFF-FFFF6F010000}" name="v78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399" xr16:uid="{00000000-0015-0000-FFFF-FFFF70010000}" name="v79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400" xr16:uid="{00000000-0015-0000-FFFF-FFFF71010000}" name="v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01" xr16:uid="{00000000-0015-0000-FFFF-FFFF72010000}" name="v8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02" xr16:uid="{00000000-0015-0000-FFFF-FFFF73010000}" name="v8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03" xr16:uid="{00000000-0015-0000-FFFF-FFFF74010000}" name="v82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404" xr16:uid="{00000000-0015-0000-FFFF-FFFF75010000}" name="v8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05" xr16:uid="{00000000-0015-0000-FFFF-FFFF76010000}" name="v84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406" xr16:uid="{00000000-0015-0000-FFFF-FFFF77010000}" name="v85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407" xr16:uid="{00000000-0015-0000-FFFF-FFFF78010000}" name="v8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08" xr16:uid="{00000000-0015-0000-FFFF-FFFF79010000}" name="v8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09" xr16:uid="{00000000-0015-0000-FFFF-FFFF7A010000}" name="v8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10" xr16:uid="{00000000-0015-0000-FFFF-FFFF7B010000}" name="v8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11" xr16:uid="{00000000-0015-0000-FFFF-FFFF7C010000}" name="v9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412" xr16:uid="{00000000-0015-0000-FFFF-FFFF7D010000}" name="v9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13" xr16:uid="{00000000-0015-0000-FFFF-FFFF7E010000}" name="v9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14" xr16:uid="{00000000-0015-0000-FFFF-FFFF7F010000}" name="v92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15" xr16:uid="{00000000-0015-0000-FFFF-FFFF80010000}" name="v9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16" xr16:uid="{00000000-0015-0000-FFFF-FFFF81010000}" name="v9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17" xr16:uid="{00000000-0015-0000-FFFF-FFFF82010000}" name="v9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18" xr16:uid="{00000000-0015-0000-FFFF-FFFF83010000}" name="v9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19" xr16:uid="{00000000-0015-0000-FFFF-FFFF84010000}" name="v9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20" xr16:uid="{00000000-0015-0000-FFFF-FFFF85010000}" name="v9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21" xr16:uid="{00000000-0015-0000-FFFF-FFFF86010000}" name="v9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22" xr16:uid="{00000000-0015-0000-FFFF-FFFF87010000}" name="vA" type="6" refreshedVersion="6" background="1" saveData="1">
    <textPr prompt="0" codePage="936" sourceFile="C:\Potentiostat\SquidstatCalibrator\bin\Debug\vA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<sst xmlns="http://schemas.openxmlformats.org/spreadsheetml/2006/main" count="432" uniqueCount="208">
  <si>
    <t>COM6</t>
  </si>
  <si>
    <t>Meters</t>
  </si>
  <si>
    <t>keithley485</t>
  </si>
  <si>
    <t>hp34401a</t>
  </si>
  <si>
    <t>Squidstat Versions</t>
  </si>
  <si>
    <t>v1</t>
  </si>
  <si>
    <t>v2</t>
  </si>
  <si>
    <t>current</t>
  </si>
  <si>
    <t>voltage</t>
  </si>
  <si>
    <t>Available COM Ports</t>
  </si>
  <si>
    <t>COM4</t>
  </si>
  <si>
    <t>Squidstat</t>
  </si>
  <si>
    <t>Keithley485</t>
  </si>
  <si>
    <t>HP34401A</t>
  </si>
  <si>
    <t>Port</t>
  </si>
  <si>
    <t>Version</t>
  </si>
  <si>
    <t>Current 1</t>
  </si>
  <si>
    <t>Current 2</t>
  </si>
  <si>
    <t>Current 3</t>
  </si>
  <si>
    <t>Current 4</t>
  </si>
  <si>
    <t>Current 5</t>
  </si>
  <si>
    <t>Current 6</t>
  </si>
  <si>
    <t>Current 7</t>
  </si>
  <si>
    <t>#</t>
  </si>
  <si>
    <t>m_DACac</t>
  </si>
  <si>
    <t>m_DACdcP_V</t>
  </si>
  <si>
    <t>m_DACdcN_V</t>
  </si>
  <si>
    <t>b_DACdc_V</t>
  </si>
  <si>
    <t>m_DACdcP_I</t>
  </si>
  <si>
    <t>m_DACdcN_I</t>
  </si>
  <si>
    <t>b_DACdc_I</t>
  </si>
  <si>
    <t>Ref</t>
  </si>
  <si>
    <t>Ewe</t>
  </si>
  <si>
    <t>Ece</t>
  </si>
  <si>
    <t>m_refP</t>
  </si>
  <si>
    <t>m_refN</t>
  </si>
  <si>
    <t>b_ref</t>
  </si>
  <si>
    <t>m_eweP</t>
  </si>
  <si>
    <t>m_eweN</t>
  </si>
  <si>
    <t>b_ewe</t>
  </si>
  <si>
    <t>m_eceP</t>
  </si>
  <si>
    <t>m_eceN</t>
  </si>
  <si>
    <t>b_ece</t>
  </si>
  <si>
    <t>m_iP</t>
  </si>
  <si>
    <t>m_iN</t>
  </si>
  <si>
    <t>b_i</t>
  </si>
  <si>
    <t>Current 0</t>
  </si>
  <si>
    <t>Device</t>
  </si>
  <si>
    <t>ref</t>
  </si>
  <si>
    <t>ewe</t>
  </si>
  <si>
    <t>ece</t>
  </si>
  <si>
    <t>Measured</t>
  </si>
  <si>
    <t>Received</t>
  </si>
  <si>
    <t>Measured 0</t>
  </si>
  <si>
    <t>Measured 1</t>
  </si>
  <si>
    <t>Measured 2</t>
  </si>
  <si>
    <t>Measured 3</t>
  </si>
  <si>
    <t>Measured 4</t>
  </si>
  <si>
    <t>Measured 5</t>
  </si>
  <si>
    <t>Measured 6</t>
  </si>
  <si>
    <t>Measured 7</t>
  </si>
  <si>
    <t>COM3</t>
  </si>
  <si>
    <t>Measured Voltage</t>
  </si>
  <si>
    <t>Measured Current</t>
  </si>
  <si>
    <t>Channel</t>
  </si>
  <si>
    <t>calibrate</t>
  </si>
  <si>
    <t>Range</t>
  </si>
  <si>
    <t>COM1</t>
  </si>
  <si>
    <t>COM2</t>
  </si>
  <si>
    <t>COM5</t>
  </si>
  <si>
    <t>COM7</t>
  </si>
  <si>
    <t>COM8</t>
  </si>
  <si>
    <t>COM9</t>
  </si>
  <si>
    <t>COM10</t>
  </si>
  <si>
    <t>COM11</t>
  </si>
  <si>
    <t>COM12</t>
  </si>
  <si>
    <t>COM13</t>
  </si>
  <si>
    <t>COM14</t>
  </si>
  <si>
    <t>COM15</t>
  </si>
  <si>
    <t>COM16</t>
  </si>
  <si>
    <t>COM17</t>
  </si>
  <si>
    <t>COM18</t>
  </si>
  <si>
    <t>COM19</t>
  </si>
  <si>
    <t>COM20</t>
  </si>
  <si>
    <t>COM21</t>
  </si>
  <si>
    <t>COM22</t>
  </si>
  <si>
    <t>Channel (Binary) 0x0</t>
  </si>
  <si>
    <t>V Setpoint</t>
  </si>
  <si>
    <t>I Setpoint</t>
  </si>
  <si>
    <t>V1 I Setpoint</t>
  </si>
  <si>
    <t>m_iP[1]</t>
  </si>
  <si>
    <t>m_iP[2]</t>
  </si>
  <si>
    <t>m_iP[0]</t>
  </si>
  <si>
    <t>m_iP[3]</t>
  </si>
  <si>
    <t>m_iP[4]</t>
  </si>
  <si>
    <t>m_iP[5]</t>
  </si>
  <si>
    <t>m_iP[6]</t>
  </si>
  <si>
    <t>m_iP[7]</t>
  </si>
  <si>
    <t>m_iN[0]</t>
  </si>
  <si>
    <t>m_iN[1]</t>
  </si>
  <si>
    <t>m_iN[2]</t>
  </si>
  <si>
    <t>m_iN[3]</t>
  </si>
  <si>
    <t>m_iN[4]</t>
  </si>
  <si>
    <t>m_iN[5]</t>
  </si>
  <si>
    <t>m_iN[6]</t>
  </si>
  <si>
    <t>m_iN[7]</t>
  </si>
  <si>
    <t>b_i[0]</t>
  </si>
  <si>
    <t>b_i[1]</t>
  </si>
  <si>
    <t>b_i[2]</t>
  </si>
  <si>
    <t>b_i[3]</t>
  </si>
  <si>
    <t>b_i[4]</t>
  </si>
  <si>
    <t>b_i[5]</t>
  </si>
  <si>
    <t>b_i[6]</t>
  </si>
  <si>
    <t>b_i[7]</t>
  </si>
  <si>
    <t>m_DACdcP_I[0]</t>
  </si>
  <si>
    <t>m_DACdcP_I[1]</t>
  </si>
  <si>
    <t>m_DACdcP_I[2]</t>
  </si>
  <si>
    <t>m_DACdcP_I[3]</t>
  </si>
  <si>
    <t>m_DACdcP_I[4]</t>
  </si>
  <si>
    <t>m_DACdcP_I[5]</t>
  </si>
  <si>
    <t>m_DACdcP_I[6]</t>
  </si>
  <si>
    <t>m_DACdcP_I[7]</t>
  </si>
  <si>
    <t>m_DACdcN_I[0]</t>
  </si>
  <si>
    <t>m_DACdcN_I[1]</t>
  </si>
  <si>
    <t>m_DACdcN_I[2]</t>
  </si>
  <si>
    <t>m_DACdcN_I[3]</t>
  </si>
  <si>
    <t>m_DACdcN_I[4]</t>
  </si>
  <si>
    <t>m_DACdcN_I[5]</t>
  </si>
  <si>
    <t>m_DACdcN_I[6]</t>
  </si>
  <si>
    <t>m_DACdcN_I[7]</t>
  </si>
  <si>
    <t>b_DACdc_I[0]</t>
  </si>
  <si>
    <t>b_DACdc_I[1]</t>
  </si>
  <si>
    <t>b_DACdc_I[2]</t>
  </si>
  <si>
    <t>b_DACdc_I[3]</t>
  </si>
  <si>
    <t>b_DACdc_I[4]</t>
  </si>
  <si>
    <t>b_DACdc_I[5]</t>
  </si>
  <si>
    <t>b_DACdc_I[6]</t>
  </si>
  <si>
    <t>b_DACdc_I[7]</t>
  </si>
  <si>
    <t>Cal Labels</t>
  </si>
  <si>
    <t>Cmd</t>
  </si>
  <si>
    <t>SSC exe</t>
  </si>
  <si>
    <t>SquidstatCalibrator.exe</t>
  </si>
  <si>
    <t>f</t>
  </si>
  <si>
    <t>binary!</t>
  </si>
  <si>
    <t>COM23</t>
  </si>
  <si>
    <t>COM24</t>
  </si>
  <si>
    <t>COM25</t>
  </si>
  <si>
    <t>COM26</t>
  </si>
  <si>
    <t>COM27</t>
  </si>
  <si>
    <t>COM28</t>
  </si>
  <si>
    <t>COM29</t>
  </si>
  <si>
    <t>COM30</t>
  </si>
  <si>
    <t>Ewe (V)</t>
  </si>
  <si>
    <t>% Err</t>
  </si>
  <si>
    <t>int16 extrema</t>
  </si>
  <si>
    <t>v1 ranges</t>
  </si>
  <si>
    <t>v2 ranges</t>
  </si>
  <si>
    <t>this v ranges</t>
  </si>
  <si>
    <t>C0 (mA)</t>
  </si>
  <si>
    <t>C0 % Err</t>
  </si>
  <si>
    <t>C0 Abs Err (mA)</t>
  </si>
  <si>
    <t>Hardware Model Number</t>
  </si>
  <si>
    <t>PRIME</t>
  </si>
  <si>
    <t>Serial Number</t>
  </si>
  <si>
    <t>General Text</t>
  </si>
  <si>
    <t>Abs Err (V)</t>
  </si>
  <si>
    <t>Ece (V)</t>
  </si>
  <si>
    <t>C1 (mA)</t>
  </si>
  <si>
    <t>C2 (mA)</t>
  </si>
  <si>
    <t>C3 (mA)</t>
  </si>
  <si>
    <t>Rsp</t>
  </si>
  <si>
    <t>C4 (mA)</t>
  </si>
  <si>
    <t>C4 Abs Err (mA)</t>
  </si>
  <si>
    <t>C4 % Err</t>
  </si>
  <si>
    <t>C5 (mA)</t>
  </si>
  <si>
    <t>C5 Abs Err (mA)</t>
  </si>
  <si>
    <t>C5 % Err</t>
  </si>
  <si>
    <t>C6 (mA)</t>
  </si>
  <si>
    <t>C6 Abs Err (mA)</t>
  </si>
  <si>
    <t>C6 % Err</t>
  </si>
  <si>
    <t>C7 (mA)</t>
  </si>
  <si>
    <t>C7 Abs Err (mA)</t>
  </si>
  <si>
    <t>C7 % Err</t>
  </si>
  <si>
    <t>Cmd SAVE</t>
  </si>
  <si>
    <t>Cmd SEND</t>
  </si>
  <si>
    <t>quality</t>
  </si>
  <si>
    <t>COM31</t>
  </si>
  <si>
    <t>COM32</t>
  </si>
  <si>
    <t>COM33</t>
  </si>
  <si>
    <t>COM34</t>
  </si>
  <si>
    <t>COM35</t>
  </si>
  <si>
    <t>COM36</t>
  </si>
  <si>
    <t>COM37</t>
  </si>
  <si>
    <t>COM38</t>
  </si>
  <si>
    <t>COM39</t>
  </si>
  <si>
    <t>COM40</t>
  </si>
  <si>
    <t>Squidstat models</t>
  </si>
  <si>
    <t>EDGE</t>
  </si>
  <si>
    <t>PICO</t>
  </si>
  <si>
    <t>SOLO</t>
  </si>
  <si>
    <t>PLUS</t>
  </si>
  <si>
    <t>PLUS_2_0</t>
  </si>
  <si>
    <t>SOLO_2_0</t>
  </si>
  <si>
    <t>PRIME_2_0</t>
  </si>
  <si>
    <t>Prime1034</t>
  </si>
  <si>
    <t>Analog channel 2016_05_05
Control board 2016_05_24 (Macrofab)
Power supply 2016_05_08
Initial firmware Squidstat_firmware_2017_11_07</t>
  </si>
  <si>
    <t>DAC % Err</t>
  </si>
  <si>
    <t>DAC Err (mV)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</si>
</sst>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%"/>
    <numFmt numFmtId="165" formatCode="0.00000"/>
    <numFmt numFmtId="166" formatCode="0.0000"/>
    <numFmt numFmtId="167" formatCode="0.0000000"/>
    <numFmt numFmtId="168" formatCode="0.0000%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2"/>
      <name val="Calibri"/>
      <family val="2"/>
      <scheme val="minor"/>
    </font>
    <font>
      <b/>
      <sz val="11"/>
      <color theme="6"/>
      <name val="Calibri"/>
      <family val="2"/>
      <scheme val="minor"/>
    </font>
    <font>
      <sz val="11"/>
      <color theme="6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32">
    <xf numFmtId="0" fontId="0" fillId="0" borderId="0" xfId="0"/>
    <xf numFmtId="0" fontId="1" fillId="0" borderId="0" xfId="0" applyFont="1"/>
    <xf numFmtId="0" fontId="0" fillId="6" borderId="0" xfId="0" applyFill="1"/>
    <xf numFmtId="0" fontId="1" fillId="6" borderId="0" xfId="0" applyFont="1" applyFill="1"/>
    <xf numFmtId="0" fontId="0" fillId="3" borderId="0" xfId="0" applyFill="1"/>
    <xf numFmtId="0" fontId="5" fillId="3" borderId="0" xfId="0" applyFont="1" applyFill="1"/>
    <xf numFmtId="0" fontId="6" fillId="2" borderId="5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right"/>
    </xf>
    <xf numFmtId="0" fontId="6" fillId="6" borderId="1" xfId="0" applyFont="1" applyFill="1" applyBorder="1" applyAlignment="1">
      <alignment horizontal="right"/>
    </xf>
    <xf numFmtId="0" fontId="6" fillId="5" borderId="1" xfId="0" applyFont="1" applyFill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7" fillId="2" borderId="4" xfId="0" applyFont="1" applyFill="1" applyBorder="1"/>
    <xf numFmtId="0" fontId="7" fillId="4" borderId="0" xfId="0" applyFont="1" applyFill="1"/>
    <xf numFmtId="0" fontId="7" fillId="6" borderId="0" xfId="0" applyFont="1" applyFill="1"/>
    <xf numFmtId="0" fontId="7" fillId="5" borderId="0" xfId="0" applyFont="1" applyFill="1"/>
    <xf numFmtId="11" fontId="7" fillId="5" borderId="0" xfId="0" applyNumberFormat="1" applyFont="1" applyFill="1"/>
    <xf numFmtId="0" fontId="7" fillId="0" borderId="0" xfId="0" applyFont="1"/>
    <xf numFmtId="0" fontId="7" fillId="2" borderId="7" xfId="0" applyFont="1" applyFill="1" applyBorder="1"/>
    <xf numFmtId="0" fontId="7" fillId="4" borderId="3" xfId="0" applyFont="1" applyFill="1" applyBorder="1"/>
    <xf numFmtId="0" fontId="7" fillId="6" borderId="3" xfId="0" applyFont="1" applyFill="1" applyBorder="1"/>
    <xf numFmtId="0" fontId="7" fillId="5" borderId="3" xfId="0" applyFont="1" applyFill="1" applyBorder="1"/>
    <xf numFmtId="0" fontId="7" fillId="0" borderId="3" xfId="0" applyFont="1" applyBorder="1"/>
    <xf numFmtId="0" fontId="7" fillId="2" borderId="6" xfId="0" applyFont="1" applyFill="1" applyBorder="1"/>
    <xf numFmtId="0" fontId="7" fillId="4" borderId="2" xfId="0" applyFont="1" applyFill="1" applyBorder="1"/>
    <xf numFmtId="0" fontId="7" fillId="6" borderId="2" xfId="0" applyFont="1" applyFill="1" applyBorder="1"/>
    <xf numFmtId="0" fontId="7" fillId="5" borderId="2" xfId="0" applyFont="1" applyFill="1" applyBorder="1"/>
    <xf numFmtId="0" fontId="7" fillId="0" borderId="2" xfId="0" applyFont="1" applyBorder="1"/>
    <xf numFmtId="0" fontId="7" fillId="4" borderId="0" xfId="0" applyFont="1" applyFill="1" applyBorder="1"/>
    <xf numFmtId="0" fontId="7" fillId="6" borderId="0" xfId="0" applyFont="1" applyFill="1" applyBorder="1"/>
    <xf numFmtId="0" fontId="7" fillId="5" borderId="0" xfId="0" applyFont="1" applyFill="1" applyBorder="1"/>
    <xf numFmtId="0" fontId="7" fillId="0" borderId="0" xfId="0" applyFont="1" applyBorder="1"/>
    <xf numFmtId="0" fontId="6" fillId="2" borderId="6" xfId="0" applyFont="1" applyFill="1" applyBorder="1" applyAlignment="1">
      <alignment horizontal="right"/>
    </xf>
    <xf numFmtId="0" fontId="6" fillId="4" borderId="2" xfId="0" applyFont="1" applyFill="1" applyBorder="1" applyAlignment="1">
      <alignment horizontal="right"/>
    </xf>
    <xf numFmtId="0" fontId="6" fillId="6" borderId="2" xfId="0" applyFont="1" applyFill="1" applyBorder="1" applyAlignment="1">
      <alignment horizontal="right"/>
    </xf>
    <xf numFmtId="0" fontId="6" fillId="5" borderId="2" xfId="0" applyFont="1" applyFill="1" applyBorder="1" applyAlignment="1">
      <alignment horizontal="right"/>
    </xf>
    <xf numFmtId="0" fontId="6" fillId="0" borderId="2" xfId="0" applyFont="1" applyBorder="1" applyAlignment="1">
      <alignment horizontal="right"/>
    </xf>
    <xf numFmtId="0" fontId="7" fillId="2" borderId="6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6" borderId="0" xfId="0" applyFont="1" applyFill="1"/>
    <xf numFmtId="0" fontId="6" fillId="5" borderId="0" xfId="0" applyFont="1" applyFill="1"/>
    <xf numFmtId="11" fontId="0" fillId="6" borderId="0" xfId="0" applyNumberFormat="1" applyFill="1"/>
    <xf numFmtId="0" fontId="5" fillId="6" borderId="0" xfId="0" applyFont="1" applyFill="1"/>
    <xf numFmtId="0" fontId="4" fillId="6" borderId="0" xfId="0" applyFont="1" applyFill="1"/>
    <xf numFmtId="11" fontId="5" fillId="6" borderId="0" xfId="0" applyNumberFormat="1" applyFont="1" applyFill="1"/>
    <xf numFmtId="0" fontId="2" fillId="6" borderId="0" xfId="0" applyFont="1" applyFill="1"/>
    <xf numFmtId="0" fontId="0" fillId="6" borderId="0" xfId="0" applyFont="1" applyFill="1"/>
    <xf numFmtId="0" fontId="2" fillId="6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7" fillId="2" borderId="0" xfId="0" applyFont="1" applyFill="1" applyBorder="1"/>
    <xf numFmtId="0" fontId="6" fillId="2" borderId="2" xfId="0" applyFont="1" applyFill="1" applyBorder="1" applyAlignment="1">
      <alignment horizontal="right"/>
    </xf>
    <xf numFmtId="0" fontId="7" fillId="2" borderId="2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right"/>
    </xf>
    <xf numFmtId="0" fontId="2" fillId="2" borderId="4" xfId="0" applyFont="1" applyFill="1" applyBorder="1"/>
    <xf numFmtId="0" fontId="2" fillId="2" borderId="7" xfId="0" applyFont="1" applyFill="1" applyBorder="1"/>
    <xf numFmtId="0" fontId="2" fillId="2" borderId="6" xfId="0" applyFont="1" applyFill="1" applyBorder="1"/>
    <xf numFmtId="11" fontId="7" fillId="6" borderId="0" xfId="0" applyNumberFormat="1" applyFont="1" applyFill="1"/>
    <xf numFmtId="11" fontId="0" fillId="0" borderId="0" xfId="0" applyNumberFormat="1"/>
    <xf numFmtId="0" fontId="0" fillId="3" borderId="8" xfId="0" applyFill="1" applyBorder="1"/>
    <xf numFmtId="0" fontId="1" fillId="6" borderId="0" xfId="0" applyFont="1" applyFill="1" applyAlignment="1">
      <alignment vertical="top"/>
    </xf>
    <xf numFmtId="0" fontId="0" fillId="3" borderId="8" xfId="0" applyFill="1" applyBorder="1" applyAlignment="1">
      <alignment vertical="top" wrapText="1"/>
    </xf>
    <xf numFmtId="0" fontId="11" fillId="4" borderId="1" xfId="0" applyFont="1" applyFill="1" applyBorder="1" applyAlignment="1">
      <alignment horizontal="right"/>
    </xf>
    <xf numFmtId="0" fontId="12" fillId="4" borderId="0" xfId="0" applyFont="1" applyFill="1" applyBorder="1"/>
    <xf numFmtId="0" fontId="11" fillId="4" borderId="2" xfId="0" applyFont="1" applyFill="1" applyBorder="1" applyAlignment="1">
      <alignment horizontal="right"/>
    </xf>
    <xf numFmtId="0" fontId="11" fillId="4" borderId="2" xfId="0" applyFont="1" applyFill="1" applyBorder="1" applyAlignment="1">
      <alignment horizontal="center"/>
    </xf>
    <xf numFmtId="0" fontId="12" fillId="4" borderId="0" xfId="0" applyFont="1" applyFill="1"/>
    <xf numFmtId="0" fontId="10" fillId="6" borderId="0" xfId="0" applyFont="1" applyFill="1"/>
    <xf numFmtId="11" fontId="10" fillId="6" borderId="0" xfId="0" applyNumberFormat="1" applyFont="1" applyFill="1"/>
    <xf numFmtId="0" fontId="11" fillId="6" borderId="1" xfId="0" applyFont="1" applyFill="1" applyBorder="1" applyAlignment="1">
      <alignment horizontal="right"/>
    </xf>
    <xf numFmtId="0" fontId="12" fillId="6" borderId="0" xfId="0" applyFont="1" applyFill="1" applyBorder="1"/>
    <xf numFmtId="0" fontId="11" fillId="6" borderId="2" xfId="0" applyFont="1" applyFill="1" applyBorder="1" applyAlignment="1">
      <alignment horizontal="right"/>
    </xf>
    <xf numFmtId="0" fontId="11" fillId="6" borderId="2" xfId="0" applyFont="1" applyFill="1" applyBorder="1" applyAlignment="1">
      <alignment horizontal="center"/>
    </xf>
    <xf numFmtId="0" fontId="12" fillId="6" borderId="0" xfId="0" applyFont="1" applyFill="1"/>
    <xf numFmtId="0" fontId="11" fillId="6" borderId="0" xfId="0" applyFont="1" applyFill="1"/>
    <xf numFmtId="165" fontId="12" fillId="4" borderId="0" xfId="0" applyNumberFormat="1" applyFont="1" applyFill="1"/>
    <xf numFmtId="165" fontId="12" fillId="4" borderId="3" xfId="0" applyNumberFormat="1" applyFont="1" applyFill="1" applyBorder="1"/>
    <xf numFmtId="165" fontId="12" fillId="4" borderId="2" xfId="0" applyNumberFormat="1" applyFont="1" applyFill="1" applyBorder="1"/>
    <xf numFmtId="166" fontId="12" fillId="4" borderId="0" xfId="0" applyNumberFormat="1" applyFont="1" applyFill="1"/>
    <xf numFmtId="166" fontId="12" fillId="4" borderId="3" xfId="0" applyNumberFormat="1" applyFont="1" applyFill="1" applyBorder="1"/>
    <xf numFmtId="166" fontId="12" fillId="4" borderId="2" xfId="0" applyNumberFormat="1" applyFont="1" applyFill="1" applyBorder="1"/>
    <xf numFmtId="10" fontId="12" fillId="4" borderId="0" xfId="1" applyNumberFormat="1" applyFont="1" applyFill="1"/>
    <xf numFmtId="10" fontId="12" fillId="4" borderId="3" xfId="1" applyNumberFormat="1" applyFont="1" applyFill="1" applyBorder="1"/>
    <xf numFmtId="10" fontId="12" fillId="4" borderId="2" xfId="1" applyNumberFormat="1" applyFont="1" applyFill="1" applyBorder="1"/>
    <xf numFmtId="10" fontId="12" fillId="6" borderId="0" xfId="1" applyNumberFormat="1" applyFont="1" applyFill="1"/>
    <xf numFmtId="10" fontId="12" fillId="6" borderId="3" xfId="1" applyNumberFormat="1" applyFont="1" applyFill="1" applyBorder="1"/>
    <xf numFmtId="10" fontId="12" fillId="6" borderId="2" xfId="1" applyNumberFormat="1" applyFont="1" applyFill="1" applyBorder="1"/>
    <xf numFmtId="166" fontId="12" fillId="6" borderId="0" xfId="0" applyNumberFormat="1" applyFont="1" applyFill="1"/>
    <xf numFmtId="166" fontId="12" fillId="6" borderId="3" xfId="0" applyNumberFormat="1" applyFont="1" applyFill="1" applyBorder="1"/>
    <xf numFmtId="166" fontId="12" fillId="6" borderId="2" xfId="0" applyNumberFormat="1" applyFont="1" applyFill="1" applyBorder="1"/>
    <xf numFmtId="0" fontId="7" fillId="4" borderId="2" xfId="0" applyFont="1" applyFill="1" applyBorder="1" applyAlignment="1">
      <alignment horizontal="center"/>
    </xf>
    <xf numFmtId="0" fontId="0" fillId="4" borderId="0" xfId="0" applyFill="1"/>
    <xf numFmtId="0" fontId="12" fillId="6" borderId="3" xfId="0" applyFont="1" applyFill="1" applyBorder="1"/>
    <xf numFmtId="0" fontId="12" fillId="6" borderId="2" xfId="0" applyFont="1" applyFill="1" applyBorder="1"/>
    <xf numFmtId="11" fontId="0" fillId="0" borderId="0" xfId="0" applyNumberFormat="1" applyFont="1"/>
    <xf numFmtId="0" fontId="11" fillId="5" borderId="1" xfId="0" applyFont="1" applyFill="1" applyBorder="1" applyAlignment="1">
      <alignment horizontal="right"/>
    </xf>
    <xf numFmtId="0" fontId="12" fillId="5" borderId="0" xfId="0" applyFont="1" applyFill="1"/>
    <xf numFmtId="0" fontId="12" fillId="5" borderId="3" xfId="0" applyFont="1" applyFill="1" applyBorder="1"/>
    <xf numFmtId="0" fontId="12" fillId="5" borderId="2" xfId="0" applyFont="1" applyFill="1" applyBorder="1"/>
    <xf numFmtId="0" fontId="12" fillId="5" borderId="0" xfId="0" applyFont="1" applyFill="1" applyBorder="1"/>
    <xf numFmtId="0" fontId="11" fillId="5" borderId="2" xfId="0" applyFont="1" applyFill="1" applyBorder="1" applyAlignment="1">
      <alignment horizontal="right"/>
    </xf>
    <xf numFmtId="0" fontId="11" fillId="5" borderId="2" xfId="0" applyFont="1" applyFill="1" applyBorder="1" applyAlignment="1">
      <alignment horizontal="center"/>
    </xf>
    <xf numFmtId="0" fontId="11" fillId="5" borderId="0" xfId="0" applyFont="1" applyFill="1"/>
    <xf numFmtId="166" fontId="12" fillId="5" borderId="0" xfId="0" applyNumberFormat="1" applyFont="1" applyFill="1"/>
    <xf numFmtId="166" fontId="12" fillId="5" borderId="3" xfId="0" applyNumberFormat="1" applyFont="1" applyFill="1" applyBorder="1"/>
    <xf numFmtId="166" fontId="12" fillId="5" borderId="2" xfId="0" applyNumberFormat="1" applyFont="1" applyFill="1" applyBorder="1"/>
    <xf numFmtId="0" fontId="0" fillId="3" borderId="0" xfId="0" applyFont="1" applyFill="1"/>
    <xf numFmtId="0" fontId="1" fillId="4" borderId="2" xfId="0" applyFont="1" applyFill="1" applyBorder="1" applyAlignment="1">
      <alignment horizontal="center"/>
    </xf>
    <xf numFmtId="167" fontId="12" fillId="4" borderId="0" xfId="0" applyNumberFormat="1" applyFont="1" applyFill="1"/>
    <xf numFmtId="167" fontId="12" fillId="4" borderId="3" xfId="0" applyNumberFormat="1" applyFont="1" applyFill="1" applyBorder="1"/>
    <xf numFmtId="167" fontId="12" fillId="4" borderId="2" xfId="0" applyNumberFormat="1" applyFont="1" applyFill="1" applyBorder="1"/>
    <xf numFmtId="168" fontId="12" fillId="6" borderId="0" xfId="1" applyNumberFormat="1" applyFont="1" applyFill="1"/>
    <xf numFmtId="168" fontId="12" fillId="6" borderId="3" xfId="1" applyNumberFormat="1" applyFont="1" applyFill="1" applyBorder="1"/>
    <xf numFmtId="168" fontId="12" fillId="6" borderId="2" xfId="1" applyNumberFormat="1" applyFont="1" applyFill="1" applyBorder="1"/>
    <xf numFmtId="164" fontId="12" fillId="5" borderId="0" xfId="1" applyNumberFormat="1" applyFont="1" applyFill="1"/>
    <xf numFmtId="164" fontId="12" fillId="5" borderId="3" xfId="1" applyNumberFormat="1" applyFont="1" applyFill="1" applyBorder="1"/>
    <xf numFmtId="164" fontId="12" fillId="5" borderId="2" xfId="1" applyNumberFormat="1" applyFont="1" applyFill="1" applyBorder="1"/>
    <xf numFmtId="0" fontId="0" fillId="7" borderId="0" xfId="0" applyFill="1"/>
    <xf numFmtId="164" fontId="12" fillId="6" borderId="0" xfId="1" applyNumberFormat="1" applyFont="1" applyFill="1"/>
    <xf numFmtId="164" fontId="12" fillId="6" borderId="3" xfId="1" applyNumberFormat="1" applyFont="1" applyFill="1" applyBorder="1"/>
    <xf numFmtId="164" fontId="12" fillId="6" borderId="2" xfId="1" applyNumberFormat="1" applyFont="1" applyFill="1" applyBorder="1"/>
    <xf numFmtId="0" fontId="12" fillId="5" borderId="2" xfId="0" applyFont="1" applyFill="1" applyBorder="1" applyAlignment="1">
      <alignment horizontal="center"/>
    </xf>
    <xf numFmtId="0" fontId="12" fillId="6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right"/>
    </xf>
    <xf numFmtId="0" fontId="14" fillId="4" borderId="0" xfId="0" applyFont="1" applyFill="1" applyBorder="1"/>
    <xf numFmtId="0" fontId="13" fillId="4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right"/>
    </xf>
    <xf numFmtId="0" fontId="11" fillId="0" borderId="1" xfId="0" applyFont="1" applyFill="1" applyBorder="1" applyAlignment="1">
      <alignment horizontal="right"/>
    </xf>
  </cellXfs>
  <cellStyles count="2">
    <cellStyle name="Normal" xfId="0" builtinId="0"/>
    <cellStyle name="Percent" xfId="1" builtinId="5"/>
  </cellStyles>
  <dxfs count="8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AF3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Data!$D$2:$D$12</c:f>
              <c:numCache>
                <c:formatCode>General</c:formatCode>
                <c:ptCount val="11"/>
                <c:pt idx="0">
                  <c:v>-8.9880569000000001</c:v>
                </c:pt>
                <c:pt idx="1">
                  <c:v>-7.9876554000000004</c:v>
                </c:pt>
                <c:pt idx="2">
                  <c:v>-6.9878684</c:v>
                </c:pt>
                <c:pt idx="3">
                  <c:v>-5.9883796</c:v>
                </c:pt>
                <c:pt idx="4">
                  <c:v>-4.9896076999999996</c:v>
                </c:pt>
                <c:pt idx="5">
                  <c:v>-3.9907724</c:v>
                </c:pt>
                <c:pt idx="6">
                  <c:v>-2.9910516999999999</c:v>
                </c:pt>
                <c:pt idx="7">
                  <c:v>-1.9918897</c:v>
                </c:pt>
                <c:pt idx="8">
                  <c:v>-0.99190027999999997</c:v>
                </c:pt>
                <c:pt idx="9">
                  <c:v>-0.45055220000000001</c:v>
                </c:pt>
                <c:pt idx="10">
                  <c:v>7.1123469999999998E-3</c:v>
                </c:pt>
              </c:numCache>
            </c:numRef>
          </c:xVal>
          <c:yVal>
            <c:numRef>
              <c:f>Data!$C$2:$C$12</c:f>
              <c:numCache>
                <c:formatCode>General</c:formatCode>
                <c:ptCount val="11"/>
                <c:pt idx="0">
                  <c:v>-29475</c:v>
                </c:pt>
                <c:pt idx="1">
                  <c:v>-26200</c:v>
                </c:pt>
                <c:pt idx="2">
                  <c:v>-22925</c:v>
                </c:pt>
                <c:pt idx="3">
                  <c:v>-19650</c:v>
                </c:pt>
                <c:pt idx="4">
                  <c:v>-16375</c:v>
                </c:pt>
                <c:pt idx="5">
                  <c:v>-13100</c:v>
                </c:pt>
                <c:pt idx="6">
                  <c:v>-9825</c:v>
                </c:pt>
                <c:pt idx="7">
                  <c:v>-6550</c:v>
                </c:pt>
                <c:pt idx="8">
                  <c:v>-3275</c:v>
                </c:pt>
                <c:pt idx="9">
                  <c:v>-1500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1-4F62-BBBE-CBD5E3475F96}"/>
            </c:ext>
          </c:extLst>
        </c:ser>
        <c:ser>
          <c:idx val="1"/>
          <c:order val="1"/>
          <c:tx>
            <c:v>DACdcP_V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0267608425377031"/>
                  <c:y val="1.275788018660676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Data!$D$12:$D$22</c:f>
              <c:numCache>
                <c:formatCode>General</c:formatCode>
                <c:ptCount val="11"/>
                <c:pt idx="0">
                  <c:v>7.1123469999999998E-3</c:v>
                </c:pt>
                <c:pt idx="1">
                  <c:v>0.46444136000000003</c:v>
                </c:pt>
                <c:pt idx="2">
                  <c:v>1.0053592</c:v>
                </c:pt>
                <c:pt idx="3">
                  <c:v>2.0055991999999998</c:v>
                </c:pt>
                <c:pt idx="4">
                  <c:v>3.0047006000000001</c:v>
                </c:pt>
                <c:pt idx="5">
                  <c:v>4.0039308</c:v>
                </c:pt>
                <c:pt idx="6">
                  <c:v>5.0024769999999998</c:v>
                </c:pt>
                <c:pt idx="7">
                  <c:v>6.0020189999999998</c:v>
                </c:pt>
                <c:pt idx="8">
                  <c:v>7.0017303000000002</c:v>
                </c:pt>
                <c:pt idx="9">
                  <c:v>8.0013816000000002</c:v>
                </c:pt>
                <c:pt idx="10">
                  <c:v>9.0017499999999995</c:v>
                </c:pt>
              </c:numCache>
            </c:numRef>
          </c:xVal>
          <c:yVal>
            <c:numRef>
              <c:f>Data!$C$12:$C$22</c:f>
              <c:numCache>
                <c:formatCode>General</c:formatCode>
                <c:ptCount val="11"/>
                <c:pt idx="0">
                  <c:v>0</c:v>
                </c:pt>
                <c:pt idx="1">
                  <c:v>1500</c:v>
                </c:pt>
                <c:pt idx="2">
                  <c:v>3275</c:v>
                </c:pt>
                <c:pt idx="3">
                  <c:v>6550</c:v>
                </c:pt>
                <c:pt idx="4">
                  <c:v>9825</c:v>
                </c:pt>
                <c:pt idx="5">
                  <c:v>13100</c:v>
                </c:pt>
                <c:pt idx="6">
                  <c:v>16375</c:v>
                </c:pt>
                <c:pt idx="7">
                  <c:v>19650</c:v>
                </c:pt>
                <c:pt idx="8">
                  <c:v>22925</c:v>
                </c:pt>
                <c:pt idx="9">
                  <c:v>26200</c:v>
                </c:pt>
                <c:pt idx="10">
                  <c:v>29475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1-4F62-BBBE-CBD5E3475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refN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Data!$F$2:$F$12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-8.9880569000000001</c:v>
                </c:pt>
                <c:pt idx="1">
                  <c:v>-7.9876554000000004</c:v>
                </c:pt>
                <c:pt idx="2">
                  <c:v>-6.9878684</c:v>
                </c:pt>
                <c:pt idx="3">
                  <c:v>-5.9883796</c:v>
                </c:pt>
                <c:pt idx="4">
                  <c:v>-4.9896076999999996</c:v>
                </c:pt>
                <c:pt idx="5">
                  <c:v>-3.9907724</c:v>
                </c:pt>
                <c:pt idx="6">
                  <c:v>-2.9910516999999999</c:v>
                </c:pt>
                <c:pt idx="7">
                  <c:v>-1.9918897</c:v>
                </c:pt>
                <c:pt idx="8">
                  <c:v>-0.99190027999999997</c:v>
                </c:pt>
                <c:pt idx="9">
                  <c:v>-0.45055220000000001</c:v>
                </c:pt>
                <c:pt idx="10">
                  <c:v>7.1123469999999998E-3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4E-40EB-8231-5214EEC018B5}"/>
            </c:ext>
          </c:extLst>
        </c:ser>
        <c:ser>
          <c:idx val="1"/>
          <c:order val="1"/>
          <c:tx>
            <c:v>refp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Data!$F$12:$F$22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7.1123469999999998E-3</c:v>
                </c:pt>
                <c:pt idx="1">
                  <c:v>0.46444136000000003</c:v>
                </c:pt>
                <c:pt idx="2">
                  <c:v>1.0053592</c:v>
                </c:pt>
                <c:pt idx="3">
                  <c:v>2.0055991999999998</c:v>
                </c:pt>
                <c:pt idx="4">
                  <c:v>3.0047006000000001</c:v>
                </c:pt>
                <c:pt idx="5">
                  <c:v>4.0039308</c:v>
                </c:pt>
                <c:pt idx="6">
                  <c:v>5.0024769999999998</c:v>
                </c:pt>
                <c:pt idx="7">
                  <c:v>6.0020189999999998</c:v>
                </c:pt>
                <c:pt idx="8">
                  <c:v>7.0017303000000002</c:v>
                </c:pt>
                <c:pt idx="9">
                  <c:v>8.0013816000000002</c:v>
                </c:pt>
                <c:pt idx="10">
                  <c:v>9.0017499999999995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4E-40EB-8231-5214EEC0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</a:t>
                </a:r>
                <a:r>
                  <a:rPr lang="en-US" b="1" baseline="0"/>
                  <a:t> Voltage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ewe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eweN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38240722492926044"/>
                  <c:y val="0.1894270974748845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Data!$H$2:$H$12</c:f>
              <c:numCache>
                <c:formatCode>General</c:formatCode>
                <c:ptCount val="11"/>
                <c:pt idx="0">
                  <c:v>-29384</c:v>
                </c:pt>
                <c:pt idx="1">
                  <c:v>-26114</c:v>
                </c:pt>
                <c:pt idx="2">
                  <c:v>-22846</c:v>
                </c:pt>
                <c:pt idx="3">
                  <c:v>-19580</c:v>
                </c:pt>
                <c:pt idx="4">
                  <c:v>-16316</c:v>
                </c:pt>
                <c:pt idx="5">
                  <c:v>-13051</c:v>
                </c:pt>
                <c:pt idx="6">
                  <c:v>-9784</c:v>
                </c:pt>
                <c:pt idx="7">
                  <c:v>-6518</c:v>
                </c:pt>
                <c:pt idx="8">
                  <c:v>-3251</c:v>
                </c:pt>
                <c:pt idx="9">
                  <c:v>-1481</c:v>
                </c:pt>
                <c:pt idx="10">
                  <c:v>13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-8.9880569000000001</c:v>
                </c:pt>
                <c:pt idx="1">
                  <c:v>-7.9876554000000004</c:v>
                </c:pt>
                <c:pt idx="2">
                  <c:v>-6.9878684</c:v>
                </c:pt>
                <c:pt idx="3">
                  <c:v>-5.9883796</c:v>
                </c:pt>
                <c:pt idx="4">
                  <c:v>-4.9896076999999996</c:v>
                </c:pt>
                <c:pt idx="5">
                  <c:v>-3.9907724</c:v>
                </c:pt>
                <c:pt idx="6">
                  <c:v>-2.9910516999999999</c:v>
                </c:pt>
                <c:pt idx="7">
                  <c:v>-1.9918897</c:v>
                </c:pt>
                <c:pt idx="8">
                  <c:v>-0.99190027999999997</c:v>
                </c:pt>
                <c:pt idx="9">
                  <c:v>-0.45055220000000001</c:v>
                </c:pt>
                <c:pt idx="10">
                  <c:v>7.1123469999999998E-3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47-4A0C-A1D7-6B0749541F6D}"/>
            </c:ext>
          </c:extLst>
        </c:ser>
        <c:ser>
          <c:idx val="1"/>
          <c:order val="1"/>
          <c:tx>
            <c:v>eweP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9194337217606695"/>
                  <c:y val="-1.70409086795185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Data!$H$12:$H$22</c:f>
              <c:numCache>
                <c:formatCode>General</c:formatCode>
                <c:ptCount val="11"/>
                <c:pt idx="0">
                  <c:v>13</c:v>
                </c:pt>
                <c:pt idx="1">
                  <c:v>1507</c:v>
                </c:pt>
                <c:pt idx="2">
                  <c:v>3275</c:v>
                </c:pt>
                <c:pt idx="3">
                  <c:v>6544</c:v>
                </c:pt>
                <c:pt idx="4">
                  <c:v>9809</c:v>
                </c:pt>
                <c:pt idx="5">
                  <c:v>13074</c:v>
                </c:pt>
                <c:pt idx="6">
                  <c:v>16338</c:v>
                </c:pt>
                <c:pt idx="7">
                  <c:v>19605</c:v>
                </c:pt>
                <c:pt idx="8">
                  <c:v>22872</c:v>
                </c:pt>
                <c:pt idx="9">
                  <c:v>26139</c:v>
                </c:pt>
                <c:pt idx="10">
                  <c:v>29408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7.1123469999999998E-3</c:v>
                </c:pt>
                <c:pt idx="1">
                  <c:v>0.46444136000000003</c:v>
                </c:pt>
                <c:pt idx="2">
                  <c:v>1.0053592</c:v>
                </c:pt>
                <c:pt idx="3">
                  <c:v>2.0055991999999998</c:v>
                </c:pt>
                <c:pt idx="4">
                  <c:v>3.0047006000000001</c:v>
                </c:pt>
                <c:pt idx="5">
                  <c:v>4.0039308</c:v>
                </c:pt>
                <c:pt idx="6">
                  <c:v>5.0024769999999998</c:v>
                </c:pt>
                <c:pt idx="7">
                  <c:v>6.0020189999999998</c:v>
                </c:pt>
                <c:pt idx="8">
                  <c:v>7.0017303000000002</c:v>
                </c:pt>
                <c:pt idx="9">
                  <c:v>8.0013816000000002</c:v>
                </c:pt>
                <c:pt idx="10">
                  <c:v>9.0017499999999995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47-4A0C-A1D7-6B0749541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ewe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eceN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Data!$L$2:$L$12</c:f>
              <c:numCache>
                <c:formatCode>General</c:formatCode>
                <c:ptCount val="11"/>
                <c:pt idx="0">
                  <c:v>-29384</c:v>
                </c:pt>
                <c:pt idx="1">
                  <c:v>-26114</c:v>
                </c:pt>
                <c:pt idx="2">
                  <c:v>-22846</c:v>
                </c:pt>
                <c:pt idx="3">
                  <c:v>-19579</c:v>
                </c:pt>
                <c:pt idx="4">
                  <c:v>-16314</c:v>
                </c:pt>
                <c:pt idx="5">
                  <c:v>-13049</c:v>
                </c:pt>
                <c:pt idx="6">
                  <c:v>-9782</c:v>
                </c:pt>
                <c:pt idx="7">
                  <c:v>-6516</c:v>
                </c:pt>
                <c:pt idx="8">
                  <c:v>-3248</c:v>
                </c:pt>
                <c:pt idx="9">
                  <c:v>-1479</c:v>
                </c:pt>
                <c:pt idx="10">
                  <c:v>14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-8.9880569000000001</c:v>
                </c:pt>
                <c:pt idx="1">
                  <c:v>-7.9876554000000004</c:v>
                </c:pt>
                <c:pt idx="2">
                  <c:v>-6.9878684</c:v>
                </c:pt>
                <c:pt idx="3">
                  <c:v>-5.9883796</c:v>
                </c:pt>
                <c:pt idx="4">
                  <c:v>-4.9896076999999996</c:v>
                </c:pt>
                <c:pt idx="5">
                  <c:v>-3.9907724</c:v>
                </c:pt>
                <c:pt idx="6">
                  <c:v>-2.9910516999999999</c:v>
                </c:pt>
                <c:pt idx="7">
                  <c:v>-1.9918897</c:v>
                </c:pt>
                <c:pt idx="8">
                  <c:v>-0.99190027999999997</c:v>
                </c:pt>
                <c:pt idx="9">
                  <c:v>-0.45055220000000001</c:v>
                </c:pt>
                <c:pt idx="10">
                  <c:v>7.1123469999999998E-3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B6-4CED-8930-546742CE4DD9}"/>
            </c:ext>
          </c:extLst>
        </c:ser>
        <c:ser>
          <c:idx val="1"/>
          <c:order val="1"/>
          <c:tx>
            <c:v>eceP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5761052110479072"/>
                  <c:y val="6.36016247248632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Data!$L$12:$L$22</c:f>
              <c:numCache>
                <c:formatCode>General</c:formatCode>
                <c:ptCount val="11"/>
                <c:pt idx="0">
                  <c:v>14</c:v>
                </c:pt>
                <c:pt idx="1">
                  <c:v>1509</c:v>
                </c:pt>
                <c:pt idx="2">
                  <c:v>3277</c:v>
                </c:pt>
                <c:pt idx="3">
                  <c:v>6546</c:v>
                </c:pt>
                <c:pt idx="4">
                  <c:v>9811</c:v>
                </c:pt>
                <c:pt idx="5">
                  <c:v>13077</c:v>
                </c:pt>
                <c:pt idx="6">
                  <c:v>16341</c:v>
                </c:pt>
                <c:pt idx="7">
                  <c:v>19608</c:v>
                </c:pt>
                <c:pt idx="8">
                  <c:v>22875</c:v>
                </c:pt>
                <c:pt idx="9">
                  <c:v>26143</c:v>
                </c:pt>
                <c:pt idx="10">
                  <c:v>29412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7.1123469999999998E-3</c:v>
                </c:pt>
                <c:pt idx="1">
                  <c:v>0.46444136000000003</c:v>
                </c:pt>
                <c:pt idx="2">
                  <c:v>1.0053592</c:v>
                </c:pt>
                <c:pt idx="3">
                  <c:v>2.0055991999999998</c:v>
                </c:pt>
                <c:pt idx="4">
                  <c:v>3.0047006000000001</c:v>
                </c:pt>
                <c:pt idx="5">
                  <c:v>4.0039308</c:v>
                </c:pt>
                <c:pt idx="6">
                  <c:v>5.0024769999999998</c:v>
                </c:pt>
                <c:pt idx="7">
                  <c:v>6.0020189999999998</c:v>
                </c:pt>
                <c:pt idx="8">
                  <c:v>7.0017303000000002</c:v>
                </c:pt>
                <c:pt idx="9">
                  <c:v>8.0013816000000002</c:v>
                </c:pt>
                <c:pt idx="10">
                  <c:v>9.0017499999999995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B6-4CED-8930-546742CE4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4267301638841537"/>
                  <c:y val="-0.160498935274600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Data!$P$2:$P$12</c:f>
              <c:numCache>
                <c:formatCode>General</c:formatCode>
                <c:ptCount val="11"/>
                <c:pt idx="0" formatCode="0.00E+00">
                  <c:v>-99.338328000000004</c:v>
                </c:pt>
                <c:pt idx="1">
                  <c:v>-89.369095000000002</c:v>
                </c:pt>
                <c:pt idx="2">
                  <c:v>-79.396991999999997</c:v>
                </c:pt>
                <c:pt idx="3">
                  <c:v>-69.427941000000004</c:v>
                </c:pt>
                <c:pt idx="4">
                  <c:v>-59.453964999999997</c:v>
                </c:pt>
                <c:pt idx="5">
                  <c:v>-49.483524000000003</c:v>
                </c:pt>
                <c:pt idx="6">
                  <c:v>-39.507116000000003</c:v>
                </c:pt>
                <c:pt idx="7">
                  <c:v>-29.547112000000002</c:v>
                </c:pt>
                <c:pt idx="8">
                  <c:v>-19.571218000000002</c:v>
                </c:pt>
                <c:pt idx="9">
                  <c:v>-9.6104389999999995</c:v>
                </c:pt>
                <c:pt idx="10">
                  <c:v>0.36952609999999997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80-4836-B7DF-1E580192B482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7.9195137218726314E-2"/>
                  <c:y val="-0.24302366500238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Data!$P$12:$P$22</c:f>
              <c:numCache>
                <c:formatCode>General</c:formatCode>
                <c:ptCount val="11"/>
                <c:pt idx="0">
                  <c:v>0.36952609999999997</c:v>
                </c:pt>
                <c:pt idx="1">
                  <c:v>10.331735</c:v>
                </c:pt>
                <c:pt idx="2">
                  <c:v>20.303117</c:v>
                </c:pt>
                <c:pt idx="3">
                  <c:v>30.264452000000002</c:v>
                </c:pt>
                <c:pt idx="4">
                  <c:v>40.22569</c:v>
                </c:pt>
                <c:pt idx="5">
                  <c:v>50.188628999999999</c:v>
                </c:pt>
                <c:pt idx="6">
                  <c:v>60.150638000000001</c:v>
                </c:pt>
                <c:pt idx="7">
                  <c:v>70.115330999999998</c:v>
                </c:pt>
                <c:pt idx="8">
                  <c:v>80.100883999999994</c:v>
                </c:pt>
                <c:pt idx="9">
                  <c:v>90.073976999999999</c:v>
                </c:pt>
                <c:pt idx="10">
                  <c:v>100.02437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80-4836-B7DF-1E580192B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Measured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0188515138536553"/>
                  <c:y val="-1.33235698301182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Data!$Q$2:$Q$12</c:f>
              <c:numCache>
                <c:formatCode>General</c:formatCode>
                <c:ptCount val="11"/>
                <c:pt idx="0">
                  <c:v>-27334</c:v>
                </c:pt>
                <c:pt idx="1">
                  <c:v>-24622</c:v>
                </c:pt>
                <c:pt idx="2">
                  <c:v>-21879</c:v>
                </c:pt>
                <c:pt idx="3">
                  <c:v>-19133</c:v>
                </c:pt>
                <c:pt idx="4">
                  <c:v>-16384</c:v>
                </c:pt>
                <c:pt idx="5">
                  <c:v>-13635</c:v>
                </c:pt>
                <c:pt idx="6">
                  <c:v>-10888</c:v>
                </c:pt>
                <c:pt idx="7">
                  <c:v>-8143</c:v>
                </c:pt>
                <c:pt idx="8">
                  <c:v>-5395</c:v>
                </c:pt>
                <c:pt idx="9">
                  <c:v>-2654</c:v>
                </c:pt>
                <c:pt idx="10">
                  <c:v>100</c:v>
                </c:pt>
              </c:numCache>
            </c:numRef>
          </c:xVal>
          <c:yVal>
            <c:numRef>
              <c:f>Data!$P$2:$P$12</c:f>
              <c:numCache>
                <c:formatCode>General</c:formatCode>
                <c:ptCount val="11"/>
                <c:pt idx="0" formatCode="0.00E+00">
                  <c:v>-99.338328000000004</c:v>
                </c:pt>
                <c:pt idx="1">
                  <c:v>-89.369095000000002</c:v>
                </c:pt>
                <c:pt idx="2">
                  <c:v>-79.396991999999997</c:v>
                </c:pt>
                <c:pt idx="3">
                  <c:v>-69.427941000000004</c:v>
                </c:pt>
                <c:pt idx="4">
                  <c:v>-59.453964999999997</c:v>
                </c:pt>
                <c:pt idx="5">
                  <c:v>-49.483524000000003</c:v>
                </c:pt>
                <c:pt idx="6">
                  <c:v>-39.507116000000003</c:v>
                </c:pt>
                <c:pt idx="7">
                  <c:v>-29.547112000000002</c:v>
                </c:pt>
                <c:pt idx="8">
                  <c:v>-19.571218000000002</c:v>
                </c:pt>
                <c:pt idx="9">
                  <c:v>-9.6104389999999995</c:v>
                </c:pt>
                <c:pt idx="10">
                  <c:v>0.36952609999999997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3C-48ED-8DDE-D35550ECAE12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0584209139129576"/>
                  <c:y val="-0.270014771129583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Data!$Q$12:$Q$22</c:f>
              <c:numCache>
                <c:formatCode>General</c:formatCode>
                <c:ptCount val="11"/>
                <c:pt idx="0">
                  <c:v>100</c:v>
                </c:pt>
                <c:pt idx="1">
                  <c:v>2827</c:v>
                </c:pt>
                <c:pt idx="2">
                  <c:v>5572</c:v>
                </c:pt>
                <c:pt idx="3">
                  <c:v>8314</c:v>
                </c:pt>
                <c:pt idx="4">
                  <c:v>11056</c:v>
                </c:pt>
                <c:pt idx="5">
                  <c:v>13796</c:v>
                </c:pt>
                <c:pt idx="6">
                  <c:v>16536</c:v>
                </c:pt>
                <c:pt idx="7">
                  <c:v>19275</c:v>
                </c:pt>
                <c:pt idx="8">
                  <c:v>22021</c:v>
                </c:pt>
                <c:pt idx="9">
                  <c:v>24759</c:v>
                </c:pt>
                <c:pt idx="10">
                  <c:v>27462</c:v>
                </c:pt>
              </c:numCache>
            </c:numRef>
          </c:xVal>
          <c:yVal>
            <c:numRef>
              <c:f>Data!$P$12:$P$22</c:f>
              <c:numCache>
                <c:formatCode>General</c:formatCode>
                <c:ptCount val="11"/>
                <c:pt idx="0">
                  <c:v>0.36952609999999997</c:v>
                </c:pt>
                <c:pt idx="1">
                  <c:v>10.331735</c:v>
                </c:pt>
                <c:pt idx="2">
                  <c:v>20.303117</c:v>
                </c:pt>
                <c:pt idx="3">
                  <c:v>30.264452000000002</c:v>
                </c:pt>
                <c:pt idx="4">
                  <c:v>40.22569</c:v>
                </c:pt>
                <c:pt idx="5">
                  <c:v>50.188628999999999</c:v>
                </c:pt>
                <c:pt idx="6">
                  <c:v>60.150638000000001</c:v>
                </c:pt>
                <c:pt idx="7">
                  <c:v>70.115330999999998</c:v>
                </c:pt>
                <c:pt idx="8">
                  <c:v>80.100883999999994</c:v>
                </c:pt>
                <c:pt idx="9">
                  <c:v>90.073976999999999</c:v>
                </c:pt>
                <c:pt idx="10">
                  <c:v>100.02437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3C-48ED-8DDE-D35550ECA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Data!$V$2:$V$12</c:f>
              <c:numCache>
                <c:formatCode>General</c:formatCode>
                <c:ptCount val="11"/>
                <c:pt idx="0" formatCode="0.00E+00">
                  <c:v>-5.0629043999999999</c:v>
                </c:pt>
                <c:pt idx="1">
                  <c:v>-4.5552409999999997</c:v>
                </c:pt>
                <c:pt idx="2">
                  <c:v>-4.0472448999999999</c:v>
                </c:pt>
                <c:pt idx="3">
                  <c:v>-3.5394363000000002</c:v>
                </c:pt>
                <c:pt idx="4">
                  <c:v>-3.0314754000000002</c:v>
                </c:pt>
                <c:pt idx="5">
                  <c:v>-2.5234760000000001</c:v>
                </c:pt>
                <c:pt idx="6">
                  <c:v>-2.0154435000000004</c:v>
                </c:pt>
                <c:pt idx="7">
                  <c:v>-1.5080908</c:v>
                </c:pt>
                <c:pt idx="8">
                  <c:v>-0.99995370000000006</c:v>
                </c:pt>
                <c:pt idx="9">
                  <c:v>-0.49264670000000005</c:v>
                </c:pt>
                <c:pt idx="10">
                  <c:v>1.57114E-2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03-4013-8786-4CDE57BECC36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Data!$V$12:$V$22</c:f>
              <c:numCache>
                <c:formatCode>General</c:formatCode>
                <c:ptCount val="11"/>
                <c:pt idx="0">
                  <c:v>1.57114E-2</c:v>
                </c:pt>
                <c:pt idx="1">
                  <c:v>0.52311779999999997</c:v>
                </c:pt>
                <c:pt idx="2">
                  <c:v>1.0310014000000001</c:v>
                </c:pt>
                <c:pt idx="3">
                  <c:v>1.5383498</c:v>
                </c:pt>
                <c:pt idx="4">
                  <c:v>2.0456755000000002</c:v>
                </c:pt>
                <c:pt idx="5">
                  <c:v>2.5531459999999999</c:v>
                </c:pt>
                <c:pt idx="6">
                  <c:v>3.0605404000000003</c:v>
                </c:pt>
                <c:pt idx="7">
                  <c:v>3.5680389999999997</c:v>
                </c:pt>
                <c:pt idx="8">
                  <c:v>4.0768699999999995</c:v>
                </c:pt>
                <c:pt idx="9">
                  <c:v>4.5848356999999993</c:v>
                </c:pt>
                <c:pt idx="10">
                  <c:v>5.0931443999999999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03-4013-8786-4CDE57BEC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Measured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305686789151356"/>
                  <c:y val="-0.13593044208031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Data!$W$2:$W$12</c:f>
              <c:numCache>
                <c:formatCode>General</c:formatCode>
                <c:ptCount val="11"/>
                <c:pt idx="0">
                  <c:v>-27591</c:v>
                </c:pt>
                <c:pt idx="1">
                  <c:v>-24865</c:v>
                </c:pt>
                <c:pt idx="2">
                  <c:v>-22098</c:v>
                </c:pt>
                <c:pt idx="3">
                  <c:v>-19327</c:v>
                </c:pt>
                <c:pt idx="4">
                  <c:v>-16552</c:v>
                </c:pt>
                <c:pt idx="5">
                  <c:v>-13778</c:v>
                </c:pt>
                <c:pt idx="6">
                  <c:v>-11005</c:v>
                </c:pt>
                <c:pt idx="7">
                  <c:v>-8235</c:v>
                </c:pt>
                <c:pt idx="8">
                  <c:v>-5462</c:v>
                </c:pt>
                <c:pt idx="9">
                  <c:v>-2696</c:v>
                </c:pt>
                <c:pt idx="10">
                  <c:v>84</c:v>
                </c:pt>
              </c:numCache>
            </c:numRef>
          </c:xVal>
          <c:yVal>
            <c:numRef>
              <c:f>Data!$V$2:$V$12</c:f>
              <c:numCache>
                <c:formatCode>General</c:formatCode>
                <c:ptCount val="11"/>
                <c:pt idx="0" formatCode="0.00E+00">
                  <c:v>-5.0629043999999999</c:v>
                </c:pt>
                <c:pt idx="1">
                  <c:v>-4.5552409999999997</c:v>
                </c:pt>
                <c:pt idx="2">
                  <c:v>-4.0472448999999999</c:v>
                </c:pt>
                <c:pt idx="3">
                  <c:v>-3.5394363000000002</c:v>
                </c:pt>
                <c:pt idx="4">
                  <c:v>-3.0314754000000002</c:v>
                </c:pt>
                <c:pt idx="5">
                  <c:v>-2.5234760000000001</c:v>
                </c:pt>
                <c:pt idx="6">
                  <c:v>-2.0154435000000004</c:v>
                </c:pt>
                <c:pt idx="7">
                  <c:v>-1.5080908</c:v>
                </c:pt>
                <c:pt idx="8">
                  <c:v>-0.99995370000000006</c:v>
                </c:pt>
                <c:pt idx="9">
                  <c:v>-0.49264670000000005</c:v>
                </c:pt>
                <c:pt idx="10">
                  <c:v>1.57114E-2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7A-47B5-BFCC-49C1775DCE74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9.1846199637416456E-2"/>
                  <c:y val="0.448234393898254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Data!$W$12:$W$22</c:f>
              <c:numCache>
                <c:formatCode>General</c:formatCode>
                <c:ptCount val="11"/>
                <c:pt idx="0">
                  <c:v>84</c:v>
                </c:pt>
                <c:pt idx="1">
                  <c:v>2836</c:v>
                </c:pt>
                <c:pt idx="2">
                  <c:v>5606</c:v>
                </c:pt>
                <c:pt idx="3">
                  <c:v>8374</c:v>
                </c:pt>
                <c:pt idx="4">
                  <c:v>11140</c:v>
                </c:pt>
                <c:pt idx="5">
                  <c:v>13905</c:v>
                </c:pt>
                <c:pt idx="6">
                  <c:v>16669</c:v>
                </c:pt>
                <c:pt idx="7">
                  <c:v>19435</c:v>
                </c:pt>
                <c:pt idx="8">
                  <c:v>22205</c:v>
                </c:pt>
                <c:pt idx="9">
                  <c:v>24967</c:v>
                </c:pt>
                <c:pt idx="10">
                  <c:v>27683</c:v>
                </c:pt>
              </c:numCache>
            </c:numRef>
          </c:xVal>
          <c:yVal>
            <c:numRef>
              <c:f>Data!$V$12:$V$22</c:f>
              <c:numCache>
                <c:formatCode>General</c:formatCode>
                <c:ptCount val="11"/>
                <c:pt idx="0">
                  <c:v>1.57114E-2</c:v>
                </c:pt>
                <c:pt idx="1">
                  <c:v>0.52311779999999997</c:v>
                </c:pt>
                <c:pt idx="2">
                  <c:v>1.0310014000000001</c:v>
                </c:pt>
                <c:pt idx="3">
                  <c:v>1.5383498</c:v>
                </c:pt>
                <c:pt idx="4">
                  <c:v>2.0456755000000002</c:v>
                </c:pt>
                <c:pt idx="5">
                  <c:v>2.5531459999999999</c:v>
                </c:pt>
                <c:pt idx="6">
                  <c:v>3.0605404000000003</c:v>
                </c:pt>
                <c:pt idx="7">
                  <c:v>3.5680389999999997</c:v>
                </c:pt>
                <c:pt idx="8">
                  <c:v>4.0768699999999995</c:v>
                </c:pt>
                <c:pt idx="9">
                  <c:v>4.5848356999999993</c:v>
                </c:pt>
                <c:pt idx="10">
                  <c:v>5.0931443999999999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7A-47B5-BFCC-49C1775DC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Data!$AB$2:$AB$12</c:f>
              <c:numCache>
                <c:formatCode>General</c:formatCode>
                <c:ptCount val="11"/>
                <c:pt idx="0">
                  <c:v>-27597</c:v>
                </c:pt>
                <c:pt idx="1">
                  <c:v>-24876</c:v>
                </c:pt>
                <c:pt idx="2">
                  <c:v>-22108</c:v>
                </c:pt>
                <c:pt idx="3">
                  <c:v>-19336</c:v>
                </c:pt>
                <c:pt idx="4">
                  <c:v>-16560</c:v>
                </c:pt>
                <c:pt idx="5">
                  <c:v>-13785</c:v>
                </c:pt>
                <c:pt idx="6">
                  <c:v>-11010</c:v>
                </c:pt>
                <c:pt idx="7">
                  <c:v>-8239</c:v>
                </c:pt>
                <c:pt idx="8">
                  <c:v>-5465</c:v>
                </c:pt>
                <c:pt idx="9">
                  <c:v>-2697</c:v>
                </c:pt>
                <c:pt idx="10">
                  <c:v>84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E-49E4-A3FA-73C9768388B7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Data!$AB$12:$AB$22</c:f>
              <c:numCache>
                <c:formatCode>General</c:formatCode>
                <c:ptCount val="11"/>
                <c:pt idx="0">
                  <c:v>84</c:v>
                </c:pt>
                <c:pt idx="1">
                  <c:v>2838</c:v>
                </c:pt>
                <c:pt idx="2">
                  <c:v>5609</c:v>
                </c:pt>
                <c:pt idx="3">
                  <c:v>8378</c:v>
                </c:pt>
                <c:pt idx="4">
                  <c:v>11146</c:v>
                </c:pt>
                <c:pt idx="5">
                  <c:v>13912</c:v>
                </c:pt>
                <c:pt idx="6">
                  <c:v>16677</c:v>
                </c:pt>
                <c:pt idx="7">
                  <c:v>19444</c:v>
                </c:pt>
                <c:pt idx="8">
                  <c:v>22216</c:v>
                </c:pt>
                <c:pt idx="9">
                  <c:v>24977</c:v>
                </c:pt>
                <c:pt idx="10">
                  <c:v>27688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6E-49E4-A3FA-73C976838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</a:t>
                </a:r>
                <a:r>
                  <a:rPr lang="en-US" b="1"/>
                  <a:t>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Data!$AB$2:$AB$12</c:f>
              <c:numCache>
                <c:formatCode>General</c:formatCode>
                <c:ptCount val="11"/>
                <c:pt idx="0">
                  <c:v>-27597</c:v>
                </c:pt>
                <c:pt idx="1">
                  <c:v>-24876</c:v>
                </c:pt>
                <c:pt idx="2">
                  <c:v>-22108</c:v>
                </c:pt>
                <c:pt idx="3">
                  <c:v>-19336</c:v>
                </c:pt>
                <c:pt idx="4">
                  <c:v>-16560</c:v>
                </c:pt>
                <c:pt idx="5">
                  <c:v>-13785</c:v>
                </c:pt>
                <c:pt idx="6">
                  <c:v>-11010</c:v>
                </c:pt>
                <c:pt idx="7">
                  <c:v>-8239</c:v>
                </c:pt>
                <c:pt idx="8">
                  <c:v>-5465</c:v>
                </c:pt>
                <c:pt idx="9">
                  <c:v>-2697</c:v>
                </c:pt>
                <c:pt idx="10">
                  <c:v>84</c:v>
                </c:pt>
              </c:numCache>
            </c:numRef>
          </c:xVal>
          <c:yVal>
            <c:numRef>
              <c:f>Data!$AA$2:$AA$12</c:f>
              <c:numCache>
                <c:formatCode>General</c:formatCode>
                <c:ptCount val="11"/>
                <c:pt idx="0" formatCode="0.00E+00">
                  <c:v>-0.24529999999999999</c:v>
                </c:pt>
                <c:pt idx="1">
                  <c:v>-0.22070000000000001</c:v>
                </c:pt>
                <c:pt idx="2">
                  <c:v>-0.1961</c:v>
                </c:pt>
                <c:pt idx="3">
                  <c:v>-0.17144999999999999</c:v>
                </c:pt>
                <c:pt idx="4">
                  <c:v>-0.14688000000000001</c:v>
                </c:pt>
                <c:pt idx="5">
                  <c:v>-0.12227</c:v>
                </c:pt>
                <c:pt idx="6">
                  <c:v>-9.7650000000000001E-2</c:v>
                </c:pt>
                <c:pt idx="7">
                  <c:v>-7.307000000000001E-2</c:v>
                </c:pt>
                <c:pt idx="8">
                  <c:v>-4.845E-2</c:v>
                </c:pt>
                <c:pt idx="9">
                  <c:v>-2.3869999999999999E-2</c:v>
                </c:pt>
                <c:pt idx="10">
                  <c:v>7.6179999999999998E-4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0F-4B1C-BA56-6ADCE73D7196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Data!$AB$12:$AB$22</c:f>
              <c:numCache>
                <c:formatCode>General</c:formatCode>
                <c:ptCount val="11"/>
                <c:pt idx="0">
                  <c:v>84</c:v>
                </c:pt>
                <c:pt idx="1">
                  <c:v>2838</c:v>
                </c:pt>
                <c:pt idx="2">
                  <c:v>5609</c:v>
                </c:pt>
                <c:pt idx="3">
                  <c:v>8378</c:v>
                </c:pt>
                <c:pt idx="4">
                  <c:v>11146</c:v>
                </c:pt>
                <c:pt idx="5">
                  <c:v>13912</c:v>
                </c:pt>
                <c:pt idx="6">
                  <c:v>16677</c:v>
                </c:pt>
                <c:pt idx="7">
                  <c:v>19444</c:v>
                </c:pt>
                <c:pt idx="8">
                  <c:v>22216</c:v>
                </c:pt>
                <c:pt idx="9">
                  <c:v>24977</c:v>
                </c:pt>
                <c:pt idx="10">
                  <c:v>27688</c:v>
                </c:pt>
              </c:numCache>
            </c:numRef>
          </c:xVal>
          <c:yVal>
            <c:numRef>
              <c:f>Data!$AA$12:$AA$22</c:f>
              <c:numCache>
                <c:formatCode>General</c:formatCode>
                <c:ptCount val="11"/>
                <c:pt idx="0">
                  <c:v>7.6179999999999998E-4</c:v>
                </c:pt>
                <c:pt idx="1">
                  <c:v>2.5350000000000001E-2</c:v>
                </c:pt>
                <c:pt idx="2">
                  <c:v>4.9950000000000001E-2</c:v>
                </c:pt>
                <c:pt idx="3">
                  <c:v>7.4530000000000013E-2</c:v>
                </c:pt>
                <c:pt idx="4">
                  <c:v>9.912E-2</c:v>
                </c:pt>
                <c:pt idx="5">
                  <c:v>0.12370999999999999</c:v>
                </c:pt>
                <c:pt idx="6">
                  <c:v>0.14829999999999999</c:v>
                </c:pt>
                <c:pt idx="7">
                  <c:v>0.17289000000000002</c:v>
                </c:pt>
                <c:pt idx="8">
                  <c:v>0.19754000000000002</c:v>
                </c:pt>
                <c:pt idx="9">
                  <c:v>0.222</c:v>
                </c:pt>
                <c:pt idx="10">
                  <c:v>0.24659999999999999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0F-4B1C-BA56-6ADCE73D7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Data!$AG$2:$AG$12</c:f>
              <c:numCache>
                <c:formatCode>General</c:formatCode>
                <c:ptCount val="11"/>
                <c:pt idx="0">
                  <c:v>-27611</c:v>
                </c:pt>
                <c:pt idx="1">
                  <c:v>-24893</c:v>
                </c:pt>
                <c:pt idx="2">
                  <c:v>-22126</c:v>
                </c:pt>
                <c:pt idx="3">
                  <c:v>-19354</c:v>
                </c:pt>
                <c:pt idx="4">
                  <c:v>-16578</c:v>
                </c:pt>
                <c:pt idx="5">
                  <c:v>-13802</c:v>
                </c:pt>
                <c:pt idx="6">
                  <c:v>-11027</c:v>
                </c:pt>
                <c:pt idx="7">
                  <c:v>-8257</c:v>
                </c:pt>
                <c:pt idx="8">
                  <c:v>-5482</c:v>
                </c:pt>
                <c:pt idx="9">
                  <c:v>-2715</c:v>
                </c:pt>
                <c:pt idx="10">
                  <c:v>66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13-44A4-BDF8-FD475293B72E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Data!$AG$12:$AG$22</c:f>
              <c:numCache>
                <c:formatCode>General</c:formatCode>
                <c:ptCount val="11"/>
                <c:pt idx="0">
                  <c:v>66</c:v>
                </c:pt>
                <c:pt idx="1">
                  <c:v>2821</c:v>
                </c:pt>
                <c:pt idx="2">
                  <c:v>5592</c:v>
                </c:pt>
                <c:pt idx="3">
                  <c:v>8361</c:v>
                </c:pt>
                <c:pt idx="4">
                  <c:v>11128</c:v>
                </c:pt>
                <c:pt idx="5">
                  <c:v>13895</c:v>
                </c:pt>
                <c:pt idx="6">
                  <c:v>16660</c:v>
                </c:pt>
                <c:pt idx="7">
                  <c:v>19427</c:v>
                </c:pt>
                <c:pt idx="8">
                  <c:v>22199</c:v>
                </c:pt>
                <c:pt idx="9">
                  <c:v>24960</c:v>
                </c:pt>
                <c:pt idx="10">
                  <c:v>27671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13-44A4-BDF8-FD475293B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5423697822291041"/>
                  <c:y val="-0.192453206057531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Data!$AG$2:$AG$12</c:f>
              <c:numCache>
                <c:formatCode>General</c:formatCode>
                <c:ptCount val="11"/>
                <c:pt idx="0">
                  <c:v>-27611</c:v>
                </c:pt>
                <c:pt idx="1">
                  <c:v>-24893</c:v>
                </c:pt>
                <c:pt idx="2">
                  <c:v>-22126</c:v>
                </c:pt>
                <c:pt idx="3">
                  <c:v>-19354</c:v>
                </c:pt>
                <c:pt idx="4">
                  <c:v>-16578</c:v>
                </c:pt>
                <c:pt idx="5">
                  <c:v>-13802</c:v>
                </c:pt>
                <c:pt idx="6">
                  <c:v>-11027</c:v>
                </c:pt>
                <c:pt idx="7">
                  <c:v>-8257</c:v>
                </c:pt>
                <c:pt idx="8">
                  <c:v>-5482</c:v>
                </c:pt>
                <c:pt idx="9">
                  <c:v>-2715</c:v>
                </c:pt>
                <c:pt idx="10">
                  <c:v>66</c:v>
                </c:pt>
              </c:numCache>
            </c:numRef>
          </c:xVal>
          <c:yVal>
            <c:numRef>
              <c:f>Data!$AF$2:$AF$12</c:f>
              <c:numCache>
                <c:formatCode>General</c:formatCode>
                <c:ptCount val="11"/>
                <c:pt idx="0" formatCode="0.00E+00">
                  <c:v>-1.2683999999999999E-2</c:v>
                </c:pt>
                <c:pt idx="1">
                  <c:v>-1.1412E-2</c:v>
                </c:pt>
                <c:pt idx="2">
                  <c:v>-1.0141000000000001E-2</c:v>
                </c:pt>
                <c:pt idx="3">
                  <c:v>-8.8689999999999984E-3</c:v>
                </c:pt>
                <c:pt idx="4">
                  <c:v>-7.5970000000000005E-3</c:v>
                </c:pt>
                <c:pt idx="5">
                  <c:v>-6.326E-3</c:v>
                </c:pt>
                <c:pt idx="6">
                  <c:v>-5.0540000000000003E-3</c:v>
                </c:pt>
                <c:pt idx="7">
                  <c:v>-3.784E-3</c:v>
                </c:pt>
                <c:pt idx="8">
                  <c:v>-2.5119999999999999E-3</c:v>
                </c:pt>
                <c:pt idx="9">
                  <c:v>-1.2409000000000001E-3</c:v>
                </c:pt>
                <c:pt idx="10">
                  <c:v>3.137E-5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13-4C8A-A84C-FD1F739C1FA7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7.0960520812496597E-2"/>
                  <c:y val="0.5434705002534023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Data!$AG$12:$AG$22</c:f>
              <c:numCache>
                <c:formatCode>General</c:formatCode>
                <c:ptCount val="11"/>
                <c:pt idx="0">
                  <c:v>66</c:v>
                </c:pt>
                <c:pt idx="1">
                  <c:v>2821</c:v>
                </c:pt>
                <c:pt idx="2">
                  <c:v>5592</c:v>
                </c:pt>
                <c:pt idx="3">
                  <c:v>8361</c:v>
                </c:pt>
                <c:pt idx="4">
                  <c:v>11128</c:v>
                </c:pt>
                <c:pt idx="5">
                  <c:v>13895</c:v>
                </c:pt>
                <c:pt idx="6">
                  <c:v>16660</c:v>
                </c:pt>
                <c:pt idx="7">
                  <c:v>19427</c:v>
                </c:pt>
                <c:pt idx="8">
                  <c:v>22199</c:v>
                </c:pt>
                <c:pt idx="9">
                  <c:v>24960</c:v>
                </c:pt>
                <c:pt idx="10">
                  <c:v>27671</c:v>
                </c:pt>
              </c:numCache>
            </c:numRef>
          </c:xVal>
          <c:yVal>
            <c:numRef>
              <c:f>Data!$AF$12:$AF$22</c:f>
              <c:numCache>
                <c:formatCode>General</c:formatCode>
                <c:ptCount val="11"/>
                <c:pt idx="0">
                  <c:v>3.137E-5</c:v>
                </c:pt>
                <c:pt idx="1">
                  <c:v>1.3029000000000001E-3</c:v>
                </c:pt>
                <c:pt idx="2">
                  <c:v>2.5709999999999999E-3</c:v>
                </c:pt>
                <c:pt idx="3">
                  <c:v>3.8430000000000005E-3</c:v>
                </c:pt>
                <c:pt idx="4">
                  <c:v>5.1130000000000004E-3</c:v>
                </c:pt>
                <c:pt idx="5">
                  <c:v>6.3829999999999998E-3</c:v>
                </c:pt>
                <c:pt idx="6">
                  <c:v>7.6529999999999992E-3</c:v>
                </c:pt>
                <c:pt idx="7">
                  <c:v>8.9239999999999996E-3</c:v>
                </c:pt>
                <c:pt idx="8">
                  <c:v>1.0197999999999999E-2</c:v>
                </c:pt>
                <c:pt idx="9">
                  <c:v>1.1470000000000001E-2</c:v>
                </c:pt>
                <c:pt idx="10">
                  <c:v>1.2742E-2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13-4C8A-A84C-FD1F739C1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Data!$AL$2:$AL$12</c:f>
              <c:numCache>
                <c:formatCode>General</c:formatCode>
                <c:ptCount val="11"/>
                <c:pt idx="0">
                  <c:v>-30594</c:v>
                </c:pt>
                <c:pt idx="1">
                  <c:v>-26759</c:v>
                </c:pt>
                <c:pt idx="2">
                  <c:v>-22923</c:v>
                </c:pt>
                <c:pt idx="3">
                  <c:v>-19087</c:v>
                </c:pt>
                <c:pt idx="4">
                  <c:v>-15250</c:v>
                </c:pt>
                <c:pt idx="5">
                  <c:v>-11411</c:v>
                </c:pt>
                <c:pt idx="6">
                  <c:v>-7575</c:v>
                </c:pt>
                <c:pt idx="7">
                  <c:v>-3737</c:v>
                </c:pt>
                <c:pt idx="8">
                  <c:v>-1658</c:v>
                </c:pt>
                <c:pt idx="9">
                  <c:v>98</c:v>
                </c:pt>
                <c:pt idx="10">
                  <c:v>1856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E5-4E83-BCE9-1568ABA3FC56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Data!$AL$12:$AL$22</c:f>
              <c:numCache>
                <c:formatCode>General</c:formatCode>
                <c:ptCount val="11"/>
                <c:pt idx="0">
                  <c:v>1856</c:v>
                </c:pt>
                <c:pt idx="1">
                  <c:v>3935</c:v>
                </c:pt>
                <c:pt idx="2">
                  <c:v>7772</c:v>
                </c:pt>
                <c:pt idx="3">
                  <c:v>11610</c:v>
                </c:pt>
                <c:pt idx="4">
                  <c:v>15447</c:v>
                </c:pt>
                <c:pt idx="5">
                  <c:v>19287</c:v>
                </c:pt>
                <c:pt idx="6">
                  <c:v>23125</c:v>
                </c:pt>
                <c:pt idx="7">
                  <c:v>26962</c:v>
                </c:pt>
                <c:pt idx="8">
                  <c:v>30799</c:v>
                </c:pt>
                <c:pt idx="9">
                  <c:v>32767</c:v>
                </c:pt>
                <c:pt idx="10">
                  <c:v>21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E5-4E83-BCE9-1568ABA3F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Data!$AL$2:$AL$12</c:f>
              <c:numCache>
                <c:formatCode>General</c:formatCode>
                <c:ptCount val="11"/>
                <c:pt idx="0">
                  <c:v>-30594</c:v>
                </c:pt>
                <c:pt idx="1">
                  <c:v>-26759</c:v>
                </c:pt>
                <c:pt idx="2">
                  <c:v>-22923</c:v>
                </c:pt>
                <c:pt idx="3">
                  <c:v>-19087</c:v>
                </c:pt>
                <c:pt idx="4">
                  <c:v>-15250</c:v>
                </c:pt>
                <c:pt idx="5">
                  <c:v>-11411</c:v>
                </c:pt>
                <c:pt idx="6">
                  <c:v>-7575</c:v>
                </c:pt>
                <c:pt idx="7">
                  <c:v>-3737</c:v>
                </c:pt>
                <c:pt idx="8">
                  <c:v>-1658</c:v>
                </c:pt>
                <c:pt idx="9">
                  <c:v>98</c:v>
                </c:pt>
                <c:pt idx="10">
                  <c:v>1856</c:v>
                </c:pt>
              </c:numCache>
            </c:numRef>
          </c:xVal>
          <c:yVal>
            <c:numRef>
              <c:f>Data!$AK$2:$AK$12</c:f>
              <c:numCache>
                <c:formatCode>General</c:formatCode>
                <c:ptCount val="11"/>
                <c:pt idx="0" formatCode="0.00E+00">
                  <c:v>9.3433600000000006E-2</c:v>
                </c:pt>
                <c:pt idx="1">
                  <c:v>8.1765499999999991E-2</c:v>
                </c:pt>
                <c:pt idx="2">
                  <c:v>7.0148100000000005E-2</c:v>
                </c:pt>
                <c:pt idx="3">
                  <c:v>5.8409000000000003E-2</c:v>
                </c:pt>
                <c:pt idx="4">
                  <c:v>4.6690100000000005E-2</c:v>
                </c:pt>
                <c:pt idx="5">
                  <c:v>3.4796099999999996E-2</c:v>
                </c:pt>
                <c:pt idx="6">
                  <c:v>2.31407E-2</c:v>
                </c:pt>
                <c:pt idx="7">
                  <c:v>1.1437099999999999E-2</c:v>
                </c:pt>
                <c:pt idx="8">
                  <c:v>5.0485E-3</c:v>
                </c:pt>
                <c:pt idx="9">
                  <c:v>-3.503E-4</c:v>
                </c:pt>
                <c:pt idx="10">
                  <c:v>-5.6906000000000005E-3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5A-4503-9CA6-88DA0A2649E1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Data!$AL$12:$AL$22</c:f>
              <c:numCache>
                <c:formatCode>General</c:formatCode>
                <c:ptCount val="11"/>
                <c:pt idx="0">
                  <c:v>1856</c:v>
                </c:pt>
                <c:pt idx="1">
                  <c:v>3935</c:v>
                </c:pt>
                <c:pt idx="2">
                  <c:v>7772</c:v>
                </c:pt>
                <c:pt idx="3">
                  <c:v>11610</c:v>
                </c:pt>
                <c:pt idx="4">
                  <c:v>15447</c:v>
                </c:pt>
                <c:pt idx="5">
                  <c:v>19287</c:v>
                </c:pt>
                <c:pt idx="6">
                  <c:v>23125</c:v>
                </c:pt>
                <c:pt idx="7">
                  <c:v>26962</c:v>
                </c:pt>
                <c:pt idx="8">
                  <c:v>30799</c:v>
                </c:pt>
                <c:pt idx="9">
                  <c:v>32767</c:v>
                </c:pt>
                <c:pt idx="10">
                  <c:v>21</c:v>
                </c:pt>
              </c:numCache>
            </c:numRef>
          </c:xVal>
          <c:yVal>
            <c:numRef>
              <c:f>Data!$AK$12:$AK$22</c:f>
              <c:numCache>
                <c:formatCode>General</c:formatCode>
                <c:ptCount val="11"/>
                <c:pt idx="0">
                  <c:v>-5.6906000000000005E-3</c:v>
                </c:pt>
                <c:pt idx="1">
                  <c:v>-1.19752E-2</c:v>
                </c:pt>
                <c:pt idx="2">
                  <c:v>-2.3688999999999998E-2</c:v>
                </c:pt>
                <c:pt idx="3">
                  <c:v>-3.5478899999999994E-2</c:v>
                </c:pt>
                <c:pt idx="4">
                  <c:v>-4.71952E-2</c:v>
                </c:pt>
                <c:pt idx="5">
                  <c:v>-5.8949600000000005E-2</c:v>
                </c:pt>
                <c:pt idx="6">
                  <c:v>-7.0714200000000005E-2</c:v>
                </c:pt>
                <c:pt idx="7">
                  <c:v>-8.2397499999999999E-2</c:v>
                </c:pt>
                <c:pt idx="8">
                  <c:v>-9.4177299999999992E-2</c:v>
                </c:pt>
                <c:pt idx="9">
                  <c:v>-0.1058862</c:v>
                </c:pt>
                <c:pt idx="10">
                  <c:v>21000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5A-4503-9CA6-88DA0A264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Data!$AQ$2:$AQ$12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FA-4C2E-90E7-DA92258245F3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Data!$AQ$12:$AQ$22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FA-4C2E-90E7-DA9225824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Data!$AQ$2:$AQ$12</c:f>
              <c:numCache>
                <c:formatCode>General</c:formatCode>
                <c:ptCount val="11"/>
              </c:numCache>
            </c:numRef>
          </c:xVal>
          <c:yVal>
            <c:numRef>
              <c:f>Data!$AP$2:$AP$12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13-43EF-BDE0-D8DB7E495B2C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Data!$AQ$12:$AQ$22</c:f>
              <c:numCache>
                <c:formatCode>General</c:formatCode>
                <c:ptCount val="11"/>
              </c:numCache>
            </c:numRef>
          </c:xVal>
          <c:yVal>
            <c:numRef>
              <c:f>Data!$AP$12:$AP$22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13-43EF-BDE0-D8DB7E495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Data!$AV$2:$AV$12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C-45EB-AF68-3C2F88703278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Data!$AV$12:$AV$22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8C-45EB-AF68-3C2F88703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Data!$AV$2:$AV$12</c:f>
              <c:numCache>
                <c:formatCode>General</c:formatCode>
                <c:ptCount val="11"/>
              </c:numCache>
            </c:numRef>
          </c:xVal>
          <c:yVal>
            <c:numRef>
              <c:f>Data!$AU$2:$AU$12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30-4AB9-9221-6CBDFC6CCBD2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Data!$AV$12:$AV$22</c:f>
              <c:numCache>
                <c:formatCode>General</c:formatCode>
                <c:ptCount val="11"/>
              </c:numCache>
            </c:numRef>
          </c:xVal>
          <c:yVal>
            <c:numRef>
              <c:f>Data!$AU$12:$AU$22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30-4AB9-9221-6CBDFC6CC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Data!$BA$2:$BA$12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3-4A18-9E47-94358C838EC2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Data!$BA$12:$BA$22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83-4A18-9E47-94358C838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Data!$BA$2:$BA$12</c:f>
              <c:numCache>
                <c:formatCode>General</c:formatCode>
                <c:ptCount val="11"/>
              </c:numCache>
            </c:numRef>
          </c:xVal>
          <c:yVal>
            <c:numRef>
              <c:f>Data!$AZ$2:$AZ$12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90-4A65-B719-B8D1657882F6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Data!$BA$12:$BA$22</c:f>
              <c:numCache>
                <c:formatCode>General</c:formatCode>
                <c:ptCount val="11"/>
              </c:numCache>
            </c:numRef>
          </c:xVal>
          <c:yVal>
            <c:numRef>
              <c:f>Data!$AZ$12:$AZ$22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90-4A65-B719-B8D165788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6350</xdr:rowOff>
    </xdr:from>
    <xdr:to>
      <xdr:col>9</xdr:col>
      <xdr:colOff>6350</xdr:colOff>
      <xdr:row>14</xdr:row>
      <xdr:rowOff>6350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6350</xdr:colOff>
      <xdr:row>3</xdr:row>
      <xdr:rowOff>6350</xdr:rowOff>
    </xdr:from>
    <xdr:to>
      <xdr:col>18</xdr:col>
      <xdr:colOff>19050</xdr:colOff>
      <xdr:row>14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</xdr:row>
      <xdr:rowOff>0</xdr:rowOff>
    </xdr:from>
    <xdr:to>
      <xdr:col>8</xdr:col>
      <xdr:colOff>603250</xdr:colOff>
      <xdr:row>26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609600</xdr:colOff>
      <xdr:row>14</xdr:row>
      <xdr:rowOff>6350</xdr:rowOff>
    </xdr:from>
    <xdr:to>
      <xdr:col>18</xdr:col>
      <xdr:colOff>12700</xdr:colOff>
      <xdr:row>26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76200</xdr:rowOff>
        </xdr:from>
        <xdr:to>
          <xdr:col>6</xdr:col>
          <xdr:colOff>514350</xdr:colOff>
          <xdr:row>2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Voltage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0</xdr:row>
          <xdr:rowOff>66675</xdr:rowOff>
        </xdr:from>
        <xdr:to>
          <xdr:col>8</xdr:col>
          <xdr:colOff>514350</xdr:colOff>
          <xdr:row>2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95250</xdr:rowOff>
        </xdr:from>
        <xdr:to>
          <xdr:col>7</xdr:col>
          <xdr:colOff>228600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0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</xdr:colOff>
      <xdr:row>3</xdr:row>
      <xdr:rowOff>6350</xdr:rowOff>
    </xdr:from>
    <xdr:to>
      <xdr:col>9</xdr:col>
      <xdr:colOff>12700</xdr:colOff>
      <xdr:row>24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6350</xdr:rowOff>
    </xdr:from>
    <xdr:to>
      <xdr:col>17</xdr:col>
      <xdr:colOff>609600</xdr:colOff>
      <xdr:row>24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0</xdr:row>
          <xdr:rowOff>95250</xdr:rowOff>
        </xdr:from>
        <xdr:to>
          <xdr:col>9</xdr:col>
          <xdr:colOff>419100</xdr:colOff>
          <xdr:row>2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95250</xdr:rowOff>
        </xdr:from>
        <xdr:to>
          <xdr:col>7</xdr:col>
          <xdr:colOff>247650</xdr:colOff>
          <xdr:row>2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1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</xdr:colOff>
      <xdr:row>2</xdr:row>
      <xdr:rowOff>177800</xdr:rowOff>
    </xdr:from>
    <xdr:to>
      <xdr:col>9</xdr:col>
      <xdr:colOff>12700</xdr:colOff>
      <xdr:row>24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</xdr:colOff>
      <xdr:row>2</xdr:row>
      <xdr:rowOff>177800</xdr:rowOff>
    </xdr:from>
    <xdr:to>
      <xdr:col>18</xdr:col>
      <xdr:colOff>19050</xdr:colOff>
      <xdr:row>24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0</xdr:row>
          <xdr:rowOff>95250</xdr:rowOff>
        </xdr:from>
        <xdr:to>
          <xdr:col>9</xdr:col>
          <xdr:colOff>400050</xdr:colOff>
          <xdr:row>2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104775</xdr:rowOff>
        </xdr:from>
        <xdr:to>
          <xdr:col>7</xdr:col>
          <xdr:colOff>247650</xdr:colOff>
          <xdr:row>2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</xdr:row>
      <xdr:rowOff>6350</xdr:rowOff>
    </xdr:from>
    <xdr:to>
      <xdr:col>9</xdr:col>
      <xdr:colOff>19050</xdr:colOff>
      <xdr:row>24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92075</xdr:colOff>
      <xdr:row>3</xdr:row>
      <xdr:rowOff>15875</xdr:rowOff>
    </xdr:from>
    <xdr:to>
      <xdr:col>18</xdr:col>
      <xdr:colOff>73025</xdr:colOff>
      <xdr:row>24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95250</xdr:rowOff>
        </xdr:from>
        <xdr:to>
          <xdr:col>9</xdr:col>
          <xdr:colOff>400050</xdr:colOff>
          <xdr:row>2</xdr:row>
          <xdr:rowOff>85725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0</xdr:row>
          <xdr:rowOff>76200</xdr:rowOff>
        </xdr:from>
        <xdr:to>
          <xdr:col>7</xdr:col>
          <xdr:colOff>228600</xdr:colOff>
          <xdr:row>2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3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</xdr:row>
      <xdr:rowOff>6350</xdr:rowOff>
    </xdr:from>
    <xdr:to>
      <xdr:col>9</xdr:col>
      <xdr:colOff>6350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6350</xdr:colOff>
      <xdr:row>3</xdr:row>
      <xdr:rowOff>6350</xdr:rowOff>
    </xdr:from>
    <xdr:to>
      <xdr:col>17</xdr:col>
      <xdr:colOff>184150</xdr:colOff>
      <xdr:row>25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57150</xdr:rowOff>
        </xdr:from>
        <xdr:to>
          <xdr:col>9</xdr:col>
          <xdr:colOff>371475</xdr:colOff>
          <xdr:row>2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95250</xdr:rowOff>
        </xdr:from>
        <xdr:to>
          <xdr:col>9</xdr:col>
          <xdr:colOff>400050</xdr:colOff>
          <xdr:row>4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4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95250</xdr:rowOff>
        </xdr:from>
        <xdr:to>
          <xdr:col>9</xdr:col>
          <xdr:colOff>400050</xdr:colOff>
          <xdr:row>7</xdr:row>
          <xdr:rowOff>76200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95250</xdr:rowOff>
        </xdr:from>
        <xdr:to>
          <xdr:col>9</xdr:col>
          <xdr:colOff>400050</xdr:colOff>
          <xdr:row>4</xdr:row>
          <xdr:rowOff>76200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5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95250</xdr:rowOff>
        </xdr:from>
        <xdr:to>
          <xdr:col>9</xdr:col>
          <xdr:colOff>400050</xdr:colOff>
          <xdr:row>7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95250</xdr:rowOff>
        </xdr:from>
        <xdr:to>
          <xdr:col>9</xdr:col>
          <xdr:colOff>400050</xdr:colOff>
          <xdr:row>4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6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95250</xdr:rowOff>
        </xdr:from>
        <xdr:to>
          <xdr:col>9</xdr:col>
          <xdr:colOff>400050</xdr:colOff>
          <xdr:row>7</xdr:row>
          <xdr:rowOff>76200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95250</xdr:rowOff>
        </xdr:from>
        <xdr:to>
          <xdr:col>9</xdr:col>
          <xdr:colOff>400050</xdr:colOff>
          <xdr:row>4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7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95250</xdr:rowOff>
        </xdr:from>
        <xdr:to>
          <xdr:col>9</xdr:col>
          <xdr:colOff>400050</xdr:colOff>
          <xdr:row>7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95250</xdr:rowOff>
        </xdr:from>
        <xdr:to>
          <xdr:col>1</xdr:col>
          <xdr:colOff>704850</xdr:colOff>
          <xdr:row>4</xdr:row>
          <xdr:rowOff>76200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</xdr:row>
          <xdr:rowOff>95250</xdr:rowOff>
        </xdr:from>
        <xdr:to>
          <xdr:col>7</xdr:col>
          <xdr:colOff>476250</xdr:colOff>
          <xdr:row>4</xdr:row>
          <xdr:rowOff>85725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Calibration Response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2</xdr:row>
          <xdr:rowOff>95250</xdr:rowOff>
        </xdr:from>
        <xdr:to>
          <xdr:col>3</xdr:col>
          <xdr:colOff>438150</xdr:colOff>
          <xdr:row>4</xdr:row>
          <xdr:rowOff>85725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Cal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2</xdr:row>
          <xdr:rowOff>104775</xdr:rowOff>
        </xdr:from>
        <xdr:to>
          <xdr:col>1</xdr:col>
          <xdr:colOff>2847975</xdr:colOff>
          <xdr:row>4</xdr:row>
          <xdr:rowOff>95250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C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SAVE_HW_DATA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2</xdr:row>
          <xdr:rowOff>114300</xdr:rowOff>
        </xdr:from>
        <xdr:to>
          <xdr:col>6</xdr:col>
          <xdr:colOff>428625</xdr:colOff>
          <xdr:row>4</xdr:row>
          <xdr:rowOff>95250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C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SEND_HW_DATA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growShrinkType="overwriteClear" connectionId="326" xr16:uid="{32A42B36-D924-49C3-8CA3-0D9FE983435E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growShrinkType="overwriteClear" connectionId="325" xr16:uid="{1C7F9715-6E5E-447F-9B43-808133B40B2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growShrinkType="overwriteClear" connectionId="323" xr16:uid="{95B78B14-A961-40CE-8DE6-32215421242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growShrinkType="overwriteClear" connectionId="322" xr16:uid="{D869F3A6-EA7C-403D-85D3-BB3AC0562145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growShrinkType="overwriteClear" connectionId="321" xr16:uid="{1DB3D2B5-F71A-4815-9C7A-0DA40EB69B67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growShrinkType="overwriteClear" connectionId="320" xr16:uid="{297AC596-CDA8-4F7A-A05F-120DA1F1BA62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growShrinkType="overwriteClear" connectionId="319" xr16:uid="{AB025015-D801-4C9A-8572-B03014101114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340" xr16:uid="{00000000-0016-0000-0200-000076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growShrinkType="overwriteClear" connectionId="417" xr16:uid="{00000000-0016-0000-0200-000075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338" xr16:uid="{00000000-0016-0000-0200-000074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342" xr16:uid="{00000000-0016-0000-0200-000073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371" xr16:uid="{00000000-0016-0000-0200-000072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346" xr16:uid="{00000000-0016-0000-0200-000071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366" xr16:uid="{00000000-0016-0000-0200-000070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362" xr16:uid="{00000000-0016-0000-0200-00006F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growShrinkType="overwriteClear" connectionId="419" xr16:uid="{00000000-0016-0000-0200-00006E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growShrinkType="overwriteClear" connectionId="412" xr16:uid="{00000000-0016-0000-0200-00006D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growShrinkType="overwriteClear" connectionId="406" xr16:uid="{00000000-0016-0000-0200-00006C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381" xr16:uid="{00000000-0016-0000-0200-00006B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growShrinkType="overwriteClear" connectionId="418" xr16:uid="{00000000-0016-0000-0200-00006A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growShrinkType="overwriteClear" connectionId="304" xr16:uid="{00000000-0016-0000-0200-000069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360" xr16:uid="{00000000-0016-0000-0200-000068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growShrinkType="overwriteClear" connectionId="311" xr16:uid="{00000000-0016-0000-0200-000067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374" xr16:uid="{00000000-0016-0000-0200-000066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363" xr16:uid="{00000000-0016-0000-0200-000065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336" xr16:uid="{00000000-0016-0000-0200-000064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growShrinkType="overwriteClear" connectionId="289" xr16:uid="{00000000-0016-0000-0200-000063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300" xr16:uid="{00000000-0016-0000-0200-000062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growShrinkType="overwriteClear" connectionId="420" xr16:uid="{00000000-0016-0000-0200-000061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352" xr16:uid="{00000000-0016-0000-0200-000060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growShrinkType="overwriteClear" connectionId="402" xr16:uid="{00000000-0016-0000-0200-00005F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growShrinkType="overwriteClear" connectionId="394" xr16:uid="{00000000-0016-0000-0200-00005E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375" xr16:uid="{00000000-0016-0000-0200-00005D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growShrinkType="overwriteClear" connectionId="305" xr16:uid="{00000000-0016-0000-0200-00005C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355" xr16:uid="{00000000-0016-0000-0200-00005B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345" xr16:uid="{00000000-0016-0000-0200-00005A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growShrinkType="overwriteClear" connectionId="416" xr16:uid="{00000000-0016-0000-0200-000059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335" xr16:uid="{00000000-0016-0000-0200-000058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growShrinkType="overwriteClear" connectionId="316" xr16:uid="{00000000-0016-0000-0200-000057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356" xr16:uid="{00000000-0016-0000-0200-000056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growShrinkType="overwriteClear" connectionId="393" xr16:uid="{00000000-0016-0000-0200-000055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growShrinkType="overwriteClear" connectionId="392" xr16:uid="{00000000-0016-0000-0200-000054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341" xr16:uid="{00000000-0016-0000-0200-000053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growShrinkType="overwriteClear" connectionId="310" xr16:uid="{00000000-0016-0000-0200-000052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344" xr16:uid="{00000000-0016-0000-0200-000051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growShrinkType="overwriteClear" connectionId="388" xr16:uid="{00000000-0016-0000-0200-000050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343" xr16:uid="{00000000-0016-0000-0200-00004F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growShrinkType="overwriteClear" connectionId="421" xr16:uid="{00000000-0016-0000-0200-00004E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302" xr16:uid="{00000000-0016-0000-0200-00004D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373" xr16:uid="{00000000-0016-0000-0200-00004C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99" xr16:uid="{00000000-0016-0000-0200-00004B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324" xr16:uid="{00000000-0016-0000-0200-00004A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growShrinkType="overwriteClear" connectionId="315" xr16:uid="{00000000-0016-0000-0200-000049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351" xr16:uid="{00000000-0016-0000-0200-000048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313" xr16:uid="{00000000-0016-0000-0200-000047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348" xr16:uid="{00000000-0016-0000-0200-000046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growShrinkType="overwriteClear" connectionId="312" xr16:uid="{00000000-0016-0000-0200-000045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growShrinkType="overwriteClear" connectionId="387" xr16:uid="{00000000-0016-0000-0200-000044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372" xr16:uid="{00000000-0016-0000-0200-000043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357" xr16:uid="{00000000-0016-0000-0200-000042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411" xr16:uid="{00000000-0016-0000-0200-000041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359" xr16:uid="{00000000-0016-0000-0200-000040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growShrinkType="overwriteClear" connectionId="318" xr16:uid="{00000000-0016-0000-0200-00003F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347" xr16:uid="{00000000-0016-0000-0200-00003E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growShrinkType="overwriteClear" connectionId="413" xr16:uid="{00000000-0016-0000-0200-00003D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330" xr16:uid="{00000000-0016-0000-0200-00003C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354" xr16:uid="{00000000-0016-0000-0200-00003B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367" xr16:uid="{00000000-0016-0000-0200-00003A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329" xr16:uid="{00000000-0016-0000-0200-000039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327" xr16:uid="{00000000-0016-0000-0200-000038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growShrinkType="overwriteClear" connectionId="395" xr16:uid="{00000000-0016-0000-0200-000037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370" xr16:uid="{00000000-0016-0000-0200-000036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376" xr16:uid="{00000000-0016-0000-0200-000035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growShrinkType="overwriteClear" connectionId="408" xr16:uid="{00000000-0016-0000-0200-000034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400" xr16:uid="{00000000-0016-0000-0200-000033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growShrinkType="overwriteClear" connectionId="403" xr16:uid="{00000000-0016-0000-0200-000032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growShrinkType="overwriteClear" connectionId="407" xr16:uid="{00000000-0016-0000-0200-000031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301" xr16:uid="{00000000-0016-0000-0200-000030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422" xr16:uid="{00000000-0016-0000-0200-00002F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369" xr16:uid="{00000000-0016-0000-0200-00002E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growShrinkType="overwriteClear" connectionId="398" xr16:uid="{00000000-0016-0000-0200-00002D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growShrinkType="overwriteClear" connectionId="383" xr16:uid="{00000000-0016-0000-0200-00002C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353" xr16:uid="{00000000-0016-0000-0200-00002B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349" xr16:uid="{00000000-0016-0000-0200-00002A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339" xr16:uid="{00000000-0016-0000-0200-000029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368" xr16:uid="{00000000-0016-0000-0200-000028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growShrinkType="overwriteClear" connectionId="307" xr16:uid="{00000000-0016-0000-0200-000027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growShrinkType="overwriteClear" connectionId="405" xr16:uid="{00000000-0016-0000-0200-000026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328" xr16:uid="{00000000-0016-0000-0200-000025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378" xr16:uid="{00000000-0016-0000-0200-000024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growShrinkType="overwriteClear" connectionId="380" xr16:uid="{00000000-0016-0000-0200-000023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growShrinkType="overwriteClear" connectionId="396" xr16:uid="{00000000-0016-0000-0200-000022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growShrinkType="overwriteClear" connectionId="386" xr16:uid="{00000000-0016-0000-0200-000021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growShrinkType="overwriteClear" connectionId="317" xr16:uid="{00000000-0016-0000-0200-000020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growShrinkType="overwriteClear" connectionId="415" xr16:uid="{00000000-0016-0000-0200-00001F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364" xr16:uid="{00000000-0016-0000-0200-00001E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growShrinkType="overwriteClear" connectionId="377" xr16:uid="{00000000-0016-0000-0200-00001D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growShrinkType="overwriteClear" connectionId="397" xr16:uid="{00000000-0016-0000-0200-00001C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growShrinkType="overwriteClear" connectionId="384" xr16:uid="{00000000-0016-0000-0200-00001B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37" xr16:uid="{00000000-0016-0000-0200-00001A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growShrinkType="overwriteClear" connectionId="414" xr16:uid="{00000000-0016-0000-0200-000019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growShrinkType="overwriteClear" connectionId="410" xr16:uid="{00000000-0016-0000-0200-000018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growShrinkType="overwriteClear" connectionId="308" xr16:uid="{00000000-0016-0000-0200-000017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389" xr16:uid="{00000000-0016-0000-0200-000016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growShrinkType="overwriteClear" connectionId="309" xr16:uid="{00000000-0016-0000-0200-000015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350" xr16:uid="{00000000-0016-0000-0200-000014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growShrinkType="overwriteClear" connectionId="382" xr16:uid="{00000000-0016-0000-0200-000013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growShrinkType="overwriteClear" connectionId="404" xr16:uid="{00000000-0016-0000-0200-000012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growShrinkType="overwriteClear" connectionId="399" xr16:uid="{00000000-0016-0000-0200-000011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growShrinkType="overwriteClear" connectionId="390" xr16:uid="{00000000-0016-0000-0200-000010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growShrinkType="overwriteClear" connectionId="391" xr16:uid="{00000000-0016-0000-0200-00000F00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365" xr16:uid="{00000000-0016-0000-0200-00000E00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337" xr16:uid="{00000000-0016-0000-0200-00000D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361" xr16:uid="{00000000-0016-0000-0200-00000C00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334" xr16:uid="{00000000-0016-0000-0200-00000B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growShrinkType="overwriteClear" connectionId="379" xr16:uid="{00000000-0016-0000-0200-00000A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growShrinkType="overwriteClear" connectionId="306" xr16:uid="{00000000-0016-0000-0200-000009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331" xr16:uid="{00000000-0016-0000-0200-00000800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growShrinkType="overwriteClear" connectionId="401" xr16:uid="{00000000-0016-0000-0200-00000700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growShrinkType="overwriteClear" connectionId="303" xr16:uid="{00000000-0016-0000-0200-000006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growShrinkType="overwriteClear" connectionId="385" xr16:uid="{00000000-0016-0000-0200-000005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333" xr16:uid="{00000000-0016-0000-0200-000004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growShrinkType="overwriteClear" connectionId="314" xr16:uid="{00000000-0016-0000-0200-000003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358" xr16:uid="{00000000-0016-0000-0200-000002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growShrinkType="overwriteClear" connectionId="409" xr16:uid="{00000000-0016-0000-0200-000001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332" xr16:uid="{00000000-0016-0000-0200-00000000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growShrinkType="overwriteClear" connectionId="109" xr16:uid="{A51DCC22-93D8-4EB0-A89D-07DE40B3DC3D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growShrinkType="overwriteClear" connectionId="108" xr16:uid="{28669725-B8A1-47E2-AACB-D2FB01D2B022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growShrinkType="overwriteClear" connectionId="107" xr16:uid="{05B1C906-C62A-45C9-900D-B7A2161D8C4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growShrinkType="overwriteClear" connectionId="106" xr16:uid="{327637FD-312A-4894-83DB-00742EE46AE9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84" xr16:uid="{00000000-0016-0000-0300-0000C1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100" xr16:uid="{00000000-0016-0000-0300-0000C0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86" xr16:uid="{00000000-0016-0000-0300-0000BF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95" xr16:uid="{00000000-0016-0000-0300-0000BE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82" xr16:uid="{00000000-0016-0000-0300-0000BD00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43" xr16:uid="{00000000-0016-0000-0300-0000BC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42" xr16:uid="{00000000-0016-0000-0300-0000BB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54" xr16:uid="{00000000-0016-0000-0300-0000BA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growShrinkType="overwriteClear" connectionId="105" xr16:uid="{00000000-0016-0000-0300-0000B9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80" xr16:uid="{00000000-0016-0000-0300-0000B800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98" xr16:uid="{00000000-0016-0000-0300-0000B7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55" xr16:uid="{00000000-0016-0000-0300-0000B6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38" xr16:uid="{00000000-0016-0000-0300-0000B500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96" xr16:uid="{00000000-0016-0000-0300-0000B400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93" xr16:uid="{00000000-0016-0000-0300-0000B3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91" xr16:uid="{00000000-0016-0000-0300-0000B200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78" xr16:uid="{00000000-0016-0000-0300-0000B100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68" xr16:uid="{00000000-0016-0000-0300-0000B0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49" xr16:uid="{00000000-0016-0000-0300-0000AF00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75" xr16:uid="{00000000-0016-0000-0300-0000AE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111" xr16:uid="{00000000-0016-0000-0300-0000AD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70" xr16:uid="{00000000-0016-0000-0300-0000AC00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72" xr16:uid="{00000000-0016-0000-0300-0000AB00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35" xr16:uid="{00000000-0016-0000-0300-0000AA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44" xr16:uid="{00000000-0016-0000-0300-0000A900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56" xr16:uid="{00000000-0016-0000-0300-0000A800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growShrinkType="overwriteClear" connectionId="103" xr16:uid="{00000000-0016-0000-0300-0000A700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81" xr16:uid="{00000000-0016-0000-0300-0000A600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79" xr16:uid="{00000000-0016-0000-0300-0000A500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57" xr16:uid="{00000000-0016-0000-0300-0000A400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59" xr16:uid="{00000000-0016-0000-0300-0000A300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88" xr16:uid="{00000000-0016-0000-0300-0000A200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53" xr16:uid="{00000000-0016-0000-0300-0000A100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40" xr16:uid="{00000000-0016-0000-0300-0000A000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97" xr16:uid="{00000000-0016-0000-0300-00009F00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50" xr16:uid="{00000000-0016-0000-0300-00009E00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32" xr16:uid="{00000000-0016-0000-0300-00009D00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74" xr16:uid="{00000000-0016-0000-0300-00009C00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growShrinkType="overwriteClear" connectionId="102" xr16:uid="{00000000-0016-0000-0300-00009B00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64" xr16:uid="{00000000-0016-0000-0300-00009A00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65" xr16:uid="{00000000-0016-0000-0300-00009900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52" xr16:uid="{00000000-0016-0000-0300-00009800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41" xr16:uid="{00000000-0016-0000-0300-00009700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83" xr16:uid="{00000000-0016-0000-0300-00009600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58" xr16:uid="{00000000-0016-0000-0300-00009500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66" xr16:uid="{00000000-0016-0000-0300-00009400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39" xr16:uid="{00000000-0016-0000-0300-00009300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growShrinkType="overwriteClear" connectionId="101" xr16:uid="{00000000-0016-0000-0300-00009200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90" xr16:uid="{00000000-0016-0000-0300-00009100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63" xr16:uid="{00000000-0016-0000-0300-00009000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36" xr16:uid="{00000000-0016-0000-0300-00008F00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46" xr16:uid="{00000000-0016-0000-0300-00008E00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89" xr16:uid="{00000000-0016-0000-0300-00008D00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92" xr16:uid="{00000000-0016-0000-0300-00008C00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47" xr16:uid="{00000000-0016-0000-0300-00008B00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77" xr16:uid="{00000000-0016-0000-0300-00008A00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94" xr16:uid="{00000000-0016-0000-0300-00008900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110" xr16:uid="{00000000-0016-0000-0300-00008800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73" xr16:uid="{00000000-0016-0000-0300-00008700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62" xr16:uid="{00000000-0016-0000-0300-00008600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60" xr16:uid="{00000000-0016-0000-0300-00008500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45" xr16:uid="{00000000-0016-0000-0300-00008400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76" xr16:uid="{00000000-0016-0000-0300-00008300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growShrinkType="overwriteClear" connectionId="104" xr16:uid="{00000000-0016-0000-0300-00008200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51" xr16:uid="{00000000-0016-0000-0300-00008100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69" xr16:uid="{00000000-0016-0000-0300-00008000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34" xr16:uid="{00000000-0016-0000-0300-00007F00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67" xr16:uid="{00000000-0016-0000-0300-00007E00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33" xr16:uid="{00000000-0016-0000-0300-00007D00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85" xr16:uid="{00000000-0016-0000-0300-00007C00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48" xr16:uid="{00000000-0016-0000-0300-00007B00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31" xr16:uid="{00000000-0016-0000-0300-00007A00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87" xr16:uid="{00000000-0016-0000-0300-00007900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61" xr16:uid="{00000000-0016-0000-0300-00007800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71" xr16:uid="{00000000-0016-0000-0300-00007700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160" xr16:uid="{BDD7759C-DDED-4ABF-87DE-A3B282947439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159" xr16:uid="{2DA1E768-A268-40EC-96C7-64C5CB13BE72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157" xr16:uid="{8837E3EC-4D25-4A53-8E8E-5D609EB52F19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156" xr16:uid="{92DE8870-1A43-42AF-A47F-AC5D5FF0D409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133" xr16:uid="{00000000-0016-0000-0400-0000F200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152" xr16:uid="{00000000-0016-0000-0400-0000F100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127" xr16:uid="{00000000-0016-0000-0400-0000F000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142" xr16:uid="{00000000-0016-0000-0400-0000EF00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137" xr16:uid="{00000000-0016-0000-0400-0000EE00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162" xr16:uid="{00000000-0016-0000-0400-0000ED00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151" xr16:uid="{00000000-0016-0000-0400-0000EC00000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138" xr16:uid="{00000000-0016-0000-0400-0000EB00000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128" xr16:uid="{00000000-0016-0000-0400-0000EA00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148" xr16:uid="{00000000-0016-0000-0400-0000E900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163" xr16:uid="{00000000-0016-0000-0400-0000E8000000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130" xr16:uid="{00000000-0016-0000-0400-0000E700000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140" xr16:uid="{00000000-0016-0000-0400-0000E600000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122" xr16:uid="{00000000-0016-0000-0400-0000E500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12" xr16:uid="{00000000-0016-0000-0400-0000E400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121" xr16:uid="{00000000-0016-0000-0400-0000E300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131" xr16:uid="{00000000-0016-0000-0400-0000E200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146" xr16:uid="{00000000-0016-0000-0400-0000E100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123" xr16:uid="{00000000-0016-0000-0400-0000E000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125" xr16:uid="{00000000-0016-0000-0400-0000DF00000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155" xr16:uid="{00000000-0016-0000-0400-0000DE000000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114" xr16:uid="{00000000-0016-0000-0400-0000DD000000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149" xr16:uid="{00000000-0016-0000-0400-0000DC00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164" xr16:uid="{00000000-0016-0000-0400-0000DB00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135" xr16:uid="{00000000-0016-0000-0400-0000DA00000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115" xr16:uid="{00000000-0016-0000-0400-0000D900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147" xr16:uid="{00000000-0016-0000-0400-0000D80000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158" xr16:uid="{00000000-0016-0000-0400-0000D700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154" xr16:uid="{00000000-0016-0000-0400-0000D600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24" xr16:uid="{00000000-0016-0000-0400-0000D500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145" xr16:uid="{00000000-0016-0000-0400-0000D400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117" xr16:uid="{00000000-0016-0000-0400-0000D300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118" xr16:uid="{00000000-0016-0000-0400-0000D200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139" xr16:uid="{00000000-0016-0000-0400-0000D100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134" xr16:uid="{00000000-0016-0000-0400-0000D000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120" xr16:uid="{00000000-0016-0000-0400-0000CF00000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13" xr16:uid="{00000000-0016-0000-0400-0000CE00000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119" xr16:uid="{00000000-0016-0000-0400-0000CD00000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143" xr16:uid="{00000000-0016-0000-0400-0000CC00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153" xr16:uid="{00000000-0016-0000-0400-0000CB00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129" xr16:uid="{00000000-0016-0000-0400-0000CA00000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132" xr16:uid="{00000000-0016-0000-0400-0000C900000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116" xr16:uid="{00000000-0016-0000-0400-0000C80000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150" xr16:uid="{00000000-0016-0000-0400-0000C70000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144" xr16:uid="{00000000-0016-0000-0400-0000C600000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126" xr16:uid="{00000000-0016-0000-0400-0000C500000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161" xr16:uid="{00000000-0016-0000-0400-0000C400000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141" xr16:uid="{00000000-0016-0000-0400-0000C300000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136" xr16:uid="{00000000-0016-0000-0400-0000C200000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218" xr16:uid="{05D1E9EB-970C-4BE9-8AF6-B8EF1C0F14FA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217" xr16:uid="{BCD97A6B-3F06-4B90-BDBA-DE9601131DC4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216" xr16:uid="{22A56B69-36AD-41D0-99CE-0B58BE74B93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215" xr16:uid="{D3523A3A-0160-4B93-91B3-47FAADD283BE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214" xr16:uid="{6659B25C-D010-45E0-933F-59603036A73F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186" xr16:uid="{00000000-0016-0000-0500-00002801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75" xr16:uid="{00000000-0016-0000-0500-00002701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206" xr16:uid="{00000000-0016-0000-0500-00002601000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210" xr16:uid="{00000000-0016-0000-0500-00002501000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184" xr16:uid="{00000000-0016-0000-0500-000024010000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207" xr16:uid="{00000000-0016-0000-0500-0000230100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188" xr16:uid="{00000000-0016-0000-0500-00002201000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208" xr16:uid="{00000000-0016-0000-0500-000021010000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195" xr16:uid="{00000000-0016-0000-0500-00002001000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182" xr16:uid="{00000000-0016-0000-0500-00001F01000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178" xr16:uid="{00000000-0016-0000-0500-00001E01000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203" xr16:uid="{00000000-0016-0000-0500-00001D0100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193" xr16:uid="{00000000-0016-0000-0500-00001C01000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183" xr16:uid="{00000000-0016-0000-0500-00001B01000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173" xr16:uid="{00000000-0016-0000-0500-00001A01000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209" xr16:uid="{00000000-0016-0000-0500-000019010000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187" xr16:uid="{00000000-0016-0000-0500-000018010000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253" xr16:uid="{00000000-0016-0000-0500-000017010000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185" xr16:uid="{00000000-0016-0000-0500-00001601000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177" xr16:uid="{00000000-0016-0000-0500-00001501000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219" xr16:uid="{00000000-0016-0000-0500-000014010000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199" xr16:uid="{00000000-0016-0000-0500-000013010000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200" xr16:uid="{00000000-0016-0000-0500-00001201000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80" xr16:uid="{00000000-0016-0000-0500-00001101000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176" xr16:uid="{00000000-0016-0000-0500-000010010000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196" xr16:uid="{00000000-0016-0000-0500-00000F01000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169" xr16:uid="{00000000-0016-0000-0500-00000E01000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172" xr16:uid="{00000000-0016-0000-0500-00000D010000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198" xr16:uid="{00000000-0016-0000-0500-00000C010000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167" xr16:uid="{00000000-0016-0000-0500-00000B01000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190" xr16:uid="{00000000-0016-0000-0500-00000A01000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220" xr16:uid="{00000000-0016-0000-0500-00000901000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65" xr16:uid="{00000000-0016-0000-0500-000008010000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168" xr16:uid="{00000000-0016-0000-0500-000007010000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205" xr16:uid="{00000000-0016-0000-0500-00000601000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221" xr16:uid="{00000000-0016-0000-0500-00000501000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213" xr16:uid="{00000000-0016-0000-0500-000004010000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170" xr16:uid="{00000000-0016-0000-0500-00000301000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222" xr16:uid="{00000000-0016-0000-0500-00000201000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201" xr16:uid="{00000000-0016-0000-0500-00000101000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202" xr16:uid="{00000000-0016-0000-0500-000000010000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191" xr16:uid="{00000000-0016-0000-0500-0000FF000000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197" xr16:uid="{00000000-0016-0000-0500-0000FE00000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181" xr16:uid="{00000000-0016-0000-0500-0000FD00000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179" xr16:uid="{00000000-0016-0000-0500-0000FC000000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211" xr16:uid="{00000000-0016-0000-0500-0000FB000000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245" xr16:uid="{00000000-0016-0000-0500-0000FA00000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192" xr16:uid="{00000000-0016-0000-0500-0000F9000000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166" xr16:uid="{00000000-0016-0000-0500-0000F800000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194" xr16:uid="{00000000-0016-0000-0500-0000F7000000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174" xr16:uid="{00000000-0016-0000-0500-0000F600000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171" xr16:uid="{00000000-0016-0000-0500-0000F500000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189" xr16:uid="{00000000-0016-0000-0500-0000F4000000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204" xr16:uid="{00000000-0016-0000-0500-0000F3000000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growShrinkType="overwriteClear" connectionId="294" xr16:uid="{A99F69EE-D396-4920-81A8-8C47F5BA4FBE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growShrinkType="overwriteClear" connectionId="293" xr16:uid="{AEBCCA30-1EDD-4A04-927F-CACBA4DADFF9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growShrinkType="overwriteClear" connectionId="292" xr16:uid="{016B3A91-20D3-4489-9FE6-0C12051D8D94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290" xr16:uid="{C8052503-C50F-4348-9B00-A3324DF04675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231" xr16:uid="{00000000-0016-0000-0600-00006D01000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241" xr16:uid="{00000000-0016-0000-0600-00006C010000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230" xr16:uid="{00000000-0016-0000-0600-00006B010000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247" xr16:uid="{00000000-0016-0000-0600-00006A010000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249" xr16:uid="{00000000-0016-0000-0600-000069010000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256" xr16:uid="{00000000-0016-0000-0600-00006801000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281" xr16:uid="{00000000-0016-0000-0600-000067010000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232" xr16:uid="{00000000-0016-0000-0600-000066010000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224" xr16:uid="{00000000-0016-0000-0600-000065010000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236" xr16:uid="{00000000-0016-0000-0600-00006401000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255" xr16:uid="{00000000-0016-0000-0600-000063010000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233" xr16:uid="{00000000-0016-0000-0600-00006201000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287" xr16:uid="{00000000-0016-0000-0600-000061010000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283" xr16:uid="{00000000-0016-0000-0600-000060010000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272" xr16:uid="{00000000-0016-0000-0600-00005F010000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259" xr16:uid="{00000000-0016-0000-0600-00005E010000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262" xr16:uid="{00000000-0016-0000-0600-00005D010000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273" xr16:uid="{00000000-0016-0000-0600-00005C010000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250" xr16:uid="{00000000-0016-0000-0600-00005B010000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223" xr16:uid="{00000000-0016-0000-0600-00005A010000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254" xr16:uid="{00000000-0016-0000-0600-000059010000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263" xr16:uid="{00000000-0016-0000-0600-000058010000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275" xr16:uid="{00000000-0016-0000-0600-000057010000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277" xr16:uid="{00000000-0016-0000-0600-000056010000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228" xr16:uid="{00000000-0016-0000-0600-000055010000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276" xr16:uid="{00000000-0016-0000-0600-000054010000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227" xr16:uid="{00000000-0016-0000-0600-000053010000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267" xr16:uid="{00000000-0016-0000-0600-000052010000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285" xr16:uid="{00000000-0016-0000-0600-000051010000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248" xr16:uid="{00000000-0016-0000-0600-000050010000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264" xr16:uid="{00000000-0016-0000-0600-00004F010000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242" xr16:uid="{00000000-0016-0000-0600-00004E010000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274" xr16:uid="{00000000-0016-0000-0600-00004D010000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239" xr16:uid="{00000000-0016-0000-0600-00004C010000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234" xr16:uid="{00000000-0016-0000-0600-00004B010000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266" xr16:uid="{00000000-0016-0000-0600-00004A010000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235" xr16:uid="{00000000-0016-0000-0600-000049010000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244" xr16:uid="{00000000-0016-0000-0600-000048010000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246" xr16:uid="{00000000-0016-0000-0600-000047010000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260" xr16:uid="{00000000-0016-0000-0600-000046010000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282" xr16:uid="{00000000-0016-0000-0600-000045010000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295" xr16:uid="{00000000-0016-0000-0600-000044010000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284" xr16:uid="{00000000-0016-0000-0600-000043010000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269" xr16:uid="{00000000-0016-0000-0600-000042010000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225" xr16:uid="{00000000-0016-0000-0600-000041010000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243" xr16:uid="{00000000-0016-0000-0600-000040010000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296" xr16:uid="{00000000-0016-0000-0600-00003F010000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271" xr16:uid="{00000000-0016-0000-0600-00003E010000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257" xr16:uid="{00000000-0016-0000-0600-00003D010000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229" xr16:uid="{00000000-0016-0000-0600-00003C010000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297" xr16:uid="{00000000-0016-0000-0600-00003B010000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279" xr16:uid="{00000000-0016-0000-0600-00003A010000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280" xr16:uid="{00000000-0016-0000-0600-000039010000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268" xr16:uid="{00000000-0016-0000-0600-000038010000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291" xr16:uid="{00000000-0016-0000-0600-000037010000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288" xr16:uid="{00000000-0016-0000-0600-000036010000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270" xr16:uid="{00000000-0016-0000-0600-000035010000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226" xr16:uid="{00000000-0016-0000-0600-000034010000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261" xr16:uid="{00000000-0016-0000-0600-000033010000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252" xr16:uid="{00000000-0016-0000-0600-000032010000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278" xr16:uid="{00000000-0016-0000-0600-000031010000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212" xr16:uid="{00000000-0016-0000-0600-000030010000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238" xr16:uid="{00000000-0016-0000-0600-00002F010000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240" xr16:uid="{00000000-0016-0000-0600-00002E010000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265" xr16:uid="{00000000-0016-0000-0600-00002D010000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258" xr16:uid="{00000000-0016-0000-0600-00002C010000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237" xr16:uid="{00000000-0016-0000-0600-00002B010000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251" xr16:uid="{00000000-0016-0000-0600-00002A010000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286" xr16:uid="{00000000-0016-0000-0600-000029010000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299" xr16:uid="{B2895652-2B14-4692-83FF-58B81E87A655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298" xr16:uid="{4930B672-4A79-4A6B-8CB8-045344DA5BCD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20" xr16:uid="{0363A66C-EE81-4451-8590-C5C8400D080A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19" xr16:uid="{57E4CF0F-049E-4C6B-8B70-E4B7F429694D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18" xr16:uid="{A50C3983-18BF-4550-A858-9F2B2326C9BD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17" xr16:uid="{B6653DC2-0372-47F7-B5AA-A6C46DAE0655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13" xr16:uid="{00000000-0016-0000-0B00-000086010000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5" xr16:uid="{00000000-0016-0000-0B00-000085010000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3" xr16:uid="{00000000-0016-0000-0B00-000084010000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0" xr16:uid="{00000000-0016-0000-0B00-000083010000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1" xr16:uid="{00000000-0016-0000-0B00-000082010000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21" xr16:uid="{00000000-0016-0000-0B00-000081010000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22" xr16:uid="{00000000-0016-0000-0B00-000080010000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14" xr16:uid="{00000000-0016-0000-0B00-00007F010000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4" xr16:uid="{00000000-0016-0000-0B00-00007E010000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9" xr16:uid="{00000000-0016-0000-0B00-00007D010000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16" xr16:uid="{00000000-0016-0000-0B00-00007C010000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2" xr16:uid="{00000000-0016-0000-0B00-00007B010000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25" xr16:uid="{00000000-0016-0000-0B00-00007A010000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7" xr16:uid="{00000000-0016-0000-0B00-000079010000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23" xr16:uid="{00000000-0016-0000-0B00-000078010000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6" xr16:uid="{00000000-0016-0000-0B00-000077010000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29" xr16:uid="{00000000-0016-0000-0B00-000076010000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12" xr16:uid="{00000000-0016-0000-0B00-000075010000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5" xr16:uid="{00000000-0016-0000-0B00-000074010000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11" xr16:uid="{00000000-0016-0000-0B00-000073010000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24" xr16:uid="{00000000-0016-0000-0B00-000072010000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26" xr16:uid="{00000000-0016-0000-0B00-000071010000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28" xr16:uid="{00000000-0016-0000-0B00-000070010000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27" xr16:uid="{00000000-0016-0000-0B00-00006F010000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8" xr16:uid="{00000000-0016-0000-0B00-00006E01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1.xml"/><Relationship Id="rId117" Type="http://schemas.openxmlformats.org/officeDocument/2006/relationships/queryTable" Target="../queryTables/queryTable112.xml"/><Relationship Id="rId21" Type="http://schemas.openxmlformats.org/officeDocument/2006/relationships/queryTable" Target="../queryTables/queryTable16.xml"/><Relationship Id="rId42" Type="http://schemas.openxmlformats.org/officeDocument/2006/relationships/queryTable" Target="../queryTables/queryTable37.xml"/><Relationship Id="rId47" Type="http://schemas.openxmlformats.org/officeDocument/2006/relationships/queryTable" Target="../queryTables/queryTable42.xml"/><Relationship Id="rId63" Type="http://schemas.openxmlformats.org/officeDocument/2006/relationships/queryTable" Target="../queryTables/queryTable58.xml"/><Relationship Id="rId68" Type="http://schemas.openxmlformats.org/officeDocument/2006/relationships/queryTable" Target="../queryTables/queryTable63.xml"/><Relationship Id="rId84" Type="http://schemas.openxmlformats.org/officeDocument/2006/relationships/queryTable" Target="../queryTables/queryTable79.xml"/><Relationship Id="rId89" Type="http://schemas.openxmlformats.org/officeDocument/2006/relationships/queryTable" Target="../queryTables/queryTable84.xml"/><Relationship Id="rId112" Type="http://schemas.openxmlformats.org/officeDocument/2006/relationships/queryTable" Target="../queryTables/queryTable107.xml"/><Relationship Id="rId16" Type="http://schemas.openxmlformats.org/officeDocument/2006/relationships/queryTable" Target="../queryTables/queryTable11.xml"/><Relationship Id="rId107" Type="http://schemas.openxmlformats.org/officeDocument/2006/relationships/queryTable" Target="../queryTables/queryTable102.xml"/><Relationship Id="rId11" Type="http://schemas.openxmlformats.org/officeDocument/2006/relationships/queryTable" Target="../queryTables/queryTable6.xml"/><Relationship Id="rId32" Type="http://schemas.openxmlformats.org/officeDocument/2006/relationships/queryTable" Target="../queryTables/queryTable27.xml"/><Relationship Id="rId37" Type="http://schemas.openxmlformats.org/officeDocument/2006/relationships/queryTable" Target="../queryTables/queryTable32.xml"/><Relationship Id="rId53" Type="http://schemas.openxmlformats.org/officeDocument/2006/relationships/queryTable" Target="../queryTables/queryTable48.xml"/><Relationship Id="rId58" Type="http://schemas.openxmlformats.org/officeDocument/2006/relationships/queryTable" Target="../queryTables/queryTable53.xml"/><Relationship Id="rId74" Type="http://schemas.openxmlformats.org/officeDocument/2006/relationships/queryTable" Target="../queryTables/queryTable69.xml"/><Relationship Id="rId79" Type="http://schemas.openxmlformats.org/officeDocument/2006/relationships/queryTable" Target="../queryTables/queryTable74.xml"/><Relationship Id="rId102" Type="http://schemas.openxmlformats.org/officeDocument/2006/relationships/queryTable" Target="../queryTables/queryTable97.xml"/><Relationship Id="rId123" Type="http://schemas.openxmlformats.org/officeDocument/2006/relationships/queryTable" Target="../queryTables/queryTable118.xml"/><Relationship Id="rId128" Type="http://schemas.openxmlformats.org/officeDocument/2006/relationships/queryTable" Target="../queryTables/queryTable123.xml"/><Relationship Id="rId5" Type="http://schemas.openxmlformats.org/officeDocument/2006/relationships/ctrlProp" Target="../ctrlProps/ctrlProp2.xml"/><Relationship Id="rId90" Type="http://schemas.openxmlformats.org/officeDocument/2006/relationships/queryTable" Target="../queryTables/queryTable85.xml"/><Relationship Id="rId95" Type="http://schemas.openxmlformats.org/officeDocument/2006/relationships/queryTable" Target="../queryTables/queryTable90.xml"/><Relationship Id="rId19" Type="http://schemas.openxmlformats.org/officeDocument/2006/relationships/queryTable" Target="../queryTables/queryTable14.xml"/><Relationship Id="rId14" Type="http://schemas.openxmlformats.org/officeDocument/2006/relationships/queryTable" Target="../queryTables/queryTable9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56" Type="http://schemas.openxmlformats.org/officeDocument/2006/relationships/queryTable" Target="../queryTables/queryTable51.xml"/><Relationship Id="rId64" Type="http://schemas.openxmlformats.org/officeDocument/2006/relationships/queryTable" Target="../queryTables/queryTable59.xml"/><Relationship Id="rId69" Type="http://schemas.openxmlformats.org/officeDocument/2006/relationships/queryTable" Target="../queryTables/queryTable64.xml"/><Relationship Id="rId77" Type="http://schemas.openxmlformats.org/officeDocument/2006/relationships/queryTable" Target="../queryTables/queryTable72.xml"/><Relationship Id="rId100" Type="http://schemas.openxmlformats.org/officeDocument/2006/relationships/queryTable" Target="../queryTables/queryTable95.xml"/><Relationship Id="rId105" Type="http://schemas.openxmlformats.org/officeDocument/2006/relationships/queryTable" Target="../queryTables/queryTable100.xml"/><Relationship Id="rId113" Type="http://schemas.openxmlformats.org/officeDocument/2006/relationships/queryTable" Target="../queryTables/queryTable108.xml"/><Relationship Id="rId118" Type="http://schemas.openxmlformats.org/officeDocument/2006/relationships/queryTable" Target="../queryTables/queryTable113.xml"/><Relationship Id="rId126" Type="http://schemas.openxmlformats.org/officeDocument/2006/relationships/queryTable" Target="../queryTables/queryTable121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80" Type="http://schemas.openxmlformats.org/officeDocument/2006/relationships/queryTable" Target="../queryTables/queryTable75.xml"/><Relationship Id="rId85" Type="http://schemas.openxmlformats.org/officeDocument/2006/relationships/queryTable" Target="../queryTables/queryTable80.xml"/><Relationship Id="rId93" Type="http://schemas.openxmlformats.org/officeDocument/2006/relationships/queryTable" Target="../queryTables/queryTable88.xml"/><Relationship Id="rId98" Type="http://schemas.openxmlformats.org/officeDocument/2006/relationships/queryTable" Target="../queryTables/queryTable93.xml"/><Relationship Id="rId121" Type="http://schemas.openxmlformats.org/officeDocument/2006/relationships/queryTable" Target="../queryTables/queryTable116.xml"/><Relationship Id="rId3" Type="http://schemas.openxmlformats.org/officeDocument/2006/relationships/vmlDrawing" Target="../drawings/vmlDrawing2.v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25" Type="http://schemas.openxmlformats.org/officeDocument/2006/relationships/queryTable" Target="../queryTables/queryTable20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46" Type="http://schemas.openxmlformats.org/officeDocument/2006/relationships/queryTable" Target="../queryTables/queryTable41.xml"/><Relationship Id="rId59" Type="http://schemas.openxmlformats.org/officeDocument/2006/relationships/queryTable" Target="../queryTables/queryTable54.xml"/><Relationship Id="rId67" Type="http://schemas.openxmlformats.org/officeDocument/2006/relationships/queryTable" Target="../queryTables/queryTable62.xml"/><Relationship Id="rId103" Type="http://schemas.openxmlformats.org/officeDocument/2006/relationships/queryTable" Target="../queryTables/queryTable98.xml"/><Relationship Id="rId108" Type="http://schemas.openxmlformats.org/officeDocument/2006/relationships/queryTable" Target="../queryTables/queryTable103.xml"/><Relationship Id="rId116" Type="http://schemas.openxmlformats.org/officeDocument/2006/relationships/queryTable" Target="../queryTables/queryTable111.xml"/><Relationship Id="rId124" Type="http://schemas.openxmlformats.org/officeDocument/2006/relationships/queryTable" Target="../queryTables/queryTable119.xml"/><Relationship Id="rId129" Type="http://schemas.openxmlformats.org/officeDocument/2006/relationships/queryTable" Target="../queryTables/queryTable124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54" Type="http://schemas.openxmlformats.org/officeDocument/2006/relationships/queryTable" Target="../queryTables/queryTable49.xml"/><Relationship Id="rId62" Type="http://schemas.openxmlformats.org/officeDocument/2006/relationships/queryTable" Target="../queryTables/queryTable57.xml"/><Relationship Id="rId70" Type="http://schemas.openxmlformats.org/officeDocument/2006/relationships/queryTable" Target="../queryTables/queryTable65.xml"/><Relationship Id="rId75" Type="http://schemas.openxmlformats.org/officeDocument/2006/relationships/queryTable" Target="../queryTables/queryTable70.xml"/><Relationship Id="rId83" Type="http://schemas.openxmlformats.org/officeDocument/2006/relationships/queryTable" Target="../queryTables/queryTable78.xml"/><Relationship Id="rId88" Type="http://schemas.openxmlformats.org/officeDocument/2006/relationships/queryTable" Target="../queryTables/queryTable83.xml"/><Relationship Id="rId91" Type="http://schemas.openxmlformats.org/officeDocument/2006/relationships/queryTable" Target="../queryTables/queryTable86.xml"/><Relationship Id="rId96" Type="http://schemas.openxmlformats.org/officeDocument/2006/relationships/queryTable" Target="../queryTables/queryTable91.xml"/><Relationship Id="rId111" Type="http://schemas.openxmlformats.org/officeDocument/2006/relationships/queryTable" Target="../queryTables/queryTable106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15" Type="http://schemas.openxmlformats.org/officeDocument/2006/relationships/queryTable" Target="../queryTables/queryTable10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36" Type="http://schemas.openxmlformats.org/officeDocument/2006/relationships/queryTable" Target="../queryTables/queryTable31.xml"/><Relationship Id="rId49" Type="http://schemas.openxmlformats.org/officeDocument/2006/relationships/queryTable" Target="../queryTables/queryTable44.xml"/><Relationship Id="rId57" Type="http://schemas.openxmlformats.org/officeDocument/2006/relationships/queryTable" Target="../queryTables/queryTable52.xml"/><Relationship Id="rId106" Type="http://schemas.openxmlformats.org/officeDocument/2006/relationships/queryTable" Target="../queryTables/queryTable101.xml"/><Relationship Id="rId114" Type="http://schemas.openxmlformats.org/officeDocument/2006/relationships/queryTable" Target="../queryTables/queryTable109.xml"/><Relationship Id="rId119" Type="http://schemas.openxmlformats.org/officeDocument/2006/relationships/queryTable" Target="../queryTables/queryTable114.xml"/><Relationship Id="rId127" Type="http://schemas.openxmlformats.org/officeDocument/2006/relationships/queryTable" Target="../queryTables/queryTable122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44" Type="http://schemas.openxmlformats.org/officeDocument/2006/relationships/queryTable" Target="../queryTables/queryTable39.xml"/><Relationship Id="rId52" Type="http://schemas.openxmlformats.org/officeDocument/2006/relationships/queryTable" Target="../queryTables/queryTable47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73" Type="http://schemas.openxmlformats.org/officeDocument/2006/relationships/queryTable" Target="../queryTables/queryTable68.xml"/><Relationship Id="rId78" Type="http://schemas.openxmlformats.org/officeDocument/2006/relationships/queryTable" Target="../queryTables/queryTable73.xml"/><Relationship Id="rId81" Type="http://schemas.openxmlformats.org/officeDocument/2006/relationships/queryTable" Target="../queryTables/queryTable76.xml"/><Relationship Id="rId86" Type="http://schemas.openxmlformats.org/officeDocument/2006/relationships/queryTable" Target="../queryTables/queryTable81.xml"/><Relationship Id="rId94" Type="http://schemas.openxmlformats.org/officeDocument/2006/relationships/queryTable" Target="../queryTables/queryTable89.xml"/><Relationship Id="rId99" Type="http://schemas.openxmlformats.org/officeDocument/2006/relationships/queryTable" Target="../queryTables/queryTable94.xml"/><Relationship Id="rId101" Type="http://schemas.openxmlformats.org/officeDocument/2006/relationships/queryTable" Target="../queryTables/queryTable96.xml"/><Relationship Id="rId122" Type="http://schemas.openxmlformats.org/officeDocument/2006/relationships/queryTable" Target="../queryTables/queryTable117.xml"/><Relationship Id="rId130" Type="http://schemas.openxmlformats.org/officeDocument/2006/relationships/queryTable" Target="../queryTables/queryTable125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Relationship Id="rId109" Type="http://schemas.openxmlformats.org/officeDocument/2006/relationships/queryTable" Target="../queryTables/queryTable104.xml"/><Relationship Id="rId34" Type="http://schemas.openxmlformats.org/officeDocument/2006/relationships/queryTable" Target="../queryTables/queryTable29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76" Type="http://schemas.openxmlformats.org/officeDocument/2006/relationships/queryTable" Target="../queryTables/queryTable71.xml"/><Relationship Id="rId97" Type="http://schemas.openxmlformats.org/officeDocument/2006/relationships/queryTable" Target="../queryTables/queryTable92.xml"/><Relationship Id="rId104" Type="http://schemas.openxmlformats.org/officeDocument/2006/relationships/queryTable" Target="../queryTables/queryTable99.xml"/><Relationship Id="rId120" Type="http://schemas.openxmlformats.org/officeDocument/2006/relationships/queryTable" Target="../queryTables/queryTable115.xml"/><Relationship Id="rId125" Type="http://schemas.openxmlformats.org/officeDocument/2006/relationships/queryTable" Target="../queryTables/queryTable120.xml"/><Relationship Id="rId7" Type="http://schemas.openxmlformats.org/officeDocument/2006/relationships/queryTable" Target="../queryTables/queryTable2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4.xml"/><Relationship Id="rId24" Type="http://schemas.openxmlformats.org/officeDocument/2006/relationships/queryTable" Target="../queryTables/queryTable19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66" Type="http://schemas.openxmlformats.org/officeDocument/2006/relationships/queryTable" Target="../queryTables/queryTable61.xml"/><Relationship Id="rId87" Type="http://schemas.openxmlformats.org/officeDocument/2006/relationships/queryTable" Target="../queryTables/queryTable82.xml"/><Relationship Id="rId110" Type="http://schemas.openxmlformats.org/officeDocument/2006/relationships/queryTable" Target="../queryTables/queryTable105.xml"/><Relationship Id="rId115" Type="http://schemas.openxmlformats.org/officeDocument/2006/relationships/queryTable" Target="../queryTables/queryTable110.xml"/><Relationship Id="rId131" Type="http://schemas.openxmlformats.org/officeDocument/2006/relationships/queryTable" Target="../queryTables/queryTable126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4.xml"/><Relationship Id="rId18" Type="http://schemas.openxmlformats.org/officeDocument/2006/relationships/queryTable" Target="../queryTables/queryTable139.xml"/><Relationship Id="rId26" Type="http://schemas.openxmlformats.org/officeDocument/2006/relationships/queryTable" Target="../queryTables/queryTable147.xml"/><Relationship Id="rId39" Type="http://schemas.openxmlformats.org/officeDocument/2006/relationships/queryTable" Target="../queryTables/queryTable160.xml"/><Relationship Id="rId21" Type="http://schemas.openxmlformats.org/officeDocument/2006/relationships/queryTable" Target="../queryTables/queryTable142.xml"/><Relationship Id="rId34" Type="http://schemas.openxmlformats.org/officeDocument/2006/relationships/queryTable" Target="../queryTables/queryTable155.xml"/><Relationship Id="rId42" Type="http://schemas.openxmlformats.org/officeDocument/2006/relationships/queryTable" Target="../queryTables/queryTable163.xml"/><Relationship Id="rId47" Type="http://schemas.openxmlformats.org/officeDocument/2006/relationships/queryTable" Target="../queryTables/queryTable168.xml"/><Relationship Id="rId50" Type="http://schemas.openxmlformats.org/officeDocument/2006/relationships/queryTable" Target="../queryTables/queryTable171.xml"/><Relationship Id="rId55" Type="http://schemas.openxmlformats.org/officeDocument/2006/relationships/queryTable" Target="../queryTables/queryTable176.xml"/><Relationship Id="rId63" Type="http://schemas.openxmlformats.org/officeDocument/2006/relationships/queryTable" Target="../queryTables/queryTable184.xml"/><Relationship Id="rId68" Type="http://schemas.openxmlformats.org/officeDocument/2006/relationships/queryTable" Target="../queryTables/queryTable189.xml"/><Relationship Id="rId76" Type="http://schemas.openxmlformats.org/officeDocument/2006/relationships/queryTable" Target="../queryTables/queryTable197.xml"/><Relationship Id="rId84" Type="http://schemas.openxmlformats.org/officeDocument/2006/relationships/queryTable" Target="../queryTables/queryTable205.xml"/><Relationship Id="rId7" Type="http://schemas.openxmlformats.org/officeDocument/2006/relationships/queryTable" Target="../queryTables/queryTable128.xml"/><Relationship Id="rId71" Type="http://schemas.openxmlformats.org/officeDocument/2006/relationships/queryTable" Target="../queryTables/queryTable192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37.xml"/><Relationship Id="rId29" Type="http://schemas.openxmlformats.org/officeDocument/2006/relationships/queryTable" Target="../queryTables/queryTable150.xml"/><Relationship Id="rId11" Type="http://schemas.openxmlformats.org/officeDocument/2006/relationships/queryTable" Target="../queryTables/queryTable132.xml"/><Relationship Id="rId24" Type="http://schemas.openxmlformats.org/officeDocument/2006/relationships/queryTable" Target="../queryTables/queryTable145.xml"/><Relationship Id="rId32" Type="http://schemas.openxmlformats.org/officeDocument/2006/relationships/queryTable" Target="../queryTables/queryTable153.xml"/><Relationship Id="rId37" Type="http://schemas.openxmlformats.org/officeDocument/2006/relationships/queryTable" Target="../queryTables/queryTable158.xml"/><Relationship Id="rId40" Type="http://schemas.openxmlformats.org/officeDocument/2006/relationships/queryTable" Target="../queryTables/queryTable161.xml"/><Relationship Id="rId45" Type="http://schemas.openxmlformats.org/officeDocument/2006/relationships/queryTable" Target="../queryTables/queryTable166.xml"/><Relationship Id="rId53" Type="http://schemas.openxmlformats.org/officeDocument/2006/relationships/queryTable" Target="../queryTables/queryTable174.xml"/><Relationship Id="rId58" Type="http://schemas.openxmlformats.org/officeDocument/2006/relationships/queryTable" Target="../queryTables/queryTable179.xml"/><Relationship Id="rId66" Type="http://schemas.openxmlformats.org/officeDocument/2006/relationships/queryTable" Target="../queryTables/queryTable187.xml"/><Relationship Id="rId74" Type="http://schemas.openxmlformats.org/officeDocument/2006/relationships/queryTable" Target="../queryTables/queryTable195.xml"/><Relationship Id="rId79" Type="http://schemas.openxmlformats.org/officeDocument/2006/relationships/queryTable" Target="../queryTables/queryTable200.xml"/><Relationship Id="rId5" Type="http://schemas.openxmlformats.org/officeDocument/2006/relationships/ctrlProp" Target="../ctrlProps/ctrlProp4.xml"/><Relationship Id="rId61" Type="http://schemas.openxmlformats.org/officeDocument/2006/relationships/queryTable" Target="../queryTables/queryTable182.xml"/><Relationship Id="rId82" Type="http://schemas.openxmlformats.org/officeDocument/2006/relationships/queryTable" Target="../queryTables/queryTable203.xml"/><Relationship Id="rId10" Type="http://schemas.openxmlformats.org/officeDocument/2006/relationships/queryTable" Target="../queryTables/queryTable131.xml"/><Relationship Id="rId19" Type="http://schemas.openxmlformats.org/officeDocument/2006/relationships/queryTable" Target="../queryTables/queryTable140.xml"/><Relationship Id="rId31" Type="http://schemas.openxmlformats.org/officeDocument/2006/relationships/queryTable" Target="../queryTables/queryTable152.xml"/><Relationship Id="rId44" Type="http://schemas.openxmlformats.org/officeDocument/2006/relationships/queryTable" Target="../queryTables/queryTable165.xml"/><Relationship Id="rId52" Type="http://schemas.openxmlformats.org/officeDocument/2006/relationships/queryTable" Target="../queryTables/queryTable173.xml"/><Relationship Id="rId60" Type="http://schemas.openxmlformats.org/officeDocument/2006/relationships/queryTable" Target="../queryTables/queryTable181.xml"/><Relationship Id="rId65" Type="http://schemas.openxmlformats.org/officeDocument/2006/relationships/queryTable" Target="../queryTables/queryTable186.xml"/><Relationship Id="rId73" Type="http://schemas.openxmlformats.org/officeDocument/2006/relationships/queryTable" Target="../queryTables/queryTable194.xml"/><Relationship Id="rId78" Type="http://schemas.openxmlformats.org/officeDocument/2006/relationships/queryTable" Target="../queryTables/queryTable199.xml"/><Relationship Id="rId81" Type="http://schemas.openxmlformats.org/officeDocument/2006/relationships/queryTable" Target="../queryTables/queryTable202.xml"/><Relationship Id="rId4" Type="http://schemas.openxmlformats.org/officeDocument/2006/relationships/ctrlProp" Target="../ctrlProps/ctrlProp3.xml"/><Relationship Id="rId9" Type="http://schemas.openxmlformats.org/officeDocument/2006/relationships/queryTable" Target="../queryTables/queryTable130.xml"/><Relationship Id="rId14" Type="http://schemas.openxmlformats.org/officeDocument/2006/relationships/queryTable" Target="../queryTables/queryTable135.xml"/><Relationship Id="rId22" Type="http://schemas.openxmlformats.org/officeDocument/2006/relationships/queryTable" Target="../queryTables/queryTable143.xml"/><Relationship Id="rId27" Type="http://schemas.openxmlformats.org/officeDocument/2006/relationships/queryTable" Target="../queryTables/queryTable148.xml"/><Relationship Id="rId30" Type="http://schemas.openxmlformats.org/officeDocument/2006/relationships/queryTable" Target="../queryTables/queryTable151.xml"/><Relationship Id="rId35" Type="http://schemas.openxmlformats.org/officeDocument/2006/relationships/queryTable" Target="../queryTables/queryTable156.xml"/><Relationship Id="rId43" Type="http://schemas.openxmlformats.org/officeDocument/2006/relationships/queryTable" Target="../queryTables/queryTable164.xml"/><Relationship Id="rId48" Type="http://schemas.openxmlformats.org/officeDocument/2006/relationships/queryTable" Target="../queryTables/queryTable169.xml"/><Relationship Id="rId56" Type="http://schemas.openxmlformats.org/officeDocument/2006/relationships/queryTable" Target="../queryTables/queryTable177.xml"/><Relationship Id="rId64" Type="http://schemas.openxmlformats.org/officeDocument/2006/relationships/queryTable" Target="../queryTables/queryTable185.xml"/><Relationship Id="rId69" Type="http://schemas.openxmlformats.org/officeDocument/2006/relationships/queryTable" Target="../queryTables/queryTable190.xml"/><Relationship Id="rId77" Type="http://schemas.openxmlformats.org/officeDocument/2006/relationships/queryTable" Target="../queryTables/queryTable198.xml"/><Relationship Id="rId8" Type="http://schemas.openxmlformats.org/officeDocument/2006/relationships/queryTable" Target="../queryTables/queryTable129.xml"/><Relationship Id="rId51" Type="http://schemas.openxmlformats.org/officeDocument/2006/relationships/queryTable" Target="../queryTables/queryTable172.xml"/><Relationship Id="rId72" Type="http://schemas.openxmlformats.org/officeDocument/2006/relationships/queryTable" Target="../queryTables/queryTable193.xml"/><Relationship Id="rId80" Type="http://schemas.openxmlformats.org/officeDocument/2006/relationships/queryTable" Target="../queryTables/queryTable201.xml"/><Relationship Id="rId3" Type="http://schemas.openxmlformats.org/officeDocument/2006/relationships/vmlDrawing" Target="../drawings/vmlDrawing3.vml"/><Relationship Id="rId12" Type="http://schemas.openxmlformats.org/officeDocument/2006/relationships/queryTable" Target="../queryTables/queryTable133.xml"/><Relationship Id="rId17" Type="http://schemas.openxmlformats.org/officeDocument/2006/relationships/queryTable" Target="../queryTables/queryTable138.xml"/><Relationship Id="rId25" Type="http://schemas.openxmlformats.org/officeDocument/2006/relationships/queryTable" Target="../queryTables/queryTable146.xml"/><Relationship Id="rId33" Type="http://schemas.openxmlformats.org/officeDocument/2006/relationships/queryTable" Target="../queryTables/queryTable154.xml"/><Relationship Id="rId38" Type="http://schemas.openxmlformats.org/officeDocument/2006/relationships/queryTable" Target="../queryTables/queryTable159.xml"/><Relationship Id="rId46" Type="http://schemas.openxmlformats.org/officeDocument/2006/relationships/queryTable" Target="../queryTables/queryTable167.xml"/><Relationship Id="rId59" Type="http://schemas.openxmlformats.org/officeDocument/2006/relationships/queryTable" Target="../queryTables/queryTable180.xml"/><Relationship Id="rId67" Type="http://schemas.openxmlformats.org/officeDocument/2006/relationships/queryTable" Target="../queryTables/queryTable188.xml"/><Relationship Id="rId20" Type="http://schemas.openxmlformats.org/officeDocument/2006/relationships/queryTable" Target="../queryTables/queryTable141.xml"/><Relationship Id="rId41" Type="http://schemas.openxmlformats.org/officeDocument/2006/relationships/queryTable" Target="../queryTables/queryTable162.xml"/><Relationship Id="rId54" Type="http://schemas.openxmlformats.org/officeDocument/2006/relationships/queryTable" Target="../queryTables/queryTable175.xml"/><Relationship Id="rId62" Type="http://schemas.openxmlformats.org/officeDocument/2006/relationships/queryTable" Target="../queryTables/queryTable183.xml"/><Relationship Id="rId70" Type="http://schemas.openxmlformats.org/officeDocument/2006/relationships/queryTable" Target="../queryTables/queryTable191.xml"/><Relationship Id="rId75" Type="http://schemas.openxmlformats.org/officeDocument/2006/relationships/queryTable" Target="../queryTables/queryTable196.xml"/><Relationship Id="rId83" Type="http://schemas.openxmlformats.org/officeDocument/2006/relationships/queryTable" Target="../queryTables/queryTable204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27.xml"/><Relationship Id="rId15" Type="http://schemas.openxmlformats.org/officeDocument/2006/relationships/queryTable" Target="../queryTables/queryTable136.xml"/><Relationship Id="rId23" Type="http://schemas.openxmlformats.org/officeDocument/2006/relationships/queryTable" Target="../queryTables/queryTable144.xml"/><Relationship Id="rId28" Type="http://schemas.openxmlformats.org/officeDocument/2006/relationships/queryTable" Target="../queryTables/queryTable149.xml"/><Relationship Id="rId36" Type="http://schemas.openxmlformats.org/officeDocument/2006/relationships/queryTable" Target="../queryTables/queryTable157.xml"/><Relationship Id="rId49" Type="http://schemas.openxmlformats.org/officeDocument/2006/relationships/queryTable" Target="../queryTables/queryTable170.xml"/><Relationship Id="rId57" Type="http://schemas.openxmlformats.org/officeDocument/2006/relationships/queryTable" Target="../queryTables/queryTable17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14.xml"/><Relationship Id="rId18" Type="http://schemas.openxmlformats.org/officeDocument/2006/relationships/queryTable" Target="../queryTables/queryTable219.xml"/><Relationship Id="rId26" Type="http://schemas.openxmlformats.org/officeDocument/2006/relationships/queryTable" Target="../queryTables/queryTable227.xml"/><Relationship Id="rId39" Type="http://schemas.openxmlformats.org/officeDocument/2006/relationships/queryTable" Target="../queryTables/queryTable240.xml"/><Relationship Id="rId21" Type="http://schemas.openxmlformats.org/officeDocument/2006/relationships/queryTable" Target="../queryTables/queryTable222.xml"/><Relationship Id="rId34" Type="http://schemas.openxmlformats.org/officeDocument/2006/relationships/queryTable" Target="../queryTables/queryTable235.xml"/><Relationship Id="rId42" Type="http://schemas.openxmlformats.org/officeDocument/2006/relationships/queryTable" Target="../queryTables/queryTable243.xml"/><Relationship Id="rId47" Type="http://schemas.openxmlformats.org/officeDocument/2006/relationships/queryTable" Target="../queryTables/queryTable248.xml"/><Relationship Id="rId50" Type="http://schemas.openxmlformats.org/officeDocument/2006/relationships/queryTable" Target="../queryTables/queryTable251.xml"/><Relationship Id="rId55" Type="http://schemas.openxmlformats.org/officeDocument/2006/relationships/queryTable" Target="../queryTables/queryTable256.xml"/><Relationship Id="rId7" Type="http://schemas.openxmlformats.org/officeDocument/2006/relationships/queryTable" Target="../queryTables/queryTable208.xml"/><Relationship Id="rId12" Type="http://schemas.openxmlformats.org/officeDocument/2006/relationships/queryTable" Target="../queryTables/queryTable213.xml"/><Relationship Id="rId17" Type="http://schemas.openxmlformats.org/officeDocument/2006/relationships/queryTable" Target="../queryTables/queryTable218.xml"/><Relationship Id="rId25" Type="http://schemas.openxmlformats.org/officeDocument/2006/relationships/queryTable" Target="../queryTables/queryTable226.xml"/><Relationship Id="rId33" Type="http://schemas.openxmlformats.org/officeDocument/2006/relationships/queryTable" Target="../queryTables/queryTable234.xml"/><Relationship Id="rId38" Type="http://schemas.openxmlformats.org/officeDocument/2006/relationships/queryTable" Target="../queryTables/queryTable239.xml"/><Relationship Id="rId46" Type="http://schemas.openxmlformats.org/officeDocument/2006/relationships/queryTable" Target="../queryTables/queryTable247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217.xml"/><Relationship Id="rId20" Type="http://schemas.openxmlformats.org/officeDocument/2006/relationships/queryTable" Target="../queryTables/queryTable221.xml"/><Relationship Id="rId29" Type="http://schemas.openxmlformats.org/officeDocument/2006/relationships/queryTable" Target="../queryTables/queryTable230.xml"/><Relationship Id="rId41" Type="http://schemas.openxmlformats.org/officeDocument/2006/relationships/queryTable" Target="../queryTables/queryTable242.xml"/><Relationship Id="rId54" Type="http://schemas.openxmlformats.org/officeDocument/2006/relationships/queryTable" Target="../queryTables/queryTable255.xml"/><Relationship Id="rId1" Type="http://schemas.openxmlformats.org/officeDocument/2006/relationships/drawing" Target="../drawings/drawing3.xml"/><Relationship Id="rId6" Type="http://schemas.openxmlformats.org/officeDocument/2006/relationships/queryTable" Target="../queryTables/queryTable207.xml"/><Relationship Id="rId11" Type="http://schemas.openxmlformats.org/officeDocument/2006/relationships/queryTable" Target="../queryTables/queryTable212.xml"/><Relationship Id="rId24" Type="http://schemas.openxmlformats.org/officeDocument/2006/relationships/queryTable" Target="../queryTables/queryTable225.xml"/><Relationship Id="rId32" Type="http://schemas.openxmlformats.org/officeDocument/2006/relationships/queryTable" Target="../queryTables/queryTable233.xml"/><Relationship Id="rId37" Type="http://schemas.openxmlformats.org/officeDocument/2006/relationships/queryTable" Target="../queryTables/queryTable238.xml"/><Relationship Id="rId40" Type="http://schemas.openxmlformats.org/officeDocument/2006/relationships/queryTable" Target="../queryTables/queryTable241.xml"/><Relationship Id="rId45" Type="http://schemas.openxmlformats.org/officeDocument/2006/relationships/queryTable" Target="../queryTables/queryTable246.xml"/><Relationship Id="rId53" Type="http://schemas.openxmlformats.org/officeDocument/2006/relationships/queryTable" Target="../queryTables/queryTable254.xml"/><Relationship Id="rId5" Type="http://schemas.openxmlformats.org/officeDocument/2006/relationships/queryTable" Target="../queryTables/queryTable206.xml"/><Relationship Id="rId15" Type="http://schemas.openxmlformats.org/officeDocument/2006/relationships/queryTable" Target="../queryTables/queryTable216.xml"/><Relationship Id="rId23" Type="http://schemas.openxmlformats.org/officeDocument/2006/relationships/queryTable" Target="../queryTables/queryTable224.xml"/><Relationship Id="rId28" Type="http://schemas.openxmlformats.org/officeDocument/2006/relationships/queryTable" Target="../queryTables/queryTable229.xml"/><Relationship Id="rId36" Type="http://schemas.openxmlformats.org/officeDocument/2006/relationships/queryTable" Target="../queryTables/queryTable237.xml"/><Relationship Id="rId49" Type="http://schemas.openxmlformats.org/officeDocument/2006/relationships/queryTable" Target="../queryTables/queryTable250.xml"/><Relationship Id="rId57" Type="http://schemas.openxmlformats.org/officeDocument/2006/relationships/queryTable" Target="../queryTables/queryTable258.xml"/><Relationship Id="rId10" Type="http://schemas.openxmlformats.org/officeDocument/2006/relationships/queryTable" Target="../queryTables/queryTable211.xml"/><Relationship Id="rId19" Type="http://schemas.openxmlformats.org/officeDocument/2006/relationships/queryTable" Target="../queryTables/queryTable220.xml"/><Relationship Id="rId31" Type="http://schemas.openxmlformats.org/officeDocument/2006/relationships/queryTable" Target="../queryTables/queryTable232.xml"/><Relationship Id="rId44" Type="http://schemas.openxmlformats.org/officeDocument/2006/relationships/queryTable" Target="../queryTables/queryTable245.xml"/><Relationship Id="rId52" Type="http://schemas.openxmlformats.org/officeDocument/2006/relationships/queryTable" Target="../queryTables/queryTable253.xml"/><Relationship Id="rId4" Type="http://schemas.openxmlformats.org/officeDocument/2006/relationships/ctrlProp" Target="../ctrlProps/ctrlProp6.xml"/><Relationship Id="rId9" Type="http://schemas.openxmlformats.org/officeDocument/2006/relationships/queryTable" Target="../queryTables/queryTable210.xml"/><Relationship Id="rId14" Type="http://schemas.openxmlformats.org/officeDocument/2006/relationships/queryTable" Target="../queryTables/queryTable215.xml"/><Relationship Id="rId22" Type="http://schemas.openxmlformats.org/officeDocument/2006/relationships/queryTable" Target="../queryTables/queryTable223.xml"/><Relationship Id="rId27" Type="http://schemas.openxmlformats.org/officeDocument/2006/relationships/queryTable" Target="../queryTables/queryTable228.xml"/><Relationship Id="rId30" Type="http://schemas.openxmlformats.org/officeDocument/2006/relationships/queryTable" Target="../queryTables/queryTable231.xml"/><Relationship Id="rId35" Type="http://schemas.openxmlformats.org/officeDocument/2006/relationships/queryTable" Target="../queryTables/queryTable236.xml"/><Relationship Id="rId43" Type="http://schemas.openxmlformats.org/officeDocument/2006/relationships/queryTable" Target="../queryTables/queryTable244.xml"/><Relationship Id="rId48" Type="http://schemas.openxmlformats.org/officeDocument/2006/relationships/queryTable" Target="../queryTables/queryTable249.xml"/><Relationship Id="rId56" Type="http://schemas.openxmlformats.org/officeDocument/2006/relationships/queryTable" Target="../queryTables/queryTable257.xml"/><Relationship Id="rId8" Type="http://schemas.openxmlformats.org/officeDocument/2006/relationships/queryTable" Target="../queryTables/queryTable209.xml"/><Relationship Id="rId51" Type="http://schemas.openxmlformats.org/officeDocument/2006/relationships/queryTable" Target="../queryTables/queryTable252.xml"/><Relationship Id="rId3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67.xml"/><Relationship Id="rId18" Type="http://schemas.openxmlformats.org/officeDocument/2006/relationships/queryTable" Target="../queryTables/queryTable272.xml"/><Relationship Id="rId26" Type="http://schemas.openxmlformats.org/officeDocument/2006/relationships/queryTable" Target="../queryTables/queryTable280.xml"/><Relationship Id="rId39" Type="http://schemas.openxmlformats.org/officeDocument/2006/relationships/queryTable" Target="../queryTables/queryTable293.xml"/><Relationship Id="rId21" Type="http://schemas.openxmlformats.org/officeDocument/2006/relationships/queryTable" Target="../queryTables/queryTable275.xml"/><Relationship Id="rId34" Type="http://schemas.openxmlformats.org/officeDocument/2006/relationships/queryTable" Target="../queryTables/queryTable288.xml"/><Relationship Id="rId42" Type="http://schemas.openxmlformats.org/officeDocument/2006/relationships/queryTable" Target="../queryTables/queryTable296.xml"/><Relationship Id="rId47" Type="http://schemas.openxmlformats.org/officeDocument/2006/relationships/queryTable" Target="../queryTables/queryTable301.xml"/><Relationship Id="rId50" Type="http://schemas.openxmlformats.org/officeDocument/2006/relationships/queryTable" Target="../queryTables/queryTable304.xml"/><Relationship Id="rId55" Type="http://schemas.openxmlformats.org/officeDocument/2006/relationships/queryTable" Target="../queryTables/queryTable309.xml"/><Relationship Id="rId63" Type="http://schemas.openxmlformats.org/officeDocument/2006/relationships/queryTable" Target="../queryTables/queryTable317.xml"/><Relationship Id="rId7" Type="http://schemas.openxmlformats.org/officeDocument/2006/relationships/queryTable" Target="../queryTables/queryTable261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270.xml"/><Relationship Id="rId20" Type="http://schemas.openxmlformats.org/officeDocument/2006/relationships/queryTable" Target="../queryTables/queryTable274.xml"/><Relationship Id="rId29" Type="http://schemas.openxmlformats.org/officeDocument/2006/relationships/queryTable" Target="../queryTables/queryTable283.xml"/><Relationship Id="rId41" Type="http://schemas.openxmlformats.org/officeDocument/2006/relationships/queryTable" Target="../queryTables/queryTable295.xml"/><Relationship Id="rId54" Type="http://schemas.openxmlformats.org/officeDocument/2006/relationships/queryTable" Target="../queryTables/queryTable308.xml"/><Relationship Id="rId62" Type="http://schemas.openxmlformats.org/officeDocument/2006/relationships/queryTable" Target="../queryTables/queryTable316.xml"/><Relationship Id="rId1" Type="http://schemas.openxmlformats.org/officeDocument/2006/relationships/drawing" Target="../drawings/drawing4.xml"/><Relationship Id="rId6" Type="http://schemas.openxmlformats.org/officeDocument/2006/relationships/queryTable" Target="../queryTables/queryTable260.xml"/><Relationship Id="rId11" Type="http://schemas.openxmlformats.org/officeDocument/2006/relationships/queryTable" Target="../queryTables/queryTable265.xml"/><Relationship Id="rId24" Type="http://schemas.openxmlformats.org/officeDocument/2006/relationships/queryTable" Target="../queryTables/queryTable278.xml"/><Relationship Id="rId32" Type="http://schemas.openxmlformats.org/officeDocument/2006/relationships/queryTable" Target="../queryTables/queryTable286.xml"/><Relationship Id="rId37" Type="http://schemas.openxmlformats.org/officeDocument/2006/relationships/queryTable" Target="../queryTables/queryTable291.xml"/><Relationship Id="rId40" Type="http://schemas.openxmlformats.org/officeDocument/2006/relationships/queryTable" Target="../queryTables/queryTable294.xml"/><Relationship Id="rId45" Type="http://schemas.openxmlformats.org/officeDocument/2006/relationships/queryTable" Target="../queryTables/queryTable299.xml"/><Relationship Id="rId53" Type="http://schemas.openxmlformats.org/officeDocument/2006/relationships/queryTable" Target="../queryTables/queryTable307.xml"/><Relationship Id="rId58" Type="http://schemas.openxmlformats.org/officeDocument/2006/relationships/queryTable" Target="../queryTables/queryTable312.xml"/><Relationship Id="rId5" Type="http://schemas.openxmlformats.org/officeDocument/2006/relationships/queryTable" Target="../queryTables/queryTable259.xml"/><Relationship Id="rId15" Type="http://schemas.openxmlformats.org/officeDocument/2006/relationships/queryTable" Target="../queryTables/queryTable269.xml"/><Relationship Id="rId23" Type="http://schemas.openxmlformats.org/officeDocument/2006/relationships/queryTable" Target="../queryTables/queryTable277.xml"/><Relationship Id="rId28" Type="http://schemas.openxmlformats.org/officeDocument/2006/relationships/queryTable" Target="../queryTables/queryTable282.xml"/><Relationship Id="rId36" Type="http://schemas.openxmlformats.org/officeDocument/2006/relationships/queryTable" Target="../queryTables/queryTable290.xml"/><Relationship Id="rId49" Type="http://schemas.openxmlformats.org/officeDocument/2006/relationships/queryTable" Target="../queryTables/queryTable303.xml"/><Relationship Id="rId57" Type="http://schemas.openxmlformats.org/officeDocument/2006/relationships/queryTable" Target="../queryTables/queryTable311.xml"/><Relationship Id="rId61" Type="http://schemas.openxmlformats.org/officeDocument/2006/relationships/queryTable" Target="../queryTables/queryTable315.xml"/><Relationship Id="rId10" Type="http://schemas.openxmlformats.org/officeDocument/2006/relationships/queryTable" Target="../queryTables/queryTable264.xml"/><Relationship Id="rId19" Type="http://schemas.openxmlformats.org/officeDocument/2006/relationships/queryTable" Target="../queryTables/queryTable273.xml"/><Relationship Id="rId31" Type="http://schemas.openxmlformats.org/officeDocument/2006/relationships/queryTable" Target="../queryTables/queryTable285.xml"/><Relationship Id="rId44" Type="http://schemas.openxmlformats.org/officeDocument/2006/relationships/queryTable" Target="../queryTables/queryTable298.xml"/><Relationship Id="rId52" Type="http://schemas.openxmlformats.org/officeDocument/2006/relationships/queryTable" Target="../queryTables/queryTable306.xml"/><Relationship Id="rId60" Type="http://schemas.openxmlformats.org/officeDocument/2006/relationships/queryTable" Target="../queryTables/queryTable314.xml"/><Relationship Id="rId4" Type="http://schemas.openxmlformats.org/officeDocument/2006/relationships/ctrlProp" Target="../ctrlProps/ctrlProp8.xml"/><Relationship Id="rId9" Type="http://schemas.openxmlformats.org/officeDocument/2006/relationships/queryTable" Target="../queryTables/queryTable263.xml"/><Relationship Id="rId14" Type="http://schemas.openxmlformats.org/officeDocument/2006/relationships/queryTable" Target="../queryTables/queryTable268.xml"/><Relationship Id="rId22" Type="http://schemas.openxmlformats.org/officeDocument/2006/relationships/queryTable" Target="../queryTables/queryTable276.xml"/><Relationship Id="rId27" Type="http://schemas.openxmlformats.org/officeDocument/2006/relationships/queryTable" Target="../queryTables/queryTable281.xml"/><Relationship Id="rId30" Type="http://schemas.openxmlformats.org/officeDocument/2006/relationships/queryTable" Target="../queryTables/queryTable284.xml"/><Relationship Id="rId35" Type="http://schemas.openxmlformats.org/officeDocument/2006/relationships/queryTable" Target="../queryTables/queryTable289.xml"/><Relationship Id="rId43" Type="http://schemas.openxmlformats.org/officeDocument/2006/relationships/queryTable" Target="../queryTables/queryTable297.xml"/><Relationship Id="rId48" Type="http://schemas.openxmlformats.org/officeDocument/2006/relationships/queryTable" Target="../queryTables/queryTable302.xml"/><Relationship Id="rId56" Type="http://schemas.openxmlformats.org/officeDocument/2006/relationships/queryTable" Target="../queryTables/queryTable310.xml"/><Relationship Id="rId8" Type="http://schemas.openxmlformats.org/officeDocument/2006/relationships/queryTable" Target="../queryTables/queryTable262.xml"/><Relationship Id="rId51" Type="http://schemas.openxmlformats.org/officeDocument/2006/relationships/queryTable" Target="../queryTables/queryTable305.xml"/><Relationship Id="rId3" Type="http://schemas.openxmlformats.org/officeDocument/2006/relationships/ctrlProp" Target="../ctrlProps/ctrlProp7.xml"/><Relationship Id="rId12" Type="http://schemas.openxmlformats.org/officeDocument/2006/relationships/queryTable" Target="../queryTables/queryTable266.xml"/><Relationship Id="rId17" Type="http://schemas.openxmlformats.org/officeDocument/2006/relationships/queryTable" Target="../queryTables/queryTable271.xml"/><Relationship Id="rId25" Type="http://schemas.openxmlformats.org/officeDocument/2006/relationships/queryTable" Target="../queryTables/queryTable279.xml"/><Relationship Id="rId33" Type="http://schemas.openxmlformats.org/officeDocument/2006/relationships/queryTable" Target="../queryTables/queryTable287.xml"/><Relationship Id="rId38" Type="http://schemas.openxmlformats.org/officeDocument/2006/relationships/queryTable" Target="../queryTables/queryTable292.xml"/><Relationship Id="rId46" Type="http://schemas.openxmlformats.org/officeDocument/2006/relationships/queryTable" Target="../queryTables/queryTable300.xml"/><Relationship Id="rId59" Type="http://schemas.openxmlformats.org/officeDocument/2006/relationships/queryTable" Target="../queryTables/queryTable313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26.xml"/><Relationship Id="rId18" Type="http://schemas.openxmlformats.org/officeDocument/2006/relationships/queryTable" Target="../queryTables/queryTable331.xml"/><Relationship Id="rId26" Type="http://schemas.openxmlformats.org/officeDocument/2006/relationships/queryTable" Target="../queryTables/queryTable339.xml"/><Relationship Id="rId39" Type="http://schemas.openxmlformats.org/officeDocument/2006/relationships/queryTable" Target="../queryTables/queryTable352.xml"/><Relationship Id="rId21" Type="http://schemas.openxmlformats.org/officeDocument/2006/relationships/queryTable" Target="../queryTables/queryTable334.xml"/><Relationship Id="rId34" Type="http://schemas.openxmlformats.org/officeDocument/2006/relationships/queryTable" Target="../queryTables/queryTable347.xml"/><Relationship Id="rId42" Type="http://schemas.openxmlformats.org/officeDocument/2006/relationships/queryTable" Target="../queryTables/queryTable355.xml"/><Relationship Id="rId47" Type="http://schemas.openxmlformats.org/officeDocument/2006/relationships/queryTable" Target="../queryTables/queryTable360.xml"/><Relationship Id="rId50" Type="http://schemas.openxmlformats.org/officeDocument/2006/relationships/queryTable" Target="../queryTables/queryTable363.xml"/><Relationship Id="rId55" Type="http://schemas.openxmlformats.org/officeDocument/2006/relationships/queryTable" Target="../queryTables/queryTable368.xml"/><Relationship Id="rId63" Type="http://schemas.openxmlformats.org/officeDocument/2006/relationships/queryTable" Target="../queryTables/queryTable376.xml"/><Relationship Id="rId68" Type="http://schemas.openxmlformats.org/officeDocument/2006/relationships/queryTable" Target="../queryTables/queryTable381.xml"/><Relationship Id="rId76" Type="http://schemas.openxmlformats.org/officeDocument/2006/relationships/queryTable" Target="../queryTables/queryTable389.xml"/><Relationship Id="rId7" Type="http://schemas.openxmlformats.org/officeDocument/2006/relationships/queryTable" Target="../queryTables/queryTable320.xml"/><Relationship Id="rId71" Type="http://schemas.openxmlformats.org/officeDocument/2006/relationships/queryTable" Target="../queryTables/queryTable384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329.xml"/><Relationship Id="rId29" Type="http://schemas.openxmlformats.org/officeDocument/2006/relationships/queryTable" Target="../queryTables/queryTable342.xml"/><Relationship Id="rId11" Type="http://schemas.openxmlformats.org/officeDocument/2006/relationships/queryTable" Target="../queryTables/queryTable324.xml"/><Relationship Id="rId24" Type="http://schemas.openxmlformats.org/officeDocument/2006/relationships/queryTable" Target="../queryTables/queryTable337.xml"/><Relationship Id="rId32" Type="http://schemas.openxmlformats.org/officeDocument/2006/relationships/queryTable" Target="../queryTables/queryTable345.xml"/><Relationship Id="rId37" Type="http://schemas.openxmlformats.org/officeDocument/2006/relationships/queryTable" Target="../queryTables/queryTable350.xml"/><Relationship Id="rId40" Type="http://schemas.openxmlformats.org/officeDocument/2006/relationships/queryTable" Target="../queryTables/queryTable353.xml"/><Relationship Id="rId45" Type="http://schemas.openxmlformats.org/officeDocument/2006/relationships/queryTable" Target="../queryTables/queryTable358.xml"/><Relationship Id="rId53" Type="http://schemas.openxmlformats.org/officeDocument/2006/relationships/queryTable" Target="../queryTables/queryTable366.xml"/><Relationship Id="rId58" Type="http://schemas.openxmlformats.org/officeDocument/2006/relationships/queryTable" Target="../queryTables/queryTable371.xml"/><Relationship Id="rId66" Type="http://schemas.openxmlformats.org/officeDocument/2006/relationships/queryTable" Target="../queryTables/queryTable379.xml"/><Relationship Id="rId74" Type="http://schemas.openxmlformats.org/officeDocument/2006/relationships/queryTable" Target="../queryTables/queryTable387.xml"/><Relationship Id="rId5" Type="http://schemas.openxmlformats.org/officeDocument/2006/relationships/queryTable" Target="../queryTables/queryTable318.xml"/><Relationship Id="rId15" Type="http://schemas.openxmlformats.org/officeDocument/2006/relationships/queryTable" Target="../queryTables/queryTable328.xml"/><Relationship Id="rId23" Type="http://schemas.openxmlformats.org/officeDocument/2006/relationships/queryTable" Target="../queryTables/queryTable336.xml"/><Relationship Id="rId28" Type="http://schemas.openxmlformats.org/officeDocument/2006/relationships/queryTable" Target="../queryTables/queryTable341.xml"/><Relationship Id="rId36" Type="http://schemas.openxmlformats.org/officeDocument/2006/relationships/queryTable" Target="../queryTables/queryTable349.xml"/><Relationship Id="rId49" Type="http://schemas.openxmlformats.org/officeDocument/2006/relationships/queryTable" Target="../queryTables/queryTable362.xml"/><Relationship Id="rId57" Type="http://schemas.openxmlformats.org/officeDocument/2006/relationships/queryTable" Target="../queryTables/queryTable370.xml"/><Relationship Id="rId61" Type="http://schemas.openxmlformats.org/officeDocument/2006/relationships/queryTable" Target="../queryTables/queryTable374.xml"/><Relationship Id="rId10" Type="http://schemas.openxmlformats.org/officeDocument/2006/relationships/queryTable" Target="../queryTables/queryTable323.xml"/><Relationship Id="rId19" Type="http://schemas.openxmlformats.org/officeDocument/2006/relationships/queryTable" Target="../queryTables/queryTable332.xml"/><Relationship Id="rId31" Type="http://schemas.openxmlformats.org/officeDocument/2006/relationships/queryTable" Target="../queryTables/queryTable344.xml"/><Relationship Id="rId44" Type="http://schemas.openxmlformats.org/officeDocument/2006/relationships/queryTable" Target="../queryTables/queryTable357.xml"/><Relationship Id="rId52" Type="http://schemas.openxmlformats.org/officeDocument/2006/relationships/queryTable" Target="../queryTables/queryTable365.xml"/><Relationship Id="rId60" Type="http://schemas.openxmlformats.org/officeDocument/2006/relationships/queryTable" Target="../queryTables/queryTable373.xml"/><Relationship Id="rId65" Type="http://schemas.openxmlformats.org/officeDocument/2006/relationships/queryTable" Target="../queryTables/queryTable378.xml"/><Relationship Id="rId73" Type="http://schemas.openxmlformats.org/officeDocument/2006/relationships/queryTable" Target="../queryTables/queryTable386.xml"/><Relationship Id="rId4" Type="http://schemas.openxmlformats.org/officeDocument/2006/relationships/ctrlProp" Target="../ctrlProps/ctrlProp10.xml"/><Relationship Id="rId9" Type="http://schemas.openxmlformats.org/officeDocument/2006/relationships/queryTable" Target="../queryTables/queryTable322.xml"/><Relationship Id="rId14" Type="http://schemas.openxmlformats.org/officeDocument/2006/relationships/queryTable" Target="../queryTables/queryTable327.xml"/><Relationship Id="rId22" Type="http://schemas.openxmlformats.org/officeDocument/2006/relationships/queryTable" Target="../queryTables/queryTable335.xml"/><Relationship Id="rId27" Type="http://schemas.openxmlformats.org/officeDocument/2006/relationships/queryTable" Target="../queryTables/queryTable340.xml"/><Relationship Id="rId30" Type="http://schemas.openxmlformats.org/officeDocument/2006/relationships/queryTable" Target="../queryTables/queryTable343.xml"/><Relationship Id="rId35" Type="http://schemas.openxmlformats.org/officeDocument/2006/relationships/queryTable" Target="../queryTables/queryTable348.xml"/><Relationship Id="rId43" Type="http://schemas.openxmlformats.org/officeDocument/2006/relationships/queryTable" Target="../queryTables/queryTable356.xml"/><Relationship Id="rId48" Type="http://schemas.openxmlformats.org/officeDocument/2006/relationships/queryTable" Target="../queryTables/queryTable361.xml"/><Relationship Id="rId56" Type="http://schemas.openxmlformats.org/officeDocument/2006/relationships/queryTable" Target="../queryTables/queryTable369.xml"/><Relationship Id="rId64" Type="http://schemas.openxmlformats.org/officeDocument/2006/relationships/queryTable" Target="../queryTables/queryTable377.xml"/><Relationship Id="rId69" Type="http://schemas.openxmlformats.org/officeDocument/2006/relationships/queryTable" Target="../queryTables/queryTable382.xml"/><Relationship Id="rId77" Type="http://schemas.openxmlformats.org/officeDocument/2006/relationships/queryTable" Target="../queryTables/queryTable390.xml"/><Relationship Id="rId8" Type="http://schemas.openxmlformats.org/officeDocument/2006/relationships/queryTable" Target="../queryTables/queryTable321.xml"/><Relationship Id="rId51" Type="http://schemas.openxmlformats.org/officeDocument/2006/relationships/queryTable" Target="../queryTables/queryTable364.xml"/><Relationship Id="rId72" Type="http://schemas.openxmlformats.org/officeDocument/2006/relationships/queryTable" Target="../queryTables/queryTable385.xml"/><Relationship Id="rId3" Type="http://schemas.openxmlformats.org/officeDocument/2006/relationships/ctrlProp" Target="../ctrlProps/ctrlProp9.xml"/><Relationship Id="rId12" Type="http://schemas.openxmlformats.org/officeDocument/2006/relationships/queryTable" Target="../queryTables/queryTable325.xml"/><Relationship Id="rId17" Type="http://schemas.openxmlformats.org/officeDocument/2006/relationships/queryTable" Target="../queryTables/queryTable330.xml"/><Relationship Id="rId25" Type="http://schemas.openxmlformats.org/officeDocument/2006/relationships/queryTable" Target="../queryTables/queryTable338.xml"/><Relationship Id="rId33" Type="http://schemas.openxmlformats.org/officeDocument/2006/relationships/queryTable" Target="../queryTables/queryTable346.xml"/><Relationship Id="rId38" Type="http://schemas.openxmlformats.org/officeDocument/2006/relationships/queryTable" Target="../queryTables/queryTable351.xml"/><Relationship Id="rId46" Type="http://schemas.openxmlformats.org/officeDocument/2006/relationships/queryTable" Target="../queryTables/queryTable359.xml"/><Relationship Id="rId59" Type="http://schemas.openxmlformats.org/officeDocument/2006/relationships/queryTable" Target="../queryTables/queryTable372.xml"/><Relationship Id="rId67" Type="http://schemas.openxmlformats.org/officeDocument/2006/relationships/queryTable" Target="../queryTables/queryTable380.xml"/><Relationship Id="rId20" Type="http://schemas.openxmlformats.org/officeDocument/2006/relationships/queryTable" Target="../queryTables/queryTable333.xml"/><Relationship Id="rId41" Type="http://schemas.openxmlformats.org/officeDocument/2006/relationships/queryTable" Target="../queryTables/queryTable354.xml"/><Relationship Id="rId54" Type="http://schemas.openxmlformats.org/officeDocument/2006/relationships/queryTable" Target="../queryTables/queryTable367.xml"/><Relationship Id="rId62" Type="http://schemas.openxmlformats.org/officeDocument/2006/relationships/queryTable" Target="../queryTables/queryTable375.xml"/><Relationship Id="rId70" Type="http://schemas.openxmlformats.org/officeDocument/2006/relationships/queryTable" Target="../queryTables/queryTable383.xml"/><Relationship Id="rId75" Type="http://schemas.openxmlformats.org/officeDocument/2006/relationships/queryTable" Target="../queryTables/queryTable388.xml"/><Relationship Id="rId1" Type="http://schemas.openxmlformats.org/officeDocument/2006/relationships/drawing" Target="../drawings/drawing5.xml"/><Relationship Id="rId6" Type="http://schemas.openxmlformats.org/officeDocument/2006/relationships/queryTable" Target="../queryTables/queryTable3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6" Type="http://schemas.openxmlformats.org/officeDocument/2006/relationships/queryTable" Target="../queryTables/queryTable392.xml"/><Relationship Id="rId5" Type="http://schemas.openxmlformats.org/officeDocument/2006/relationships/queryTable" Target="../queryTables/queryTable391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94.xml"/><Relationship Id="rId13" Type="http://schemas.openxmlformats.org/officeDocument/2006/relationships/queryTable" Target="../queryTables/queryTable399.xml"/><Relationship Id="rId18" Type="http://schemas.openxmlformats.org/officeDocument/2006/relationships/queryTable" Target="../queryTables/queryTable404.xml"/><Relationship Id="rId26" Type="http://schemas.openxmlformats.org/officeDocument/2006/relationships/queryTable" Target="../queryTables/queryTable412.xml"/><Relationship Id="rId3" Type="http://schemas.openxmlformats.org/officeDocument/2006/relationships/vmlDrawing" Target="../drawings/vmlDrawing11.vml"/><Relationship Id="rId21" Type="http://schemas.openxmlformats.org/officeDocument/2006/relationships/queryTable" Target="../queryTables/queryTable407.xml"/><Relationship Id="rId34" Type="http://schemas.openxmlformats.org/officeDocument/2006/relationships/queryTable" Target="../queryTables/queryTable420.xml"/><Relationship Id="rId7" Type="http://schemas.openxmlformats.org/officeDocument/2006/relationships/queryTable" Target="../queryTables/queryTable393.xml"/><Relationship Id="rId12" Type="http://schemas.openxmlformats.org/officeDocument/2006/relationships/queryTable" Target="../queryTables/queryTable398.xml"/><Relationship Id="rId17" Type="http://schemas.openxmlformats.org/officeDocument/2006/relationships/queryTable" Target="../queryTables/queryTable403.xml"/><Relationship Id="rId25" Type="http://schemas.openxmlformats.org/officeDocument/2006/relationships/queryTable" Target="../queryTables/queryTable411.xml"/><Relationship Id="rId33" Type="http://schemas.openxmlformats.org/officeDocument/2006/relationships/queryTable" Target="../queryTables/queryTable419.xml"/><Relationship Id="rId2" Type="http://schemas.openxmlformats.org/officeDocument/2006/relationships/drawing" Target="../drawings/drawing10.xml"/><Relationship Id="rId16" Type="http://schemas.openxmlformats.org/officeDocument/2006/relationships/queryTable" Target="../queryTables/queryTable402.xml"/><Relationship Id="rId20" Type="http://schemas.openxmlformats.org/officeDocument/2006/relationships/queryTable" Target="../queryTables/queryTable406.xml"/><Relationship Id="rId29" Type="http://schemas.openxmlformats.org/officeDocument/2006/relationships/queryTable" Target="../queryTables/queryTable41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11" Type="http://schemas.openxmlformats.org/officeDocument/2006/relationships/queryTable" Target="../queryTables/queryTable397.xml"/><Relationship Id="rId24" Type="http://schemas.openxmlformats.org/officeDocument/2006/relationships/queryTable" Target="../queryTables/queryTable410.xml"/><Relationship Id="rId32" Type="http://schemas.openxmlformats.org/officeDocument/2006/relationships/queryTable" Target="../queryTables/queryTable418.xml"/><Relationship Id="rId5" Type="http://schemas.openxmlformats.org/officeDocument/2006/relationships/ctrlProp" Target="../ctrlProps/ctrlProp20.xml"/><Relationship Id="rId15" Type="http://schemas.openxmlformats.org/officeDocument/2006/relationships/queryTable" Target="../queryTables/queryTable401.xml"/><Relationship Id="rId23" Type="http://schemas.openxmlformats.org/officeDocument/2006/relationships/queryTable" Target="../queryTables/queryTable409.xml"/><Relationship Id="rId28" Type="http://schemas.openxmlformats.org/officeDocument/2006/relationships/queryTable" Target="../queryTables/queryTable414.xml"/><Relationship Id="rId10" Type="http://schemas.openxmlformats.org/officeDocument/2006/relationships/queryTable" Target="../queryTables/queryTable396.xml"/><Relationship Id="rId19" Type="http://schemas.openxmlformats.org/officeDocument/2006/relationships/queryTable" Target="../queryTables/queryTable405.xml"/><Relationship Id="rId31" Type="http://schemas.openxmlformats.org/officeDocument/2006/relationships/queryTable" Target="../queryTables/queryTable417.xml"/><Relationship Id="rId4" Type="http://schemas.openxmlformats.org/officeDocument/2006/relationships/ctrlProp" Target="../ctrlProps/ctrlProp19.xml"/><Relationship Id="rId9" Type="http://schemas.openxmlformats.org/officeDocument/2006/relationships/queryTable" Target="../queryTables/queryTable395.xml"/><Relationship Id="rId14" Type="http://schemas.openxmlformats.org/officeDocument/2006/relationships/queryTable" Target="../queryTables/queryTable400.xml"/><Relationship Id="rId22" Type="http://schemas.openxmlformats.org/officeDocument/2006/relationships/queryTable" Target="../queryTables/queryTable408.xml"/><Relationship Id="rId27" Type="http://schemas.openxmlformats.org/officeDocument/2006/relationships/queryTable" Target="../queryTables/queryTable413.xml"/><Relationship Id="rId30" Type="http://schemas.openxmlformats.org/officeDocument/2006/relationships/queryTable" Target="../queryTables/queryTable416.xml"/><Relationship Id="rId35" Type="http://schemas.openxmlformats.org/officeDocument/2006/relationships/queryTable" Target="../queryTables/queryTable4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"/>
  <sheetViews>
    <sheetView workbookViewId="0">
      <selection activeCell="J1" sqref="J1"/>
    </sheetView>
  </sheetViews>
  <sheetFormatPr defaultColWidth="8.7109375" defaultRowHeight="15" x14ac:dyDescent="0.25"/>
  <cols>
    <col min="1" max="1" width="10.5703125" style="49" bestFit="1" customWidth="1"/>
    <col min="2" max="2" width="1.28515625" style="49" customWidth="1"/>
    <col min="3" max="3" width="4.28515625" style="49" bestFit="1" customWidth="1"/>
    <col min="4" max="4" width="7" style="49" bestFit="1" customWidth="1"/>
    <col min="5" max="5" width="1.28515625" style="49" customWidth="1"/>
    <col min="6" max="6" width="8.7109375" style="49"/>
    <col min="7" max="7" width="2.85546875" style="49" bestFit="1" customWidth="1"/>
    <col min="8" max="8" width="1.28515625" style="49" customWidth="1"/>
    <col min="9" max="9" width="18.28515625" style="49" bestFit="1" customWidth="1"/>
    <col min="10" max="10" width="2" style="51" bestFit="1" customWidth="1"/>
    <col min="11" max="16384" width="8.7109375" style="49"/>
  </cols>
  <sheetData>
    <row r="1" spans="1:11" x14ac:dyDescent="0.25">
      <c r="A1" s="3" t="s">
        <v>11</v>
      </c>
      <c r="B1" s="3"/>
      <c r="C1" s="49" t="s">
        <v>14</v>
      </c>
      <c r="D1" s="53" t="s">
        <v>0</v>
      </c>
      <c r="E1" s="3"/>
      <c r="F1" s="49" t="s">
        <v>15</v>
      </c>
      <c r="G1" s="53" t="s">
        <v>5</v>
      </c>
      <c r="H1" s="3"/>
      <c r="I1" s="50" t="s">
        <v>86</v>
      </c>
      <c r="J1" s="52">
        <v>3</v>
      </c>
      <c r="K1" s="3" t="s">
        <v>143</v>
      </c>
    </row>
    <row r="2" spans="1:11" x14ac:dyDescent="0.25">
      <c r="A2" s="3" t="s">
        <v>13</v>
      </c>
      <c r="B2" s="3"/>
      <c r="C2" s="49" t="s">
        <v>14</v>
      </c>
      <c r="D2" s="110" t="s">
        <v>10</v>
      </c>
      <c r="E2" s="3"/>
      <c r="H2" s="3"/>
    </row>
    <row r="3" spans="1:11" x14ac:dyDescent="0.25">
      <c r="A3" s="3" t="s">
        <v>12</v>
      </c>
      <c r="B3" s="3"/>
      <c r="C3" s="49" t="s">
        <v>14</v>
      </c>
      <c r="D3" s="53" t="s">
        <v>70</v>
      </c>
      <c r="E3" s="3"/>
      <c r="H3" s="3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Internal!$A$2:$A$3</xm:f>
          </x14:formula1>
          <xm:sqref>G1</xm:sqref>
        </x14:dataValidation>
        <x14:dataValidation type="list" allowBlank="1" showInputMessage="1" showErrorMessage="1" xr:uid="{00000000-0002-0000-0000-000001000000}">
          <x14:formula1>
            <xm:f>Internal!$G$2:$G$5</xm:f>
          </x14:formula1>
          <xm:sqref>J1</xm:sqref>
        </x14:dataValidation>
        <x14:dataValidation type="list" allowBlank="1" showInputMessage="1" showErrorMessage="1" xr:uid="{00000000-0002-0000-0000-000002000000}">
          <x14:formula1>
            <xm:f>Internal!$H$2:$H$31</xm:f>
          </x14:formula1>
          <xm:sqref>D2:D3</xm:sqref>
        </x14:dataValidation>
        <x14:dataValidation type="list" allowBlank="1" showInputMessage="1" showErrorMessage="1" xr:uid="{00000000-0002-0000-0000-000003000000}">
          <x14:formula1>
            <xm:f>Internal!$H$2:$H$41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D40"/>
  <sheetViews>
    <sheetView tabSelected="1" workbookViewId="0">
      <selection activeCell="Q25" sqref="Q25"/>
    </sheetView>
  </sheetViews>
  <sheetFormatPr defaultColWidth="12.28515625" defaultRowHeight="15" x14ac:dyDescent="0.25"/>
  <cols>
    <col min="1" max="1" width="2.7109375" style="11" bestFit="1" customWidth="1"/>
    <col min="2" max="2" width="11.5703125" style="11" bestFit="1" customWidth="1"/>
    <col min="3" max="3" width="9.5703125" style="54" bestFit="1" customWidth="1"/>
    <col min="4" max="5" width="12.28515625" style="12"/>
    <col min="6" max="7" width="12.28515625" style="12" customWidth="1"/>
    <col min="8" max="8" width="12.42578125" style="12" customWidth="1"/>
    <col min="9" max="9" width="12.28515625" style="95" customWidth="1"/>
    <col min="10" max="11" width="12.42578125" style="70" customWidth="1"/>
    <col min="12" max="12" width="12.28515625" style="12" customWidth="1"/>
    <col min="13" max="13" width="12.28515625" style="70"/>
    <col min="14" max="15" width="12.28515625" style="12"/>
    <col min="16" max="17" width="12.28515625" style="13"/>
    <col min="18" max="18" width="12.28515625" style="77" customWidth="1"/>
    <col min="19" max="19" width="14" style="77" bestFit="1" customWidth="1"/>
    <col min="20" max="21" width="12.28515625" style="77" customWidth="1"/>
    <col min="22" max="23" width="12.28515625" style="14"/>
    <col min="24" max="24" width="12.28515625" style="100"/>
    <col min="25" max="25" width="14" style="100" bestFit="1" customWidth="1"/>
    <col min="26" max="26" width="12.28515625" style="100"/>
    <col min="27" max="28" width="12.28515625" style="13"/>
    <col min="29" max="29" width="12.28515625" style="77"/>
    <col min="30" max="30" width="14" style="77" bestFit="1" customWidth="1"/>
    <col min="31" max="31" width="12.28515625" style="77"/>
    <col min="32" max="33" width="12.28515625" style="14"/>
    <col min="34" max="34" width="12.28515625" style="100"/>
    <col min="35" max="35" width="14" style="100" bestFit="1" customWidth="1"/>
    <col min="36" max="36" width="12.28515625" style="100"/>
    <col min="37" max="38" width="12.28515625" style="13"/>
    <col min="39" max="39" width="12.28515625" style="77"/>
    <col min="40" max="40" width="14" style="13" bestFit="1" customWidth="1"/>
    <col min="41" max="41" width="12.28515625" style="13"/>
    <col min="42" max="43" width="12.28515625" style="14"/>
    <col min="44" max="44" width="12.28515625" style="100"/>
    <col min="45" max="45" width="14" style="100" bestFit="1" customWidth="1"/>
    <col min="46" max="46" width="12.28515625" style="100"/>
    <col min="47" max="48" width="12.28515625" style="13"/>
    <col min="49" max="49" width="12.28515625" style="77"/>
    <col min="50" max="50" width="14" style="77" bestFit="1" customWidth="1"/>
    <col min="51" max="51" width="12.28515625" style="77"/>
    <col min="52" max="53" width="12.28515625" style="14"/>
    <col min="54" max="54" width="12.28515625" style="100"/>
    <col min="55" max="55" width="14" style="100" bestFit="1" customWidth="1"/>
    <col min="56" max="56" width="12.28515625" style="100"/>
    <col min="57" max="16384" width="12.28515625" style="16"/>
  </cols>
  <sheetData>
    <row r="1" spans="1:56" s="10" customFormat="1" ht="15.75" thickBot="1" x14ac:dyDescent="0.3">
      <c r="A1" s="6" t="s">
        <v>23</v>
      </c>
      <c r="B1" s="57" t="s">
        <v>89</v>
      </c>
      <c r="C1" s="57" t="s">
        <v>87</v>
      </c>
      <c r="D1" s="7" t="s">
        <v>51</v>
      </c>
      <c r="E1" s="130" t="s">
        <v>207</v>
      </c>
      <c r="F1" s="7" t="s">
        <v>31</v>
      </c>
      <c r="G1" s="7"/>
      <c r="H1" s="7" t="s">
        <v>32</v>
      </c>
      <c r="I1" s="66" t="s">
        <v>152</v>
      </c>
      <c r="J1" s="66" t="s">
        <v>165</v>
      </c>
      <c r="K1" s="66" t="s">
        <v>153</v>
      </c>
      <c r="L1" s="7" t="s">
        <v>33</v>
      </c>
      <c r="M1" s="66" t="s">
        <v>166</v>
      </c>
      <c r="N1" s="66" t="s">
        <v>165</v>
      </c>
      <c r="O1" s="66" t="s">
        <v>153</v>
      </c>
      <c r="P1" s="8" t="s">
        <v>53</v>
      </c>
      <c r="Q1" s="8" t="s">
        <v>46</v>
      </c>
      <c r="R1" s="73" t="s">
        <v>158</v>
      </c>
      <c r="S1" s="73" t="s">
        <v>160</v>
      </c>
      <c r="T1" s="73" t="s">
        <v>159</v>
      </c>
      <c r="U1" s="131" t="s">
        <v>206</v>
      </c>
      <c r="V1" s="9" t="s">
        <v>54</v>
      </c>
      <c r="W1" s="9" t="s">
        <v>16</v>
      </c>
      <c r="X1" s="99" t="s">
        <v>167</v>
      </c>
      <c r="Y1" s="99" t="s">
        <v>160</v>
      </c>
      <c r="Z1" s="99" t="s">
        <v>159</v>
      </c>
      <c r="AA1" s="8" t="s">
        <v>55</v>
      </c>
      <c r="AB1" s="8" t="s">
        <v>17</v>
      </c>
      <c r="AC1" s="73" t="s">
        <v>168</v>
      </c>
      <c r="AD1" s="73" t="s">
        <v>160</v>
      </c>
      <c r="AE1" s="73" t="s">
        <v>159</v>
      </c>
      <c r="AF1" s="9" t="s">
        <v>56</v>
      </c>
      <c r="AG1" s="9" t="s">
        <v>18</v>
      </c>
      <c r="AH1" s="99" t="s">
        <v>169</v>
      </c>
      <c r="AI1" s="99" t="s">
        <v>160</v>
      </c>
      <c r="AJ1" s="99" t="s">
        <v>159</v>
      </c>
      <c r="AK1" s="8" t="s">
        <v>57</v>
      </c>
      <c r="AL1" s="8" t="s">
        <v>19</v>
      </c>
      <c r="AM1" s="73" t="s">
        <v>171</v>
      </c>
      <c r="AN1" s="73" t="s">
        <v>172</v>
      </c>
      <c r="AO1" s="73" t="s">
        <v>173</v>
      </c>
      <c r="AP1" s="9" t="s">
        <v>58</v>
      </c>
      <c r="AQ1" s="9" t="s">
        <v>20</v>
      </c>
      <c r="AR1" s="99" t="s">
        <v>174</v>
      </c>
      <c r="AS1" s="99" t="s">
        <v>175</v>
      </c>
      <c r="AT1" s="99" t="s">
        <v>176</v>
      </c>
      <c r="AU1" s="8" t="s">
        <v>59</v>
      </c>
      <c r="AV1" s="8" t="s">
        <v>21</v>
      </c>
      <c r="AW1" s="73" t="s">
        <v>177</v>
      </c>
      <c r="AX1" s="73" t="s">
        <v>178</v>
      </c>
      <c r="AY1" s="73" t="s">
        <v>179</v>
      </c>
      <c r="AZ1" s="9" t="s">
        <v>60</v>
      </c>
      <c r="BA1" s="9" t="s">
        <v>22</v>
      </c>
      <c r="BB1" s="99" t="s">
        <v>180</v>
      </c>
      <c r="BC1" s="99" t="s">
        <v>181</v>
      </c>
      <c r="BD1" s="99" t="s">
        <v>182</v>
      </c>
    </row>
    <row r="2" spans="1:56" x14ac:dyDescent="0.25">
      <c r="A2" s="11">
        <v>1</v>
      </c>
      <c r="B2" s="11">
        <v>-5000</v>
      </c>
      <c r="C2" s="58">
        <v>-29475</v>
      </c>
      <c r="D2" s="12">
        <f>Voltage!L2</f>
        <v>-8.9880569000000001</v>
      </c>
      <c r="E2" s="12">
        <f>((C2-E$32)/E$26-D2)*1000</f>
        <v>0.69783898805297895</v>
      </c>
      <c r="F2" s="12">
        <f>Voltage!M2</f>
        <v>0</v>
      </c>
      <c r="H2" s="12">
        <f>Voltage!N2</f>
        <v>-29384</v>
      </c>
      <c r="I2" s="82">
        <f t="shared" ref="I2:I11" si="0">H2*I$26+I$32</f>
        <v>-8.9883149262000011</v>
      </c>
      <c r="J2" s="79">
        <f t="shared" ref="J2:J22" si="1">ABS($D2-I2)</f>
        <v>2.5802620000092702E-4</v>
      </c>
      <c r="K2" s="85">
        <f>ABS(J2/$D2)</f>
        <v>2.8707673179163676E-5</v>
      </c>
      <c r="L2" s="12">
        <f>Voltage!O2</f>
        <v>-29384</v>
      </c>
      <c r="M2" s="82">
        <f t="shared" ref="M2:M11" si="2">L2*M$26+M$32</f>
        <v>-8.9879318135999995</v>
      </c>
      <c r="N2" s="112">
        <f>ABS($D2-M2)</f>
        <v>1.250864000006402E-4</v>
      </c>
      <c r="O2" s="85">
        <f>ABS(N2/$D2)</f>
        <v>1.3916956845326623E-5</v>
      </c>
      <c r="P2" s="61">
        <f>'Range 0'!L2*1000</f>
        <v>-99.338328000000004</v>
      </c>
      <c r="Q2" s="13">
        <f>'Range 0'!M2</f>
        <v>-27334</v>
      </c>
      <c r="R2" s="91">
        <f t="shared" ref="R2:R11" si="3">Q2*R$26+R$32</f>
        <v>-99.312211435999998</v>
      </c>
      <c r="S2" s="91">
        <f t="shared" ref="S2:S22" si="4">ABS(R2-P2)</f>
        <v>2.6116564000005837E-2</v>
      </c>
      <c r="T2" s="88">
        <f t="shared" ref="T2:T22" si="5">ABS(S2/CUR_RNG_R0)</f>
        <v>2.6116564000005837E-4</v>
      </c>
      <c r="U2" s="88">
        <f>((B2-P$32)/P$26-R2)/CUR_RNG_R0</f>
        <v>-3.8722382620647977E-4</v>
      </c>
      <c r="V2" s="15">
        <f>'Range 1'!L2*1000</f>
        <v>-5.0629043999999999</v>
      </c>
      <c r="W2" s="14">
        <f>'Range 1'!M2</f>
        <v>-27591</v>
      </c>
      <c r="X2" s="100">
        <f t="shared" ref="X2:X11" si="6">W2*X$26+X$32</f>
        <v>-5.0608920600999996</v>
      </c>
      <c r="Y2" s="107">
        <f t="shared" ref="Y2:Y22" si="7">ABS(X2-V2)</f>
        <v>2.0123399000002706E-3</v>
      </c>
      <c r="Z2" s="118">
        <f t="shared" ref="Z2:Z22" si="8">ABS(Y2/CUR_RNG_R1)</f>
        <v>2.0123399000002706E-5</v>
      </c>
      <c r="AA2" s="61">
        <f>'Range 2'!L2*1000</f>
        <v>-0.24529999999999999</v>
      </c>
      <c r="AB2" s="13">
        <f>'Range 2'!M2</f>
        <v>-27597</v>
      </c>
      <c r="AC2" s="77">
        <f t="shared" ref="AC2:AC11" si="9">AB2*AC$26+AC$32</f>
        <v>-0.24503361762599998</v>
      </c>
      <c r="AD2" s="91">
        <f t="shared" ref="AD2:AD22" si="10">ABS(AC2-AA2)</f>
        <v>2.6638237400000708E-4</v>
      </c>
      <c r="AE2" s="115">
        <f t="shared" ref="AE2:AE22" si="11">ABS(AD2/CUR_RNG_R2)</f>
        <v>2.6638237400000708E-5</v>
      </c>
      <c r="AF2" s="15">
        <f>'Range 3'!L2*1000</f>
        <v>-1.2683999999999999E-2</v>
      </c>
      <c r="AG2" s="14">
        <f>'Range 3'!M2</f>
        <v>-27611</v>
      </c>
      <c r="AH2" s="100">
        <f t="shared" ref="AH2:AH11" si="12">AG2*AH$26+AH$32</f>
        <v>-1.2672584482E-2</v>
      </c>
      <c r="AI2" s="107">
        <f t="shared" ref="AI2:AI22" si="13">ABS(AH2-AF2)</f>
        <v>1.1415517999999528E-5</v>
      </c>
      <c r="AJ2" s="118">
        <f t="shared" ref="AJ2:AJ22" si="14">ABS(AI2/CUR_RNG_R3)</f>
        <v>1.1415517999999528E-5</v>
      </c>
      <c r="AK2" s="61">
        <f>'Range 4'!L2*1000</f>
        <v>9.3433600000000006E-2</v>
      </c>
      <c r="AL2" s="13">
        <f>'Range 4'!M2</f>
        <v>-30594</v>
      </c>
      <c r="AM2" s="77">
        <f t="shared" ref="AM2:AM11" si="15">AL2*AM$26+AM$32</f>
        <v>0</v>
      </c>
      <c r="AN2" s="91">
        <f t="shared" ref="AN2:AN22" si="16">ABS(AM2-AK2)</f>
        <v>9.3433600000000006E-2</v>
      </c>
      <c r="AO2" s="122">
        <f t="shared" ref="AO2:AO22" si="17">ABS(AN2/CUR_RNG_R3)</f>
        <v>9.3433600000000006E-2</v>
      </c>
      <c r="AR2" s="100" t="e">
        <f t="shared" ref="AR2:AR11" si="18">AQ2*AQ$26+AQ$32</f>
        <v>#DIV/0!</v>
      </c>
      <c r="AS2" s="107" t="e">
        <f t="shared" ref="AS2:AS22" si="19">ABS(AR2-AP2)</f>
        <v>#DIV/0!</v>
      </c>
      <c r="AT2" s="118" t="e">
        <f t="shared" ref="AT2:AT22" si="20">ABS(AS2/CUR_RNG_R3)</f>
        <v>#DIV/0!</v>
      </c>
      <c r="AW2" s="77" t="e">
        <f t="shared" ref="AW2:AW11" si="21">AV2*AV$26+AV$32</f>
        <v>#DIV/0!</v>
      </c>
      <c r="AX2" s="91" t="e">
        <f t="shared" ref="AX2:AX22" si="22">ABS(AW2-AU2)</f>
        <v>#DIV/0!</v>
      </c>
      <c r="AY2" s="122" t="e">
        <f t="shared" ref="AY2:AY22" si="23">ABS(AX2/CUR_RNG_R3)</f>
        <v>#DIV/0!</v>
      </c>
      <c r="BB2" s="100" t="e">
        <f t="shared" ref="BB2:BB11" si="24">BA2*BA$26+BA$32</f>
        <v>#DIV/0!</v>
      </c>
      <c r="BC2" s="107" t="e">
        <f t="shared" ref="BC2:BC22" si="25">ABS(BB2-AZ2)</f>
        <v>#DIV/0!</v>
      </c>
      <c r="BD2" s="118" t="e">
        <f t="shared" ref="BD2:BD22" si="26">ABS(BC2/CUR_RNG_R3)</f>
        <v>#DIV/0!</v>
      </c>
    </row>
    <row r="3" spans="1:56" x14ac:dyDescent="0.25">
      <c r="A3" s="11">
        <v>2</v>
      </c>
      <c r="B3" s="11">
        <v>-4500</v>
      </c>
      <c r="C3" s="58">
        <v>-26200</v>
      </c>
      <c r="D3" s="12">
        <f>Voltage!L3</f>
        <v>-7.9876554000000004</v>
      </c>
      <c r="E3" s="12">
        <f t="shared" ref="E3:E22" si="27">((C3-E$32)/E$26-D3)*1000</f>
        <v>-0.35819414978544017</v>
      </c>
      <c r="F3" s="12">
        <f>Voltage!M3</f>
        <v>0</v>
      </c>
      <c r="H3" s="12">
        <f>Voltage!N3</f>
        <v>-26114</v>
      </c>
      <c r="I3" s="82">
        <f t="shared" si="0"/>
        <v>-7.9877413602000003</v>
      </c>
      <c r="J3" s="79">
        <f t="shared" si="1"/>
        <v>8.5960199999846054E-5</v>
      </c>
      <c r="K3" s="85">
        <f>ABS(J3/$D3)</f>
        <v>1.0761631003741855E-5</v>
      </c>
      <c r="L3" s="12">
        <f>Voltage!O3</f>
        <v>-26114</v>
      </c>
      <c r="M3" s="82">
        <f t="shared" si="2"/>
        <v>-7.9874511156000008</v>
      </c>
      <c r="N3" s="112">
        <f t="shared" ref="N3:N22" si="28">ABS($D3-M3)</f>
        <v>2.0428439999964354E-4</v>
      </c>
      <c r="O3" s="85">
        <f t="shared" ref="O3:O22" si="29">ABS(N3/$D3)</f>
        <v>2.5575014164938003E-5</v>
      </c>
      <c r="P3" s="13">
        <f>'Range 0'!L3*1000</f>
        <v>-89.369095000000002</v>
      </c>
      <c r="Q3" s="13">
        <f>'Range 0'!M3</f>
        <v>-24622</v>
      </c>
      <c r="R3" s="91">
        <f t="shared" si="3"/>
        <v>-89.451788948000001</v>
      </c>
      <c r="S3" s="91">
        <f t="shared" si="4"/>
        <v>8.2693947999999295E-2</v>
      </c>
      <c r="T3" s="88">
        <f t="shared" si="5"/>
        <v>8.2693947999999294E-4</v>
      </c>
      <c r="U3" s="88">
        <f>((B3-P$32)/P$26-R3)/CUR_RNG_R0</f>
        <v>7.1398199891760329E-4</v>
      </c>
      <c r="V3" s="14">
        <f>'Range 1'!L3*1000</f>
        <v>-4.5552409999999997</v>
      </c>
      <c r="W3" s="14">
        <f>'Range 1'!M3</f>
        <v>-24865</v>
      </c>
      <c r="X3" s="100">
        <f t="shared" si="6"/>
        <v>-4.5605126794999995</v>
      </c>
      <c r="Y3" s="107">
        <f t="shared" si="7"/>
        <v>5.2716794999998484E-3</v>
      </c>
      <c r="Z3" s="118">
        <f t="shared" si="8"/>
        <v>5.2716794999998485E-5</v>
      </c>
      <c r="AA3" s="13">
        <f>'Range 2'!L3*1000</f>
        <v>-0.22070000000000001</v>
      </c>
      <c r="AB3" s="13">
        <f>'Range 2'!M3</f>
        <v>-24876</v>
      </c>
      <c r="AC3" s="77">
        <f t="shared" si="9"/>
        <v>-0.22085710270799999</v>
      </c>
      <c r="AD3" s="91">
        <f t="shared" si="10"/>
        <v>1.5710270799998427E-4</v>
      </c>
      <c r="AE3" s="115">
        <f t="shared" si="11"/>
        <v>1.5710270799998426E-5</v>
      </c>
      <c r="AF3" s="14">
        <f>'Range 3'!L3*1000</f>
        <v>-1.1412E-2</v>
      </c>
      <c r="AG3" s="14">
        <f>'Range 3'!M3</f>
        <v>-24893</v>
      </c>
      <c r="AH3" s="100">
        <f t="shared" si="12"/>
        <v>-1.1424261442000001E-2</v>
      </c>
      <c r="AI3" s="107">
        <f t="shared" si="13"/>
        <v>1.2261442000000358E-5</v>
      </c>
      <c r="AJ3" s="118">
        <f t="shared" si="14"/>
        <v>1.2261442000000358E-5</v>
      </c>
      <c r="AK3" s="13">
        <f>'Range 4'!L3*1000</f>
        <v>8.1765499999999991E-2</v>
      </c>
      <c r="AL3" s="13">
        <f>'Range 4'!M3</f>
        <v>-26759</v>
      </c>
      <c r="AM3" s="77">
        <f t="shared" si="15"/>
        <v>0</v>
      </c>
      <c r="AN3" s="91">
        <f t="shared" si="16"/>
        <v>8.1765499999999991E-2</v>
      </c>
      <c r="AO3" s="122">
        <f t="shared" si="17"/>
        <v>8.1765499999999991E-2</v>
      </c>
      <c r="AR3" s="100" t="e">
        <f t="shared" si="18"/>
        <v>#DIV/0!</v>
      </c>
      <c r="AS3" s="107" t="e">
        <f t="shared" si="19"/>
        <v>#DIV/0!</v>
      </c>
      <c r="AT3" s="118" t="e">
        <f t="shared" si="20"/>
        <v>#DIV/0!</v>
      </c>
      <c r="AW3" s="77" t="e">
        <f t="shared" si="21"/>
        <v>#DIV/0!</v>
      </c>
      <c r="AX3" s="91" t="e">
        <f t="shared" si="22"/>
        <v>#DIV/0!</v>
      </c>
      <c r="AY3" s="122" t="e">
        <f t="shared" si="23"/>
        <v>#DIV/0!</v>
      </c>
      <c r="BB3" s="100" t="e">
        <f t="shared" si="24"/>
        <v>#DIV/0!</v>
      </c>
      <c r="BC3" s="107" t="e">
        <f t="shared" si="25"/>
        <v>#DIV/0!</v>
      </c>
      <c r="BD3" s="118" t="e">
        <f t="shared" si="26"/>
        <v>#DIV/0!</v>
      </c>
    </row>
    <row r="4" spans="1:56" x14ac:dyDescent="0.25">
      <c r="A4" s="11">
        <v>3</v>
      </c>
      <c r="B4" s="11">
        <v>-4000</v>
      </c>
      <c r="C4" s="58">
        <v>-22925</v>
      </c>
      <c r="D4" s="12">
        <f>Voltage!L4</f>
        <v>-6.9878684</v>
      </c>
      <c r="E4" s="12">
        <f t="shared" si="27"/>
        <v>-0.79972728762367495</v>
      </c>
      <c r="F4" s="12">
        <f>Voltage!M4</f>
        <v>0</v>
      </c>
      <c r="H4" s="12">
        <f>Voltage!N4</f>
        <v>-22846</v>
      </c>
      <c r="I4" s="82">
        <f t="shared" si="0"/>
        <v>-6.9877797658</v>
      </c>
      <c r="J4" s="79">
        <f t="shared" si="1"/>
        <v>8.863419999993738E-5</v>
      </c>
      <c r="K4" s="85">
        <f>ABS(J4/$D4)</f>
        <v>1.2684011049769824E-5</v>
      </c>
      <c r="L4" s="12">
        <f>Voltage!O4</f>
        <v>-22846</v>
      </c>
      <c r="M4" s="82">
        <f t="shared" si="2"/>
        <v>-6.9875823324000006</v>
      </c>
      <c r="N4" s="112">
        <f t="shared" si="28"/>
        <v>2.8606759999938447E-4</v>
      </c>
      <c r="O4" s="85">
        <f t="shared" si="29"/>
        <v>4.0937748627232943E-5</v>
      </c>
      <c r="P4" s="13">
        <f>'Range 0'!L4*1000</f>
        <v>-79.396991999999997</v>
      </c>
      <c r="Q4" s="13">
        <f>'Range 0'!M4</f>
        <v>-21879</v>
      </c>
      <c r="R4" s="91">
        <f t="shared" si="3"/>
        <v>-79.478655141000004</v>
      </c>
      <c r="S4" s="91">
        <f t="shared" si="4"/>
        <v>8.1663141000007045E-2</v>
      </c>
      <c r="T4" s="88">
        <f t="shared" si="5"/>
        <v>8.1663141000007042E-4</v>
      </c>
      <c r="U4" s="88">
        <f>((B4-P$32)/P$26-R4)/CUR_RNG_R0</f>
        <v>6.8807463404155559E-4</v>
      </c>
      <c r="V4" s="14">
        <f>'Range 1'!L4*1000</f>
        <v>-4.0472448999999999</v>
      </c>
      <c r="W4" s="14">
        <f>'Range 1'!M4</f>
        <v>-22098</v>
      </c>
      <c r="X4" s="100">
        <f t="shared" si="6"/>
        <v>-4.052607416799999</v>
      </c>
      <c r="Y4" s="107">
        <f t="shared" si="7"/>
        <v>5.3625167999991064E-3</v>
      </c>
      <c r="Z4" s="118">
        <f t="shared" si="8"/>
        <v>5.3625167999991064E-5</v>
      </c>
      <c r="AA4" s="13">
        <f>'Range 2'!L4*1000</f>
        <v>-0.1961</v>
      </c>
      <c r="AB4" s="13">
        <f>'Range 2'!M4</f>
        <v>-22108</v>
      </c>
      <c r="AC4" s="77">
        <f t="shared" si="9"/>
        <v>-0.196262985364</v>
      </c>
      <c r="AD4" s="91">
        <f t="shared" si="10"/>
        <v>1.6298536400000119E-4</v>
      </c>
      <c r="AE4" s="115">
        <f t="shared" si="11"/>
        <v>1.629853640000012E-5</v>
      </c>
      <c r="AF4" s="14">
        <f>'Range 3'!L4*1000</f>
        <v>-1.0141000000000001E-2</v>
      </c>
      <c r="AG4" s="14">
        <f>'Range 3'!M4</f>
        <v>-22126</v>
      </c>
      <c r="AH4" s="100">
        <f t="shared" si="12"/>
        <v>-1.0153433682E-2</v>
      </c>
      <c r="AI4" s="107">
        <f t="shared" si="13"/>
        <v>1.2433681999999072E-5</v>
      </c>
      <c r="AJ4" s="118">
        <f t="shared" si="14"/>
        <v>1.2433681999999072E-5</v>
      </c>
      <c r="AK4" s="13">
        <f>'Range 4'!L4*1000</f>
        <v>7.0148100000000005E-2</v>
      </c>
      <c r="AL4" s="13">
        <f>'Range 4'!M4</f>
        <v>-22923</v>
      </c>
      <c r="AM4" s="77">
        <f t="shared" si="15"/>
        <v>0</v>
      </c>
      <c r="AN4" s="91">
        <f t="shared" si="16"/>
        <v>7.0148100000000005E-2</v>
      </c>
      <c r="AO4" s="122">
        <f t="shared" si="17"/>
        <v>7.0148100000000005E-2</v>
      </c>
      <c r="AR4" s="100" t="e">
        <f t="shared" si="18"/>
        <v>#DIV/0!</v>
      </c>
      <c r="AS4" s="107" t="e">
        <f t="shared" si="19"/>
        <v>#DIV/0!</v>
      </c>
      <c r="AT4" s="118" t="e">
        <f t="shared" si="20"/>
        <v>#DIV/0!</v>
      </c>
      <c r="AW4" s="77" t="e">
        <f t="shared" si="21"/>
        <v>#DIV/0!</v>
      </c>
      <c r="AX4" s="91" t="e">
        <f t="shared" si="22"/>
        <v>#DIV/0!</v>
      </c>
      <c r="AY4" s="122" t="e">
        <f t="shared" si="23"/>
        <v>#DIV/0!</v>
      </c>
      <c r="BB4" s="100" t="e">
        <f t="shared" si="24"/>
        <v>#DIV/0!</v>
      </c>
      <c r="BC4" s="107" t="e">
        <f t="shared" si="25"/>
        <v>#DIV/0!</v>
      </c>
      <c r="BD4" s="118" t="e">
        <f t="shared" si="26"/>
        <v>#DIV/0!</v>
      </c>
    </row>
    <row r="5" spans="1:56" x14ac:dyDescent="0.25">
      <c r="A5" s="11">
        <v>4</v>
      </c>
      <c r="B5" s="11">
        <v>-3500</v>
      </c>
      <c r="C5" s="58">
        <v>-19650</v>
      </c>
      <c r="D5" s="12">
        <f>Voltage!L5</f>
        <v>-5.9883796</v>
      </c>
      <c r="E5" s="12">
        <f t="shared" si="27"/>
        <v>-0.94306042546143942</v>
      </c>
      <c r="F5" s="12">
        <f>Voltage!M5</f>
        <v>0</v>
      </c>
      <c r="H5" s="12">
        <f>Voltage!N5</f>
        <v>-19580</v>
      </c>
      <c r="I5" s="82">
        <f t="shared" si="0"/>
        <v>-5.9884301430000004</v>
      </c>
      <c r="J5" s="79">
        <f t="shared" si="1"/>
        <v>5.0543000000402571E-5</v>
      </c>
      <c r="K5" s="85">
        <f>ABS(J5/$D5)</f>
        <v>8.4401797107856311E-6</v>
      </c>
      <c r="L5" s="12">
        <f>Voltage!O5</f>
        <v>-19579</v>
      </c>
      <c r="M5" s="82">
        <f t="shared" si="2"/>
        <v>-5.9880195066000006</v>
      </c>
      <c r="N5" s="112">
        <f t="shared" si="28"/>
        <v>3.6009339999942824E-4</v>
      </c>
      <c r="O5" s="85">
        <f t="shared" si="29"/>
        <v>6.0132026366436127E-5</v>
      </c>
      <c r="P5" s="13">
        <f>'Range 0'!L5*1000</f>
        <v>-69.427941000000004</v>
      </c>
      <c r="Q5" s="13">
        <f>'Range 0'!M5</f>
        <v>-19133</v>
      </c>
      <c r="R5" s="91">
        <f t="shared" si="3"/>
        <v>-69.494613787000006</v>
      </c>
      <c r="S5" s="91">
        <f t="shared" si="4"/>
        <v>6.6672787000001676E-2</v>
      </c>
      <c r="T5" s="88">
        <f t="shared" si="5"/>
        <v>6.6672787000001679E-4</v>
      </c>
      <c r="U5" s="88">
        <f>((B5-P$32)/P$26-R5)/CUR_RNG_R0</f>
        <v>5.5309179916562812E-4</v>
      </c>
      <c r="V5" s="14">
        <f>'Range 1'!L5*1000</f>
        <v>-3.5394363000000002</v>
      </c>
      <c r="W5" s="14">
        <f>'Range 1'!M5</f>
        <v>-19327</v>
      </c>
      <c r="X5" s="100">
        <f t="shared" si="6"/>
        <v>-3.5439679216999997</v>
      </c>
      <c r="Y5" s="107">
        <f t="shared" si="7"/>
        <v>4.531621699999544E-3</v>
      </c>
      <c r="Z5" s="118">
        <f t="shared" si="8"/>
        <v>4.5316216999995438E-5</v>
      </c>
      <c r="AA5" s="13">
        <f>'Range 2'!L5*1000</f>
        <v>-0.17144999999999999</v>
      </c>
      <c r="AB5" s="13">
        <f>'Range 2'!M5</f>
        <v>-19336</v>
      </c>
      <c r="AC5" s="77">
        <f t="shared" si="9"/>
        <v>-0.171633327388</v>
      </c>
      <c r="AD5" s="91">
        <f t="shared" si="10"/>
        <v>1.8332738800000414E-4</v>
      </c>
      <c r="AE5" s="115">
        <f t="shared" si="11"/>
        <v>1.8332738800000415E-5</v>
      </c>
      <c r="AF5" s="14">
        <f>'Range 3'!L5*1000</f>
        <v>-8.8689999999999984E-3</v>
      </c>
      <c r="AG5" s="14">
        <f>'Range 3'!M5</f>
        <v>-19354</v>
      </c>
      <c r="AH5" s="100">
        <f t="shared" si="12"/>
        <v>-8.8803095219999999E-3</v>
      </c>
      <c r="AI5" s="107">
        <f t="shared" si="13"/>
        <v>1.1309522000001529E-5</v>
      </c>
      <c r="AJ5" s="118">
        <f t="shared" si="14"/>
        <v>1.1309522000001529E-5</v>
      </c>
      <c r="AK5" s="13">
        <f>'Range 4'!L5*1000</f>
        <v>5.8409000000000003E-2</v>
      </c>
      <c r="AL5" s="13">
        <f>'Range 4'!M5</f>
        <v>-19087</v>
      </c>
      <c r="AM5" s="77">
        <f t="shared" si="15"/>
        <v>0</v>
      </c>
      <c r="AN5" s="91">
        <f t="shared" si="16"/>
        <v>5.8409000000000003E-2</v>
      </c>
      <c r="AO5" s="122">
        <f t="shared" si="17"/>
        <v>5.8409000000000003E-2</v>
      </c>
      <c r="AR5" s="100" t="e">
        <f t="shared" si="18"/>
        <v>#DIV/0!</v>
      </c>
      <c r="AS5" s="107" t="e">
        <f t="shared" si="19"/>
        <v>#DIV/0!</v>
      </c>
      <c r="AT5" s="118" t="e">
        <f t="shared" si="20"/>
        <v>#DIV/0!</v>
      </c>
      <c r="AW5" s="77" t="e">
        <f t="shared" si="21"/>
        <v>#DIV/0!</v>
      </c>
      <c r="AX5" s="91" t="e">
        <f t="shared" si="22"/>
        <v>#DIV/0!</v>
      </c>
      <c r="AY5" s="122" t="e">
        <f t="shared" si="23"/>
        <v>#DIV/0!</v>
      </c>
      <c r="BB5" s="100" t="e">
        <f t="shared" si="24"/>
        <v>#DIV/0!</v>
      </c>
      <c r="BC5" s="107" t="e">
        <f t="shared" si="25"/>
        <v>#DIV/0!</v>
      </c>
      <c r="BD5" s="118" t="e">
        <f t="shared" si="26"/>
        <v>#DIV/0!</v>
      </c>
    </row>
    <row r="6" spans="1:56" x14ac:dyDescent="0.25">
      <c r="A6" s="11">
        <v>5</v>
      </c>
      <c r="B6" s="11">
        <v>-3000</v>
      </c>
      <c r="C6" s="58">
        <v>-16375</v>
      </c>
      <c r="D6" s="12">
        <f>Voltage!L6</f>
        <v>-4.9896076999999996</v>
      </c>
      <c r="E6" s="12">
        <f t="shared" si="27"/>
        <v>-0.36949356330051586</v>
      </c>
      <c r="F6" s="12">
        <f>Voltage!M6</f>
        <v>0</v>
      </c>
      <c r="H6" s="12">
        <f>Voltage!N6</f>
        <v>-16316</v>
      </c>
      <c r="I6" s="82">
        <f t="shared" si="0"/>
        <v>-4.9896924918000005</v>
      </c>
      <c r="J6" s="79">
        <f t="shared" si="1"/>
        <v>8.4791800000871831E-5</v>
      </c>
      <c r="K6" s="85">
        <f>ABS(J6/$D6)</f>
        <v>1.6993680685732434E-5</v>
      </c>
      <c r="L6" s="12">
        <f>Voltage!O6</f>
        <v>-16314</v>
      </c>
      <c r="M6" s="82">
        <f t="shared" si="2"/>
        <v>-4.9890685956</v>
      </c>
      <c r="N6" s="112">
        <f t="shared" si="28"/>
        <v>5.3910439999960147E-4</v>
      </c>
      <c r="O6" s="85">
        <f t="shared" si="29"/>
        <v>1.0804544814206567E-4</v>
      </c>
      <c r="P6" s="13">
        <f>'Range 0'!L6*1000</f>
        <v>-59.453964999999997</v>
      </c>
      <c r="Q6" s="13">
        <f>'Range 0'!M6</f>
        <v>-16384</v>
      </c>
      <c r="R6" s="91">
        <f t="shared" si="3"/>
        <v>-59.499664885999998</v>
      </c>
      <c r="S6" s="91">
        <f t="shared" si="4"/>
        <v>4.56998860000013E-2</v>
      </c>
      <c r="T6" s="88">
        <f t="shared" si="5"/>
        <v>4.5699886000001301E-4</v>
      </c>
      <c r="U6" s="88">
        <f>((B6-P$32)/P$26-R6)/CUR_RNG_R0</f>
        <v>3.0903349428953677E-4</v>
      </c>
      <c r="V6" s="14">
        <f>'Range 1'!L6*1000</f>
        <v>-3.0314754000000002</v>
      </c>
      <c r="W6" s="14">
        <f>'Range 1'!M6</f>
        <v>-16552</v>
      </c>
      <c r="X6" s="100">
        <f t="shared" si="6"/>
        <v>-3.0345941941999999</v>
      </c>
      <c r="Y6" s="107">
        <f t="shared" si="7"/>
        <v>3.1187941999997193E-3</v>
      </c>
      <c r="Z6" s="118">
        <f t="shared" si="8"/>
        <v>3.1187941999997196E-5</v>
      </c>
      <c r="AA6" s="13">
        <f>'Range 2'!L6*1000</f>
        <v>-0.14688000000000001</v>
      </c>
      <c r="AB6" s="13">
        <f>'Range 2'!M6</f>
        <v>-16560</v>
      </c>
      <c r="AC6" s="77">
        <f t="shared" si="9"/>
        <v>-0.14696812878000001</v>
      </c>
      <c r="AD6" s="91">
        <f t="shared" si="10"/>
        <v>8.8128780000001905E-5</v>
      </c>
      <c r="AE6" s="115">
        <f t="shared" si="11"/>
        <v>8.8128780000001912E-6</v>
      </c>
      <c r="AF6" s="14">
        <f>'Range 3'!L6*1000</f>
        <v>-7.5970000000000005E-3</v>
      </c>
      <c r="AG6" s="14">
        <f>'Range 3'!M6</f>
        <v>-16578</v>
      </c>
      <c r="AH6" s="100">
        <f t="shared" si="12"/>
        <v>-7.6053482420000004E-3</v>
      </c>
      <c r="AI6" s="107">
        <f t="shared" si="13"/>
        <v>8.3482419999999363E-6</v>
      </c>
      <c r="AJ6" s="118">
        <f t="shared" si="14"/>
        <v>8.3482419999999363E-6</v>
      </c>
      <c r="AK6" s="13">
        <f>'Range 4'!L6*1000</f>
        <v>4.6690100000000005E-2</v>
      </c>
      <c r="AL6" s="13">
        <f>'Range 4'!M6</f>
        <v>-15250</v>
      </c>
      <c r="AM6" s="77">
        <f t="shared" si="15"/>
        <v>0</v>
      </c>
      <c r="AN6" s="91">
        <f t="shared" si="16"/>
        <v>4.6690100000000005E-2</v>
      </c>
      <c r="AO6" s="122">
        <f t="shared" si="17"/>
        <v>4.6690100000000005E-2</v>
      </c>
      <c r="AR6" s="100" t="e">
        <f t="shared" si="18"/>
        <v>#DIV/0!</v>
      </c>
      <c r="AS6" s="107" t="e">
        <f t="shared" si="19"/>
        <v>#DIV/0!</v>
      </c>
      <c r="AT6" s="118" t="e">
        <f t="shared" si="20"/>
        <v>#DIV/0!</v>
      </c>
      <c r="AW6" s="77" t="e">
        <f t="shared" si="21"/>
        <v>#DIV/0!</v>
      </c>
      <c r="AX6" s="91" t="e">
        <f t="shared" si="22"/>
        <v>#DIV/0!</v>
      </c>
      <c r="AY6" s="122" t="e">
        <f t="shared" si="23"/>
        <v>#DIV/0!</v>
      </c>
      <c r="BB6" s="100" t="e">
        <f t="shared" si="24"/>
        <v>#DIV/0!</v>
      </c>
      <c r="BC6" s="107" t="e">
        <f t="shared" si="25"/>
        <v>#DIV/0!</v>
      </c>
      <c r="BD6" s="118" t="e">
        <f t="shared" si="26"/>
        <v>#DIV/0!</v>
      </c>
    </row>
    <row r="7" spans="1:56" x14ac:dyDescent="0.25">
      <c r="A7" s="11">
        <v>6</v>
      </c>
      <c r="B7" s="11">
        <v>-2500</v>
      </c>
      <c r="C7" s="58">
        <v>-13100</v>
      </c>
      <c r="D7" s="12">
        <f>Voltage!L7</f>
        <v>-3.9907724</v>
      </c>
      <c r="E7" s="12">
        <f t="shared" si="27"/>
        <v>0.14067329886202629</v>
      </c>
      <c r="F7" s="12">
        <f>Voltage!M7</f>
        <v>0</v>
      </c>
      <c r="H7" s="12">
        <f>Voltage!N7</f>
        <v>-13051</v>
      </c>
      <c r="I7" s="82">
        <f t="shared" si="0"/>
        <v>-3.9906488547999999</v>
      </c>
      <c r="J7" s="79">
        <f t="shared" si="1"/>
        <v>1.2354520000013025E-4</v>
      </c>
      <c r="K7" s="85">
        <f>ABS(J7/$D7)</f>
        <v>3.0957716355893971E-5</v>
      </c>
      <c r="L7" s="12">
        <f>Voltage!O7</f>
        <v>-13049</v>
      </c>
      <c r="M7" s="82">
        <f t="shared" si="2"/>
        <v>-3.9901176846000004</v>
      </c>
      <c r="N7" s="112">
        <f t="shared" si="28"/>
        <v>6.5471539999961692E-4</v>
      </c>
      <c r="O7" s="85">
        <f t="shared" si="29"/>
        <v>1.64057313817149E-4</v>
      </c>
      <c r="P7" s="13">
        <f>'Range 0'!L7*1000</f>
        <v>-49.483524000000003</v>
      </c>
      <c r="Q7" s="13">
        <f>'Range 0'!M7</f>
        <v>-13635</v>
      </c>
      <c r="R7" s="91">
        <f t="shared" si="3"/>
        <v>-49.504715984999997</v>
      </c>
      <c r="S7" s="91">
        <f t="shared" si="4"/>
        <v>2.1191984999994418E-2</v>
      </c>
      <c r="T7" s="88">
        <f t="shared" si="5"/>
        <v>2.1191984999994418E-4</v>
      </c>
      <c r="U7" s="88">
        <f>((B7-P$32)/P$26-R7)/CUR_RNG_R0</f>
        <v>6.4975189413516427E-5</v>
      </c>
      <c r="V7" s="14">
        <f>'Range 1'!L7*1000</f>
        <v>-2.5234760000000001</v>
      </c>
      <c r="W7" s="14">
        <f>'Range 1'!M7</f>
        <v>-13778</v>
      </c>
      <c r="X7" s="100">
        <f t="shared" si="6"/>
        <v>-2.5254040247999998</v>
      </c>
      <c r="Y7" s="107">
        <f t="shared" si="7"/>
        <v>1.9280247999997613E-3</v>
      </c>
      <c r="Z7" s="118">
        <f t="shared" si="8"/>
        <v>1.9280247999997611E-5</v>
      </c>
      <c r="AA7" s="13">
        <f>'Range 2'!L7*1000</f>
        <v>-0.12227</v>
      </c>
      <c r="AB7" s="13">
        <f>'Range 2'!M7</f>
        <v>-13785</v>
      </c>
      <c r="AC7" s="77">
        <f t="shared" si="9"/>
        <v>-0.12231181532999999</v>
      </c>
      <c r="AD7" s="91">
        <f t="shared" si="10"/>
        <v>4.1815329999986273E-5</v>
      </c>
      <c r="AE7" s="115">
        <f t="shared" si="11"/>
        <v>4.1815329999986269E-6</v>
      </c>
      <c r="AF7" s="14">
        <f>'Range 3'!L7*1000</f>
        <v>-6.326E-3</v>
      </c>
      <c r="AG7" s="14">
        <f>'Range 3'!M7</f>
        <v>-13802</v>
      </c>
      <c r="AH7" s="100">
        <f t="shared" si="12"/>
        <v>-6.330386962E-3</v>
      </c>
      <c r="AI7" s="107">
        <f t="shared" si="13"/>
        <v>4.3869619999999457E-6</v>
      </c>
      <c r="AJ7" s="118">
        <f t="shared" si="14"/>
        <v>4.3869619999999457E-6</v>
      </c>
      <c r="AK7" s="13">
        <f>'Range 4'!L7*1000</f>
        <v>3.4796099999999996E-2</v>
      </c>
      <c r="AL7" s="13">
        <f>'Range 4'!M7</f>
        <v>-11411</v>
      </c>
      <c r="AM7" s="77">
        <f t="shared" si="15"/>
        <v>0</v>
      </c>
      <c r="AN7" s="91">
        <f t="shared" si="16"/>
        <v>3.4796099999999996E-2</v>
      </c>
      <c r="AO7" s="122">
        <f t="shared" si="17"/>
        <v>3.4796099999999996E-2</v>
      </c>
      <c r="AR7" s="100" t="e">
        <f t="shared" si="18"/>
        <v>#DIV/0!</v>
      </c>
      <c r="AS7" s="107" t="e">
        <f t="shared" si="19"/>
        <v>#DIV/0!</v>
      </c>
      <c r="AT7" s="118" t="e">
        <f t="shared" si="20"/>
        <v>#DIV/0!</v>
      </c>
      <c r="AW7" s="77" t="e">
        <f t="shared" si="21"/>
        <v>#DIV/0!</v>
      </c>
      <c r="AX7" s="91" t="e">
        <f t="shared" si="22"/>
        <v>#DIV/0!</v>
      </c>
      <c r="AY7" s="122" t="e">
        <f t="shared" si="23"/>
        <v>#DIV/0!</v>
      </c>
      <c r="BB7" s="100" t="e">
        <f t="shared" si="24"/>
        <v>#DIV/0!</v>
      </c>
      <c r="BC7" s="107" t="e">
        <f t="shared" si="25"/>
        <v>#DIV/0!</v>
      </c>
      <c r="BD7" s="118" t="e">
        <f t="shared" si="26"/>
        <v>#DIV/0!</v>
      </c>
    </row>
    <row r="8" spans="1:56" x14ac:dyDescent="0.25">
      <c r="A8" s="11">
        <v>7</v>
      </c>
      <c r="B8" s="11">
        <v>-2000</v>
      </c>
      <c r="C8" s="58">
        <v>-9825</v>
      </c>
      <c r="D8" s="12">
        <f>Voltage!L8</f>
        <v>-2.9910516999999999</v>
      </c>
      <c r="E8" s="12">
        <f t="shared" si="27"/>
        <v>-0.23455983897591182</v>
      </c>
      <c r="F8" s="12">
        <f>Voltage!M8</f>
        <v>0</v>
      </c>
      <c r="H8" s="12">
        <f>Voltage!N8</f>
        <v>-9784</v>
      </c>
      <c r="I8" s="82">
        <f t="shared" si="0"/>
        <v>-2.9909932462</v>
      </c>
      <c r="J8" s="79">
        <f t="shared" si="1"/>
        <v>5.8453799999913514E-5</v>
      </c>
      <c r="K8" s="85">
        <f>ABS(J8/$D8)</f>
        <v>1.9542891886460377E-5</v>
      </c>
      <c r="L8" s="12">
        <f>Voltage!O8</f>
        <v>-9782</v>
      </c>
      <c r="M8" s="82">
        <f t="shared" si="2"/>
        <v>-2.9905548587999999</v>
      </c>
      <c r="N8" s="112">
        <f t="shared" si="28"/>
        <v>4.9684119999993115E-4</v>
      </c>
      <c r="O8" s="85">
        <f t="shared" si="29"/>
        <v>1.6610919831306533E-4</v>
      </c>
      <c r="P8" s="13">
        <f>'Range 0'!L8*1000</f>
        <v>-39.507116000000003</v>
      </c>
      <c r="Q8" s="13">
        <f>'Range 0'!M8</f>
        <v>-10888</v>
      </c>
      <c r="R8" s="91">
        <f t="shared" si="3"/>
        <v>-39.517038782</v>
      </c>
      <c r="S8" s="91">
        <f t="shared" si="4"/>
        <v>9.9227819999967437E-3</v>
      </c>
      <c r="T8" s="88">
        <f t="shared" si="5"/>
        <v>9.922781999996744E-5</v>
      </c>
      <c r="U8" s="88">
        <f>((B8-P$32)/P$26-R8)/CUR_RNG_R0</f>
        <v>-1.0636613546246564E-4</v>
      </c>
      <c r="V8" s="14">
        <f>'Range 1'!L8*1000</f>
        <v>-2.0154435000000004</v>
      </c>
      <c r="W8" s="14">
        <f>'Range 1'!M8</f>
        <v>-11005</v>
      </c>
      <c r="X8" s="100">
        <f t="shared" si="6"/>
        <v>-2.0163974135</v>
      </c>
      <c r="Y8" s="107">
        <f t="shared" si="7"/>
        <v>9.5391349999962571E-4</v>
      </c>
      <c r="Z8" s="118">
        <f t="shared" si="8"/>
        <v>9.5391349999962567E-6</v>
      </c>
      <c r="AA8" s="13">
        <f>'Range 2'!L8*1000</f>
        <v>-9.7650000000000001E-2</v>
      </c>
      <c r="AB8" s="13">
        <f>'Range 2'!M8</f>
        <v>-11010</v>
      </c>
      <c r="AC8" s="77">
        <f t="shared" si="9"/>
        <v>-9.7655501879999995E-2</v>
      </c>
      <c r="AD8" s="91">
        <f t="shared" si="10"/>
        <v>5.5018799999945189E-6</v>
      </c>
      <c r="AE8" s="115">
        <f t="shared" si="11"/>
        <v>5.5018799999945189E-7</v>
      </c>
      <c r="AF8" s="14">
        <f>'Range 3'!L8*1000</f>
        <v>-5.0540000000000003E-3</v>
      </c>
      <c r="AG8" s="14">
        <f>'Range 3'!M8</f>
        <v>-11027</v>
      </c>
      <c r="AH8" s="100">
        <f t="shared" si="12"/>
        <v>-5.0558849619999997E-3</v>
      </c>
      <c r="AI8" s="107">
        <f t="shared" si="13"/>
        <v>1.8849619999993655E-6</v>
      </c>
      <c r="AJ8" s="118">
        <f t="shared" si="14"/>
        <v>1.8849619999993655E-6</v>
      </c>
      <c r="AK8" s="13">
        <f>'Range 4'!L8*1000</f>
        <v>2.31407E-2</v>
      </c>
      <c r="AL8" s="13">
        <f>'Range 4'!M8</f>
        <v>-7575</v>
      </c>
      <c r="AM8" s="77">
        <f t="shared" si="15"/>
        <v>0</v>
      </c>
      <c r="AN8" s="91">
        <f t="shared" si="16"/>
        <v>2.31407E-2</v>
      </c>
      <c r="AO8" s="122">
        <f t="shared" si="17"/>
        <v>2.31407E-2</v>
      </c>
      <c r="AR8" s="100" t="e">
        <f t="shared" si="18"/>
        <v>#DIV/0!</v>
      </c>
      <c r="AS8" s="107" t="e">
        <f t="shared" si="19"/>
        <v>#DIV/0!</v>
      </c>
      <c r="AT8" s="118" t="e">
        <f t="shared" si="20"/>
        <v>#DIV/0!</v>
      </c>
      <c r="AW8" s="77" t="e">
        <f t="shared" si="21"/>
        <v>#DIV/0!</v>
      </c>
      <c r="AX8" s="91" t="e">
        <f t="shared" si="22"/>
        <v>#DIV/0!</v>
      </c>
      <c r="AY8" s="122" t="e">
        <f t="shared" si="23"/>
        <v>#DIV/0!</v>
      </c>
      <c r="BB8" s="100" t="e">
        <f t="shared" si="24"/>
        <v>#DIV/0!</v>
      </c>
      <c r="BC8" s="107" t="e">
        <f t="shared" si="25"/>
        <v>#DIV/0!</v>
      </c>
      <c r="BD8" s="118" t="e">
        <f t="shared" si="26"/>
        <v>#DIV/0!</v>
      </c>
    </row>
    <row r="9" spans="1:56" x14ac:dyDescent="0.25">
      <c r="A9" s="11">
        <v>8</v>
      </c>
      <c r="B9" s="11">
        <v>-1500</v>
      </c>
      <c r="C9" s="58">
        <v>-6550</v>
      </c>
      <c r="D9" s="12">
        <f>Voltage!L9</f>
        <v>-1.9918897</v>
      </c>
      <c r="E9" s="12">
        <f t="shared" si="27"/>
        <v>-5.1092976813826851E-2</v>
      </c>
      <c r="F9" s="12">
        <f>Voltage!M9</f>
        <v>0</v>
      </c>
      <c r="H9" s="12">
        <f>Voltage!N9</f>
        <v>-6518</v>
      </c>
      <c r="I9" s="82">
        <f t="shared" si="0"/>
        <v>-1.9916436233999999</v>
      </c>
      <c r="J9" s="79">
        <f t="shared" si="1"/>
        <v>2.4607660000008913E-4</v>
      </c>
      <c r="K9" s="85">
        <f>ABS(J9/$D9)</f>
        <v>1.2353927027188762E-4</v>
      </c>
      <c r="L9" s="12">
        <f>Voltage!O9</f>
        <v>-6516</v>
      </c>
      <c r="M9" s="82">
        <f t="shared" si="2"/>
        <v>-1.9912979904000001</v>
      </c>
      <c r="N9" s="112">
        <f t="shared" si="28"/>
        <v>5.9170959999987893E-4</v>
      </c>
      <c r="O9" s="85">
        <f t="shared" si="29"/>
        <v>2.9705942050901662E-4</v>
      </c>
      <c r="P9" s="13">
        <f>'Range 0'!L9*1000</f>
        <v>-29.547112000000002</v>
      </c>
      <c r="Q9" s="13">
        <f>'Range 0'!M9</f>
        <v>-8143</v>
      </c>
      <c r="R9" s="91">
        <f t="shared" si="3"/>
        <v>-29.536633277</v>
      </c>
      <c r="S9" s="91">
        <f t="shared" si="4"/>
        <v>1.0478723000002077E-2</v>
      </c>
      <c r="T9" s="88">
        <f t="shared" si="5"/>
        <v>1.0478723000002078E-4</v>
      </c>
      <c r="U9" s="88">
        <f>((B9-P$32)/P$26-R9)/CUR_RNG_R0</f>
        <v>-2.0499048033844502E-4</v>
      </c>
      <c r="V9" s="14">
        <f>'Range 1'!L9*1000</f>
        <v>-1.5080908</v>
      </c>
      <c r="W9" s="14">
        <f>'Range 1'!M9</f>
        <v>-8235</v>
      </c>
      <c r="X9" s="100">
        <f t="shared" si="6"/>
        <v>-1.5079414764999999</v>
      </c>
      <c r="Y9" s="107">
        <f t="shared" si="7"/>
        <v>1.4932350000007588E-4</v>
      </c>
      <c r="Z9" s="118">
        <f t="shared" si="8"/>
        <v>1.4932350000007588E-6</v>
      </c>
      <c r="AA9" s="13">
        <f>'Range 2'!L9*1000</f>
        <v>-7.307000000000001E-2</v>
      </c>
      <c r="AB9" s="13">
        <f>'Range 2'!M9</f>
        <v>-8239</v>
      </c>
      <c r="AC9" s="77">
        <f t="shared" si="9"/>
        <v>-7.3034729061999995E-2</v>
      </c>
      <c r="AD9" s="91">
        <f t="shared" si="10"/>
        <v>3.5270938000014906E-5</v>
      </c>
      <c r="AE9" s="115">
        <f t="shared" si="11"/>
        <v>3.5270938000014908E-6</v>
      </c>
      <c r="AF9" s="14">
        <f>'Range 3'!L9*1000</f>
        <v>-3.784E-3</v>
      </c>
      <c r="AG9" s="14">
        <f>'Range 3'!M9</f>
        <v>-8257</v>
      </c>
      <c r="AH9" s="100">
        <f t="shared" si="12"/>
        <v>-3.7836793620000002E-3</v>
      </c>
      <c r="AI9" s="107">
        <f t="shared" si="13"/>
        <v>3.2063799999988707E-7</v>
      </c>
      <c r="AJ9" s="118">
        <f t="shared" si="14"/>
        <v>3.2063799999988707E-7</v>
      </c>
      <c r="AK9" s="13">
        <f>'Range 4'!L9*1000</f>
        <v>1.1437099999999999E-2</v>
      </c>
      <c r="AL9" s="13">
        <f>'Range 4'!M9</f>
        <v>-3737</v>
      </c>
      <c r="AM9" s="77">
        <f t="shared" si="15"/>
        <v>0</v>
      </c>
      <c r="AN9" s="91">
        <f t="shared" si="16"/>
        <v>1.1437099999999999E-2</v>
      </c>
      <c r="AO9" s="122">
        <f t="shared" si="17"/>
        <v>1.1437099999999999E-2</v>
      </c>
      <c r="AR9" s="100" t="e">
        <f t="shared" si="18"/>
        <v>#DIV/0!</v>
      </c>
      <c r="AS9" s="107" t="e">
        <f t="shared" si="19"/>
        <v>#DIV/0!</v>
      </c>
      <c r="AT9" s="118" t="e">
        <f t="shared" si="20"/>
        <v>#DIV/0!</v>
      </c>
      <c r="AW9" s="77" t="e">
        <f t="shared" si="21"/>
        <v>#DIV/0!</v>
      </c>
      <c r="AX9" s="91" t="e">
        <f t="shared" si="22"/>
        <v>#DIV/0!</v>
      </c>
      <c r="AY9" s="122" t="e">
        <f t="shared" si="23"/>
        <v>#DIV/0!</v>
      </c>
      <c r="BB9" s="100" t="e">
        <f t="shared" si="24"/>
        <v>#DIV/0!</v>
      </c>
      <c r="BC9" s="107" t="e">
        <f t="shared" si="25"/>
        <v>#DIV/0!</v>
      </c>
      <c r="BD9" s="118" t="e">
        <f t="shared" si="26"/>
        <v>#DIV/0!</v>
      </c>
    </row>
    <row r="10" spans="1:56" x14ac:dyDescent="0.25">
      <c r="A10" s="11">
        <v>9</v>
      </c>
      <c r="B10" s="11">
        <v>-1000</v>
      </c>
      <c r="C10" s="58">
        <v>-3275</v>
      </c>
      <c r="D10" s="12">
        <f>Voltage!L10</f>
        <v>-0.99190027999999997</v>
      </c>
      <c r="E10" s="12">
        <f t="shared" si="27"/>
        <v>-0.69504611465176502</v>
      </c>
      <c r="F10" s="12">
        <f>Voltage!M10</f>
        <v>0</v>
      </c>
      <c r="H10" s="12">
        <f>Voltage!N10</f>
        <v>-3251</v>
      </c>
      <c r="I10" s="82">
        <f t="shared" si="0"/>
        <v>-0.99198801479999998</v>
      </c>
      <c r="J10" s="79">
        <f t="shared" si="1"/>
        <v>8.7734800000016655E-5</v>
      </c>
      <c r="K10" s="85">
        <f>ABS(J10/$D10)</f>
        <v>8.8451230198278256E-5</v>
      </c>
      <c r="L10" s="12">
        <f>Voltage!O10</f>
        <v>-3248</v>
      </c>
      <c r="M10" s="82">
        <f t="shared" si="2"/>
        <v>-0.99142920720000005</v>
      </c>
      <c r="N10" s="112">
        <f t="shared" si="28"/>
        <v>4.7107279999991647E-4</v>
      </c>
      <c r="O10" s="85">
        <f t="shared" si="29"/>
        <v>4.7491951509471951E-4</v>
      </c>
      <c r="P10" s="13">
        <f>'Range 0'!L10*1000</f>
        <v>-19.571218000000002</v>
      </c>
      <c r="Q10" s="13">
        <f>'Range 0'!M10</f>
        <v>-5395</v>
      </c>
      <c r="R10" s="91">
        <f t="shared" si="3"/>
        <v>-19.545320225000001</v>
      </c>
      <c r="S10" s="91">
        <f t="shared" si="4"/>
        <v>2.5897775000000678E-2</v>
      </c>
      <c r="T10" s="88">
        <f t="shared" si="5"/>
        <v>2.5897775000000679E-4</v>
      </c>
      <c r="U10" s="88">
        <f>((B10-P$32)/P$26-R10)/CUR_RNG_R0</f>
        <v>-4.126902952144107E-4</v>
      </c>
      <c r="V10" s="14">
        <f>'Range 1'!L10*1000</f>
        <v>-0.99995370000000006</v>
      </c>
      <c r="W10" s="14">
        <f>'Range 1'!M10</f>
        <v>-5462</v>
      </c>
      <c r="X10" s="100">
        <f t="shared" si="6"/>
        <v>-0.99893486519999986</v>
      </c>
      <c r="Y10" s="107">
        <f t="shared" si="7"/>
        <v>1.0188348000002012E-3</v>
      </c>
      <c r="Z10" s="118">
        <f t="shared" si="8"/>
        <v>1.0188348000002013E-5</v>
      </c>
      <c r="AA10" s="13">
        <f>'Range 2'!L10*1000</f>
        <v>-4.845E-2</v>
      </c>
      <c r="AB10" s="13">
        <f>'Range 2'!M10</f>
        <v>-5465</v>
      </c>
      <c r="AC10" s="77">
        <f t="shared" si="9"/>
        <v>-4.8387300769999995E-2</v>
      </c>
      <c r="AD10" s="91">
        <f t="shared" si="10"/>
        <v>6.2699230000004547E-5</v>
      </c>
      <c r="AE10" s="115">
        <f t="shared" si="11"/>
        <v>6.2699230000004543E-6</v>
      </c>
      <c r="AF10" s="14">
        <f>'Range 3'!L10*1000</f>
        <v>-2.5119999999999999E-3</v>
      </c>
      <c r="AG10" s="14">
        <f>'Range 3'!M10</f>
        <v>-5482</v>
      </c>
      <c r="AH10" s="100">
        <f t="shared" si="12"/>
        <v>-2.5091773620000003E-3</v>
      </c>
      <c r="AI10" s="107">
        <f t="shared" si="13"/>
        <v>2.8226379999995999E-6</v>
      </c>
      <c r="AJ10" s="118">
        <f t="shared" si="14"/>
        <v>2.8226379999995999E-6</v>
      </c>
      <c r="AK10" s="13">
        <f>'Range 4'!L10*1000</f>
        <v>5.0485E-3</v>
      </c>
      <c r="AL10" s="13">
        <f>'Range 4'!M10</f>
        <v>-1658</v>
      </c>
      <c r="AM10" s="77">
        <f t="shared" si="15"/>
        <v>0</v>
      </c>
      <c r="AN10" s="91">
        <f t="shared" si="16"/>
        <v>5.0485E-3</v>
      </c>
      <c r="AO10" s="122">
        <f t="shared" si="17"/>
        <v>5.0485E-3</v>
      </c>
      <c r="AR10" s="100" t="e">
        <f t="shared" si="18"/>
        <v>#DIV/0!</v>
      </c>
      <c r="AS10" s="107" t="e">
        <f t="shared" si="19"/>
        <v>#DIV/0!</v>
      </c>
      <c r="AT10" s="118" t="e">
        <f t="shared" si="20"/>
        <v>#DIV/0!</v>
      </c>
      <c r="AW10" s="77" t="e">
        <f t="shared" si="21"/>
        <v>#DIV/0!</v>
      </c>
      <c r="AX10" s="91" t="e">
        <f t="shared" si="22"/>
        <v>#DIV/0!</v>
      </c>
      <c r="AY10" s="122" t="e">
        <f t="shared" si="23"/>
        <v>#DIV/0!</v>
      </c>
      <c r="BB10" s="100" t="e">
        <f t="shared" si="24"/>
        <v>#DIV/0!</v>
      </c>
      <c r="BC10" s="107" t="e">
        <f t="shared" si="25"/>
        <v>#DIV/0!</v>
      </c>
      <c r="BD10" s="118" t="e">
        <f t="shared" si="26"/>
        <v>#DIV/0!</v>
      </c>
    </row>
    <row r="11" spans="1:56" x14ac:dyDescent="0.25">
      <c r="A11" s="11">
        <v>10</v>
      </c>
      <c r="B11" s="11">
        <v>-500</v>
      </c>
      <c r="C11" s="58">
        <v>-1500</v>
      </c>
      <c r="D11" s="12">
        <f>Voltage!L11</f>
        <v>-0.45055220000000001</v>
      </c>
      <c r="E11" s="12">
        <f t="shared" si="27"/>
        <v>-0.41314025805994081</v>
      </c>
      <c r="F11" s="12">
        <f>Voltage!M11</f>
        <v>0</v>
      </c>
      <c r="H11" s="12">
        <f>Voltage!N11</f>
        <v>-1481</v>
      </c>
      <c r="I11" s="82">
        <f t="shared" si="0"/>
        <v>-0.45039314879999998</v>
      </c>
      <c r="J11" s="79">
        <f t="shared" si="1"/>
        <v>1.590512000000377E-4</v>
      </c>
      <c r="K11" s="85">
        <f>ABS(J11/$D11)</f>
        <v>3.5301392380291936E-4</v>
      </c>
      <c r="L11" s="12">
        <f>Voltage!O11</f>
        <v>-1479</v>
      </c>
      <c r="M11" s="82">
        <f t="shared" si="2"/>
        <v>-0.45019056660000001</v>
      </c>
      <c r="N11" s="112">
        <f t="shared" si="28"/>
        <v>3.6163340000000543E-4</v>
      </c>
      <c r="O11" s="85">
        <f t="shared" si="29"/>
        <v>8.0264484337221173E-4</v>
      </c>
      <c r="P11" s="13">
        <f>'Range 0'!L11*1000</f>
        <v>-9.6104389999999995</v>
      </c>
      <c r="Q11" s="13">
        <f>'Range 0'!M11</f>
        <v>-2654</v>
      </c>
      <c r="R11" s="91">
        <f t="shared" si="3"/>
        <v>-9.5794581159999996</v>
      </c>
      <c r="S11" s="91">
        <f t="shared" si="4"/>
        <v>3.0980883999999875E-2</v>
      </c>
      <c r="T11" s="88">
        <f t="shared" si="5"/>
        <v>3.0980883999999877E-4</v>
      </c>
      <c r="U11" s="88">
        <f>((B11-P$32)/P$26-R11)/CUR_RNG_R0</f>
        <v>-3.6588068009042019E-4</v>
      </c>
      <c r="V11" s="14">
        <f>'Range 1'!L11*1000</f>
        <v>-0.49264670000000005</v>
      </c>
      <c r="W11" s="14">
        <f>'Range 1'!M11</f>
        <v>-2696</v>
      </c>
      <c r="X11" s="100">
        <f t="shared" si="6"/>
        <v>-0.49121316059999992</v>
      </c>
      <c r="Y11" s="107">
        <f t="shared" si="7"/>
        <v>1.4335394000001278E-3</v>
      </c>
      <c r="Z11" s="118">
        <f t="shared" si="8"/>
        <v>1.4335394000001278E-5</v>
      </c>
      <c r="AA11" s="13">
        <f>'Range 2'!L11*1000</f>
        <v>-2.3869999999999999E-2</v>
      </c>
      <c r="AB11" s="13">
        <f>'Range 2'!M11</f>
        <v>-2697</v>
      </c>
      <c r="AC11" s="77">
        <f t="shared" si="9"/>
        <v>-2.3793183426000002E-2</v>
      </c>
      <c r="AD11" s="91">
        <f t="shared" si="10"/>
        <v>7.6816573999997223E-5</v>
      </c>
      <c r="AE11" s="115">
        <f t="shared" si="11"/>
        <v>7.6816573999997223E-6</v>
      </c>
      <c r="AF11" s="14">
        <f>'Range 3'!L11*1000</f>
        <v>-1.2409000000000001E-3</v>
      </c>
      <c r="AG11" s="14">
        <f>'Range 3'!M11</f>
        <v>-2715</v>
      </c>
      <c r="AH11" s="100">
        <f t="shared" si="12"/>
        <v>-1.2383496020000001E-3</v>
      </c>
      <c r="AI11" s="107">
        <f t="shared" si="13"/>
        <v>2.5503979999999624E-6</v>
      </c>
      <c r="AJ11" s="118">
        <f t="shared" si="14"/>
        <v>2.5503979999999624E-6</v>
      </c>
      <c r="AK11" s="13">
        <f>'Range 4'!L11*1000</f>
        <v>-3.503E-4</v>
      </c>
      <c r="AL11" s="13">
        <f>'Range 4'!M11</f>
        <v>98</v>
      </c>
      <c r="AM11" s="77">
        <f t="shared" si="15"/>
        <v>0</v>
      </c>
      <c r="AN11" s="91">
        <f t="shared" si="16"/>
        <v>3.503E-4</v>
      </c>
      <c r="AO11" s="122">
        <f t="shared" si="17"/>
        <v>3.503E-4</v>
      </c>
      <c r="AR11" s="100" t="e">
        <f t="shared" si="18"/>
        <v>#DIV/0!</v>
      </c>
      <c r="AS11" s="107" t="e">
        <f t="shared" si="19"/>
        <v>#DIV/0!</v>
      </c>
      <c r="AT11" s="118" t="e">
        <f t="shared" si="20"/>
        <v>#DIV/0!</v>
      </c>
      <c r="AW11" s="77" t="e">
        <f t="shared" si="21"/>
        <v>#DIV/0!</v>
      </c>
      <c r="AX11" s="91" t="e">
        <f t="shared" si="22"/>
        <v>#DIV/0!</v>
      </c>
      <c r="AY11" s="122" t="e">
        <f t="shared" si="23"/>
        <v>#DIV/0!</v>
      </c>
      <c r="BB11" s="100" t="e">
        <f t="shared" si="24"/>
        <v>#DIV/0!</v>
      </c>
      <c r="BC11" s="107" t="e">
        <f t="shared" si="25"/>
        <v>#DIV/0!</v>
      </c>
      <c r="BD11" s="118" t="e">
        <f t="shared" si="26"/>
        <v>#DIV/0!</v>
      </c>
    </row>
    <row r="12" spans="1:56" s="21" customFormat="1" x14ac:dyDescent="0.25">
      <c r="A12" s="17">
        <v>11</v>
      </c>
      <c r="B12" s="17">
        <v>0</v>
      </c>
      <c r="C12" s="59">
        <v>0</v>
      </c>
      <c r="D12" s="18">
        <f>Voltage!L12</f>
        <v>7.1123469999999998E-3</v>
      </c>
      <c r="E12" s="18">
        <f>((C12-E$32)/E$26-D12)*1000</f>
        <v>-0.36220625248959121</v>
      </c>
      <c r="F12" s="18">
        <f>Voltage!M12</f>
        <v>0</v>
      </c>
      <c r="G12" s="18"/>
      <c r="H12" s="18">
        <f>Voltage!N12</f>
        <v>13</v>
      </c>
      <c r="I12" s="83">
        <f>I32+IF(H12&gt;0,H12*I29,H12*I26)</f>
        <v>6.7496364E-3</v>
      </c>
      <c r="J12" s="80">
        <f t="shared" si="1"/>
        <v>3.627105999999998E-4</v>
      </c>
      <c r="K12" s="86">
        <f>ABS(J12/$D12)</f>
        <v>5.0997314951028092E-2</v>
      </c>
      <c r="L12" s="18">
        <f>Voltage!O12</f>
        <v>14</v>
      </c>
      <c r="M12" s="83">
        <f>M32+IF(L12&gt;0,L12*M29,L12*M26)</f>
        <v>6.6038316000000003E-3</v>
      </c>
      <c r="N12" s="113">
        <f t="shared" si="28"/>
        <v>5.0851539999999945E-4</v>
      </c>
      <c r="O12" s="86">
        <f t="shared" si="29"/>
        <v>7.1497552073879339E-2</v>
      </c>
      <c r="P12" s="19">
        <f>'Range 0'!L12*1000</f>
        <v>0.36952609999999997</v>
      </c>
      <c r="Q12" s="19">
        <f>'Range 0'!M12</f>
        <v>100</v>
      </c>
      <c r="R12" s="92">
        <f>R32+IF(Q12&gt;0,Q12*R29,Q12*R26)</f>
        <v>0.43367002999999998</v>
      </c>
      <c r="S12" s="92">
        <f t="shared" si="4"/>
        <v>6.4143930000000016E-2</v>
      </c>
      <c r="T12" s="89">
        <f t="shared" si="5"/>
        <v>6.4143930000000015E-4</v>
      </c>
      <c r="U12" s="89">
        <f>((B12-P$32)/P$26-R12)/CUR_RNG_R0</f>
        <v>-7.9173143496642394E-4</v>
      </c>
      <c r="V12" s="20">
        <f>'Range 1'!L12*1000</f>
        <v>1.57114E-2</v>
      </c>
      <c r="W12" s="20">
        <f>'Range 1'!M12</f>
        <v>84</v>
      </c>
      <c r="X12" s="101">
        <f>X32+IF(W12&gt;0,W12*X29,W12*X26)</f>
        <v>1.9078357399999999E-2</v>
      </c>
      <c r="Y12" s="108">
        <f t="shared" si="7"/>
        <v>3.3669573999999987E-3</v>
      </c>
      <c r="Z12" s="119">
        <f t="shared" si="8"/>
        <v>3.3669573999999989E-5</v>
      </c>
      <c r="AA12" s="19">
        <f>'Range 2'!L12*1000</f>
        <v>7.6179999999999998E-4</v>
      </c>
      <c r="AB12" s="19">
        <f>'Range 2'!M12</f>
        <v>84</v>
      </c>
      <c r="AC12" s="96">
        <f>AC32+IF(AB12&gt;0,AB12*AC29,AB12*AC26)</f>
        <v>9.1644097199999994E-4</v>
      </c>
      <c r="AD12" s="92">
        <f t="shared" si="10"/>
        <v>1.5464097199999996E-4</v>
      </c>
      <c r="AE12" s="116">
        <f t="shared" si="11"/>
        <v>1.5464097199999995E-5</v>
      </c>
      <c r="AF12" s="20">
        <f>'Range 3'!L12*1000</f>
        <v>3.137E-5</v>
      </c>
      <c r="AG12" s="20">
        <f>'Range 3'!M12</f>
        <v>66</v>
      </c>
      <c r="AH12" s="101">
        <f>AH32+IF(AG12&gt;0,AG12*AH29,AG12*AH26)</f>
        <v>3.8908078000000001E-5</v>
      </c>
      <c r="AI12" s="108">
        <f t="shared" si="13"/>
        <v>7.5380780000000014E-6</v>
      </c>
      <c r="AJ12" s="119">
        <f t="shared" si="14"/>
        <v>7.5380780000000014E-6</v>
      </c>
      <c r="AK12" s="19">
        <f>'Range 4'!L12*1000</f>
        <v>-5.6906000000000005E-3</v>
      </c>
      <c r="AL12" s="19">
        <f>'Range 4'!M12</f>
        <v>1856</v>
      </c>
      <c r="AM12" s="96">
        <f>AM32+IF(AL12&gt;0,AL12*AM29,AL12*AM26)</f>
        <v>0</v>
      </c>
      <c r="AN12" s="92">
        <f t="shared" si="16"/>
        <v>5.6906000000000005E-3</v>
      </c>
      <c r="AO12" s="123">
        <f t="shared" si="17"/>
        <v>5.6906000000000005E-3</v>
      </c>
      <c r="AP12" s="20"/>
      <c r="AQ12" s="20"/>
      <c r="AR12" s="101" t="e">
        <f>AQ32+IF(AQ12&gt;0,AQ12*AQ29,AQ12*AQ26)</f>
        <v>#DIV/0!</v>
      </c>
      <c r="AS12" s="108" t="e">
        <f t="shared" si="19"/>
        <v>#DIV/0!</v>
      </c>
      <c r="AT12" s="119" t="e">
        <f t="shared" si="20"/>
        <v>#DIV/0!</v>
      </c>
      <c r="AU12" s="19"/>
      <c r="AV12" s="19"/>
      <c r="AW12" s="96" t="e">
        <f>AV32+IF(AV12&gt;0,AV12*AV29,AV12*AV26)</f>
        <v>#DIV/0!</v>
      </c>
      <c r="AX12" s="92" t="e">
        <f t="shared" si="22"/>
        <v>#DIV/0!</v>
      </c>
      <c r="AY12" s="123" t="e">
        <f t="shared" si="23"/>
        <v>#DIV/0!</v>
      </c>
      <c r="AZ12" s="20"/>
      <c r="BA12" s="20"/>
      <c r="BB12" s="101" t="e">
        <f>BA32+IF(BA12&gt;0,BA12*BA29,BA12*BA26)</f>
        <v>#DIV/0!</v>
      </c>
      <c r="BC12" s="108" t="e">
        <f t="shared" si="25"/>
        <v>#DIV/0!</v>
      </c>
      <c r="BD12" s="119" t="e">
        <f t="shared" si="26"/>
        <v>#DIV/0!</v>
      </c>
    </row>
    <row r="13" spans="1:56" x14ac:dyDescent="0.25">
      <c r="A13" s="11">
        <v>12</v>
      </c>
      <c r="B13" s="11">
        <v>500</v>
      </c>
      <c r="C13" s="58">
        <v>1500</v>
      </c>
      <c r="D13" s="12">
        <f>Voltage!L13</f>
        <v>0.46444136000000003</v>
      </c>
      <c r="E13" s="12">
        <f>((C13-E$32)/E$29-D13)*1000</f>
        <v>2.4261753080789816E-2</v>
      </c>
      <c r="F13" s="12">
        <f>Voltage!M13</f>
        <v>0</v>
      </c>
      <c r="H13" s="12">
        <f>Voltage!N13</f>
        <v>1507</v>
      </c>
      <c r="I13" s="82">
        <f t="shared" ref="I13:I22" si="30">H13*I$29+I$32</f>
        <v>0.46389242159999999</v>
      </c>
      <c r="J13" s="79">
        <f t="shared" si="1"/>
        <v>5.4893840000003191E-4</v>
      </c>
      <c r="K13" s="85">
        <f>ABS(J13/$D13)</f>
        <v>1.1819326340789973E-3</v>
      </c>
      <c r="L13" s="12">
        <f>Voltage!O13</f>
        <v>1509</v>
      </c>
      <c r="M13" s="82">
        <f t="shared" ref="M13:M22" si="31">L13*M$29+M$32</f>
        <v>0.46401014460000001</v>
      </c>
      <c r="N13" s="112">
        <f t="shared" si="28"/>
        <v>4.312154000000179E-4</v>
      </c>
      <c r="O13" s="85">
        <f t="shared" si="29"/>
        <v>9.2846037656942927E-4</v>
      </c>
      <c r="P13" s="13">
        <f>'Range 0'!L13*1000</f>
        <v>10.331735</v>
      </c>
      <c r="Q13" s="13">
        <f>'Range 0'!M13</f>
        <v>2827</v>
      </c>
      <c r="R13" s="91">
        <f t="shared" ref="R13:R22" si="32">Q13*R$29+R$32</f>
        <v>10.348630253000001</v>
      </c>
      <c r="S13" s="91">
        <f t="shared" si="4"/>
        <v>1.6895253000001276E-2</v>
      </c>
      <c r="T13" s="88">
        <f t="shared" si="5"/>
        <v>1.6895253000001275E-4</v>
      </c>
      <c r="U13" s="88">
        <f>((B13-P$32)/P$29-R13)/CUR_RNG_R0</f>
        <v>-2.8264213428814245E-4</v>
      </c>
      <c r="V13" s="14">
        <f>'Range 1'!L13*1000</f>
        <v>0.52311779999999997</v>
      </c>
      <c r="W13" s="14">
        <f>'Range 1'!M13</f>
        <v>2836</v>
      </c>
      <c r="X13" s="100">
        <f t="shared" ref="X13:X22" si="33">W13*X$29+X$32</f>
        <v>0.5242302486</v>
      </c>
      <c r="Y13" s="107">
        <f t="shared" si="7"/>
        <v>1.1124486000000378E-3</v>
      </c>
      <c r="Z13" s="118">
        <f t="shared" si="8"/>
        <v>1.1124486000000378E-5</v>
      </c>
      <c r="AA13" s="13">
        <f>'Range 2'!L13*1000</f>
        <v>2.5350000000000001E-2</v>
      </c>
      <c r="AB13" s="13">
        <f>'Range 2'!M13</f>
        <v>2838</v>
      </c>
      <c r="AC13" s="77">
        <f t="shared" ref="AC13:AC22" si="34">AB13*AC$29+AC$32</f>
        <v>2.5386166103999998E-2</v>
      </c>
      <c r="AD13" s="91">
        <f t="shared" si="10"/>
        <v>3.6166103999996785E-5</v>
      </c>
      <c r="AE13" s="115">
        <f t="shared" si="11"/>
        <v>3.6166103999996784E-6</v>
      </c>
      <c r="AF13" s="14">
        <f>'Range 3'!L13*1000</f>
        <v>1.3029000000000001E-3</v>
      </c>
      <c r="AG13" s="14">
        <f>'Range 3'!M13</f>
        <v>2821</v>
      </c>
      <c r="AH13" s="100">
        <f t="shared" ref="AH13:AH22" si="35">AG13*AH$29+AH$32</f>
        <v>1.3042244779999999E-3</v>
      </c>
      <c r="AI13" s="107">
        <f t="shared" si="13"/>
        <v>1.3244779999998547E-6</v>
      </c>
      <c r="AJ13" s="118">
        <f t="shared" si="14"/>
        <v>1.3244779999998547E-6</v>
      </c>
      <c r="AK13" s="13">
        <f>'Range 4'!L13*1000</f>
        <v>-1.19752E-2</v>
      </c>
      <c r="AL13" s="13">
        <f>'Range 4'!M13</f>
        <v>3935</v>
      </c>
      <c r="AM13" s="77">
        <f t="shared" ref="AM13:AM22" si="36">AL13*AM$29+AM$32</f>
        <v>0</v>
      </c>
      <c r="AN13" s="91">
        <f t="shared" si="16"/>
        <v>1.19752E-2</v>
      </c>
      <c r="AO13" s="122">
        <f t="shared" si="17"/>
        <v>1.19752E-2</v>
      </c>
      <c r="AR13" s="100" t="e">
        <f t="shared" ref="AR13:AR22" si="37">AQ13*AQ$29+AQ$32</f>
        <v>#DIV/0!</v>
      </c>
      <c r="AS13" s="107" t="e">
        <f t="shared" si="19"/>
        <v>#DIV/0!</v>
      </c>
      <c r="AT13" s="118" t="e">
        <f t="shared" si="20"/>
        <v>#DIV/0!</v>
      </c>
      <c r="AW13" s="77" t="e">
        <f t="shared" ref="AW13:AW22" si="38">AV13*AV$29+AV$32</f>
        <v>#DIV/0!</v>
      </c>
      <c r="AX13" s="91" t="e">
        <f t="shared" si="22"/>
        <v>#DIV/0!</v>
      </c>
      <c r="AY13" s="122" t="e">
        <f t="shared" si="23"/>
        <v>#DIV/0!</v>
      </c>
      <c r="BB13" s="100" t="e">
        <f t="shared" ref="BB13:BB22" si="39">BA13*BA$29+BA$32</f>
        <v>#DIV/0!</v>
      </c>
      <c r="BC13" s="107" t="e">
        <f t="shared" si="25"/>
        <v>#DIV/0!</v>
      </c>
      <c r="BD13" s="118" t="e">
        <f t="shared" si="26"/>
        <v>#DIV/0!</v>
      </c>
    </row>
    <row r="14" spans="1:56" x14ac:dyDescent="0.25">
      <c r="A14" s="11">
        <v>13</v>
      </c>
      <c r="B14" s="11">
        <v>1000</v>
      </c>
      <c r="C14" s="58">
        <v>3275</v>
      </c>
      <c r="D14" s="12">
        <f>Voltage!L14</f>
        <v>1.0053592</v>
      </c>
      <c r="E14" s="12">
        <f t="shared" ref="E14:E22" si="40">((C14-E$32)/E$29-D14)*1000</f>
        <v>0.73640760967230712</v>
      </c>
      <c r="F14" s="12">
        <f>Voltage!M14</f>
        <v>0</v>
      </c>
      <c r="H14" s="12">
        <f>Voltage!N14</f>
        <v>3275</v>
      </c>
      <c r="I14" s="82">
        <f t="shared" si="30"/>
        <v>1.0048753160000001</v>
      </c>
      <c r="J14" s="79">
        <f t="shared" si="1"/>
        <v>4.8388399999987897E-4</v>
      </c>
      <c r="K14" s="85">
        <f>ABS(J14/$D14)</f>
        <v>4.8130459242813807E-4</v>
      </c>
      <c r="L14" s="12">
        <f>Voltage!O14</f>
        <v>3277</v>
      </c>
      <c r="M14" s="82">
        <f t="shared" si="31"/>
        <v>1.0049428278000001</v>
      </c>
      <c r="N14" s="112">
        <f t="shared" si="28"/>
        <v>4.1637219999990371E-4</v>
      </c>
      <c r="O14" s="85">
        <f t="shared" si="29"/>
        <v>4.1415267299479004E-4</v>
      </c>
      <c r="P14" s="13">
        <f>'Range 0'!L14*1000</f>
        <v>20.303117</v>
      </c>
      <c r="Q14" s="13">
        <f>'Range 0'!M14</f>
        <v>5572</v>
      </c>
      <c r="R14" s="91">
        <f t="shared" si="32"/>
        <v>20.329035758</v>
      </c>
      <c r="S14" s="91">
        <f t="shared" si="4"/>
        <v>2.5918757999999542E-2</v>
      </c>
      <c r="T14" s="88">
        <f t="shared" si="5"/>
        <v>2.5918757999999543E-4</v>
      </c>
      <c r="U14" s="88">
        <f>((B14-P$32)/P$29-R14)/CUR_RNG_R0</f>
        <v>-4.2640092453492427E-4</v>
      </c>
      <c r="V14" s="14">
        <f>'Range 1'!L14*1000</f>
        <v>1.0310014000000001</v>
      </c>
      <c r="W14" s="14">
        <f>'Range 1'!M14</f>
        <v>5606</v>
      </c>
      <c r="X14" s="100">
        <f t="shared" si="33"/>
        <v>1.0326861856</v>
      </c>
      <c r="Y14" s="107">
        <f t="shared" si="7"/>
        <v>1.6847855999999606E-3</v>
      </c>
      <c r="Z14" s="118">
        <f t="shared" si="8"/>
        <v>1.6847855999999605E-5</v>
      </c>
      <c r="AA14" s="13">
        <f>'Range 2'!L14*1000</f>
        <v>4.9950000000000001E-2</v>
      </c>
      <c r="AB14" s="13">
        <f>'Range 2'!M14</f>
        <v>5609</v>
      </c>
      <c r="AC14" s="77">
        <f t="shared" si="34"/>
        <v>5.0006938921999998E-2</v>
      </c>
      <c r="AD14" s="91">
        <f t="shared" si="10"/>
        <v>5.6938921999996617E-5</v>
      </c>
      <c r="AE14" s="115">
        <f t="shared" si="11"/>
        <v>5.6938921999996615E-6</v>
      </c>
      <c r="AF14" s="14">
        <f>'Range 3'!L14*1000</f>
        <v>2.5709999999999999E-3</v>
      </c>
      <c r="AG14" s="14">
        <f>'Range 3'!M14</f>
        <v>5592</v>
      </c>
      <c r="AH14" s="100">
        <f t="shared" si="35"/>
        <v>2.576889358E-3</v>
      </c>
      <c r="AI14" s="107">
        <f t="shared" si="13"/>
        <v>5.8893580000001118E-6</v>
      </c>
      <c r="AJ14" s="118">
        <f t="shared" si="14"/>
        <v>5.8893580000001118E-6</v>
      </c>
      <c r="AK14" s="13">
        <f>'Range 4'!L14*1000</f>
        <v>-2.3688999999999998E-2</v>
      </c>
      <c r="AL14" s="13">
        <f>'Range 4'!M14</f>
        <v>7772</v>
      </c>
      <c r="AM14" s="77">
        <f t="shared" si="36"/>
        <v>0</v>
      </c>
      <c r="AN14" s="91">
        <f t="shared" si="16"/>
        <v>2.3688999999999998E-2</v>
      </c>
      <c r="AO14" s="122">
        <f t="shared" si="17"/>
        <v>2.3688999999999998E-2</v>
      </c>
      <c r="AR14" s="100" t="e">
        <f t="shared" si="37"/>
        <v>#DIV/0!</v>
      </c>
      <c r="AS14" s="107" t="e">
        <f t="shared" si="19"/>
        <v>#DIV/0!</v>
      </c>
      <c r="AT14" s="118" t="e">
        <f t="shared" si="20"/>
        <v>#DIV/0!</v>
      </c>
      <c r="AW14" s="77" t="e">
        <f t="shared" si="38"/>
        <v>#DIV/0!</v>
      </c>
      <c r="AX14" s="91" t="e">
        <f t="shared" si="22"/>
        <v>#DIV/0!</v>
      </c>
      <c r="AY14" s="122" t="e">
        <f t="shared" si="23"/>
        <v>#DIV/0!</v>
      </c>
      <c r="BB14" s="100" t="e">
        <f t="shared" si="39"/>
        <v>#DIV/0!</v>
      </c>
      <c r="BC14" s="107" t="e">
        <f t="shared" si="25"/>
        <v>#DIV/0!</v>
      </c>
      <c r="BD14" s="118" t="e">
        <f t="shared" si="26"/>
        <v>#DIV/0!</v>
      </c>
    </row>
    <row r="15" spans="1:56" x14ac:dyDescent="0.25">
      <c r="A15" s="11">
        <v>14</v>
      </c>
      <c r="B15" s="11">
        <v>1500</v>
      </c>
      <c r="C15" s="58">
        <v>6550</v>
      </c>
      <c r="D15" s="12">
        <f>Voltage!L15</f>
        <v>2.0055991999999998</v>
      </c>
      <c r="E15" s="12">
        <f t="shared" si="40"/>
        <v>-0.15812552816552028</v>
      </c>
      <c r="F15" s="12">
        <f>Voltage!M15</f>
        <v>0</v>
      </c>
      <c r="H15" s="12">
        <f>Voltage!N15</f>
        <v>6544</v>
      </c>
      <c r="I15" s="82">
        <f t="shared" si="30"/>
        <v>2.0051428962000002</v>
      </c>
      <c r="J15" s="79">
        <f t="shared" si="1"/>
        <v>4.5630379999961335E-4</v>
      </c>
      <c r="K15" s="85">
        <f>ABS(J15/$D15)</f>
        <v>2.2751494914817147E-4</v>
      </c>
      <c r="L15" s="12">
        <f>Voltage!O15</f>
        <v>6546</v>
      </c>
      <c r="M15" s="82">
        <f t="shared" si="31"/>
        <v>2.0051175684000002</v>
      </c>
      <c r="N15" s="112">
        <f t="shared" si="28"/>
        <v>4.8163159999958793E-4</v>
      </c>
      <c r="O15" s="85">
        <f t="shared" si="29"/>
        <v>2.4014349427322666E-4</v>
      </c>
      <c r="P15" s="13">
        <f>'Range 0'!L15*1000</f>
        <v>30.264452000000002</v>
      </c>
      <c r="Q15" s="13">
        <f>'Range 0'!M15</f>
        <v>8314</v>
      </c>
      <c r="R15" s="91">
        <f t="shared" si="32"/>
        <v>30.298533715999998</v>
      </c>
      <c r="S15" s="91">
        <f t="shared" si="4"/>
        <v>3.4081715999995765E-2</v>
      </c>
      <c r="T15" s="88">
        <f t="shared" si="5"/>
        <v>3.4081715999995766E-4</v>
      </c>
      <c r="U15" s="88">
        <f>((B15-P$32)/P$29-R15)/CUR_RNG_R0</f>
        <v>-4.6108424478166657E-4</v>
      </c>
      <c r="V15" s="14">
        <f>'Range 1'!L15*1000</f>
        <v>1.5383498</v>
      </c>
      <c r="W15" s="14">
        <f>'Range 1'!M15</f>
        <v>8374</v>
      </c>
      <c r="X15" s="100">
        <f t="shared" si="33"/>
        <v>1.5407750063999999</v>
      </c>
      <c r="Y15" s="107">
        <f t="shared" si="7"/>
        <v>2.4252063999998796E-3</v>
      </c>
      <c r="Z15" s="118">
        <f t="shared" si="8"/>
        <v>2.4252063999998796E-5</v>
      </c>
      <c r="AA15" s="13">
        <f>'Range 2'!L15*1000</f>
        <v>7.4530000000000013E-2</v>
      </c>
      <c r="AB15" s="13">
        <f>'Range 2'!M15</f>
        <v>8378</v>
      </c>
      <c r="AC15" s="77">
        <f t="shared" si="34"/>
        <v>7.4609941424000001E-2</v>
      </c>
      <c r="AD15" s="91">
        <f t="shared" si="10"/>
        <v>7.9941423999987937E-5</v>
      </c>
      <c r="AE15" s="115">
        <f t="shared" si="11"/>
        <v>7.9941423999987937E-6</v>
      </c>
      <c r="AF15" s="14">
        <f>'Range 3'!L15*1000</f>
        <v>3.8430000000000005E-3</v>
      </c>
      <c r="AG15" s="14">
        <f>'Range 3'!M15</f>
        <v>8361</v>
      </c>
      <c r="AH15" s="100">
        <f t="shared" si="35"/>
        <v>3.8486356779999999E-3</v>
      </c>
      <c r="AI15" s="107">
        <f t="shared" si="13"/>
        <v>5.6356779999993875E-6</v>
      </c>
      <c r="AJ15" s="118">
        <f t="shared" si="14"/>
        <v>5.6356779999993875E-6</v>
      </c>
      <c r="AK15" s="13">
        <f>'Range 4'!L15*1000</f>
        <v>-3.5478899999999994E-2</v>
      </c>
      <c r="AL15" s="13">
        <f>'Range 4'!M15</f>
        <v>11610</v>
      </c>
      <c r="AM15" s="77">
        <f t="shared" si="36"/>
        <v>0</v>
      </c>
      <c r="AN15" s="91">
        <f t="shared" si="16"/>
        <v>3.5478899999999994E-2</v>
      </c>
      <c r="AO15" s="122">
        <f t="shared" si="17"/>
        <v>3.5478899999999994E-2</v>
      </c>
      <c r="AR15" s="100" t="e">
        <f t="shared" si="37"/>
        <v>#DIV/0!</v>
      </c>
      <c r="AS15" s="107" t="e">
        <f t="shared" si="19"/>
        <v>#DIV/0!</v>
      </c>
      <c r="AT15" s="118" t="e">
        <f t="shared" si="20"/>
        <v>#DIV/0!</v>
      </c>
      <c r="AW15" s="77" t="e">
        <f t="shared" si="38"/>
        <v>#DIV/0!</v>
      </c>
      <c r="AX15" s="91" t="e">
        <f t="shared" si="22"/>
        <v>#DIV/0!</v>
      </c>
      <c r="AY15" s="122" t="e">
        <f t="shared" si="23"/>
        <v>#DIV/0!</v>
      </c>
      <c r="BB15" s="100" t="e">
        <f t="shared" si="39"/>
        <v>#DIV/0!</v>
      </c>
      <c r="BC15" s="107" t="e">
        <f t="shared" si="25"/>
        <v>#DIV/0!</v>
      </c>
      <c r="BD15" s="118" t="e">
        <f t="shared" si="26"/>
        <v>#DIV/0!</v>
      </c>
    </row>
    <row r="16" spans="1:56" x14ac:dyDescent="0.25">
      <c r="A16" s="11">
        <v>15</v>
      </c>
      <c r="B16" s="11">
        <v>2000</v>
      </c>
      <c r="C16" s="58">
        <v>9825</v>
      </c>
      <c r="D16" s="12">
        <f>Voltage!L16</f>
        <v>3.0047006000000001</v>
      </c>
      <c r="E16" s="12">
        <f t="shared" si="40"/>
        <v>8.59413339964199E-2</v>
      </c>
      <c r="F16" s="12">
        <f>Voltage!M16</f>
        <v>0</v>
      </c>
      <c r="H16" s="12">
        <f>Voltage!N16</f>
        <v>9809</v>
      </c>
      <c r="I16" s="82">
        <f t="shared" si="30"/>
        <v>3.0041865332</v>
      </c>
      <c r="J16" s="79">
        <f t="shared" si="1"/>
        <v>5.1406680000010141E-4</v>
      </c>
      <c r="K16" s="85">
        <f>ABS(J16/$D16)</f>
        <v>1.71087528654303E-4</v>
      </c>
      <c r="L16" s="12">
        <f>Voltage!O16</f>
        <v>9811</v>
      </c>
      <c r="M16" s="82">
        <f t="shared" si="31"/>
        <v>3.0040684794000003</v>
      </c>
      <c r="N16" s="112">
        <f t="shared" si="28"/>
        <v>6.3212059999973036E-4</v>
      </c>
      <c r="O16" s="85">
        <f t="shared" si="29"/>
        <v>2.1037723359183618E-4</v>
      </c>
      <c r="P16" s="13">
        <f>'Range 0'!L16*1000</f>
        <v>40.22569</v>
      </c>
      <c r="Q16" s="13">
        <f>'Range 0'!M16</f>
        <v>11056</v>
      </c>
      <c r="R16" s="91">
        <f t="shared" si="32"/>
        <v>40.268031673999999</v>
      </c>
      <c r="S16" s="91">
        <f t="shared" si="4"/>
        <v>4.234167399999933E-2</v>
      </c>
      <c r="T16" s="88">
        <f t="shared" si="5"/>
        <v>4.2341673999999328E-4</v>
      </c>
      <c r="U16" s="88">
        <f>((B16-P$32)/P$29-R16)/CUR_RNG_R0</f>
        <v>-4.9576756502844432E-4</v>
      </c>
      <c r="V16" s="14">
        <f>'Range 1'!L16*1000</f>
        <v>2.0456755000000002</v>
      </c>
      <c r="W16" s="14">
        <f>'Range 1'!M16</f>
        <v>11140</v>
      </c>
      <c r="X16" s="100">
        <f t="shared" si="33"/>
        <v>2.0484967109999999</v>
      </c>
      <c r="Y16" s="107">
        <f t="shared" si="7"/>
        <v>2.8212109999996571E-3</v>
      </c>
      <c r="Z16" s="118">
        <f t="shared" si="8"/>
        <v>2.8212109999996572E-5</v>
      </c>
      <c r="AA16" s="13">
        <f>'Range 2'!L16*1000</f>
        <v>9.912E-2</v>
      </c>
      <c r="AB16" s="13">
        <f>'Range 2'!M16</f>
        <v>11146</v>
      </c>
      <c r="AC16" s="77">
        <f t="shared" si="34"/>
        <v>9.9204058767999995E-2</v>
      </c>
      <c r="AD16" s="91">
        <f t="shared" si="10"/>
        <v>8.4058767999994899E-5</v>
      </c>
      <c r="AE16" s="115">
        <f t="shared" si="11"/>
        <v>8.4058767999994892E-6</v>
      </c>
      <c r="AF16" s="14">
        <f>'Range 3'!L16*1000</f>
        <v>5.1130000000000004E-3</v>
      </c>
      <c r="AG16" s="14">
        <f>'Range 3'!M16</f>
        <v>11128</v>
      </c>
      <c r="AH16" s="100">
        <f t="shared" si="35"/>
        <v>5.1194634380000003E-3</v>
      </c>
      <c r="AI16" s="107">
        <f t="shared" si="13"/>
        <v>6.4634379999999395E-6</v>
      </c>
      <c r="AJ16" s="118">
        <f t="shared" si="14"/>
        <v>6.4634379999999395E-6</v>
      </c>
      <c r="AK16" s="13">
        <f>'Range 4'!L16*1000</f>
        <v>-4.71952E-2</v>
      </c>
      <c r="AL16" s="13">
        <f>'Range 4'!M16</f>
        <v>15447</v>
      </c>
      <c r="AM16" s="77">
        <f t="shared" si="36"/>
        <v>0</v>
      </c>
      <c r="AN16" s="91">
        <f t="shared" si="16"/>
        <v>4.71952E-2</v>
      </c>
      <c r="AO16" s="122">
        <f t="shared" si="17"/>
        <v>4.71952E-2</v>
      </c>
      <c r="AR16" s="100" t="e">
        <f t="shared" si="37"/>
        <v>#DIV/0!</v>
      </c>
      <c r="AS16" s="107" t="e">
        <f t="shared" si="19"/>
        <v>#DIV/0!</v>
      </c>
      <c r="AT16" s="118" t="e">
        <f t="shared" si="20"/>
        <v>#DIV/0!</v>
      </c>
      <c r="AW16" s="77" t="e">
        <f t="shared" si="38"/>
        <v>#DIV/0!</v>
      </c>
      <c r="AX16" s="91" t="e">
        <f t="shared" si="22"/>
        <v>#DIV/0!</v>
      </c>
      <c r="AY16" s="122" t="e">
        <f t="shared" si="23"/>
        <v>#DIV/0!</v>
      </c>
      <c r="BB16" s="100" t="e">
        <f t="shared" si="39"/>
        <v>#DIV/0!</v>
      </c>
      <c r="BC16" s="107" t="e">
        <f t="shared" si="25"/>
        <v>#DIV/0!</v>
      </c>
      <c r="BD16" s="118" t="e">
        <f t="shared" si="26"/>
        <v>#DIV/0!</v>
      </c>
    </row>
    <row r="17" spans="1:56" x14ac:dyDescent="0.25">
      <c r="A17" s="11">
        <v>16</v>
      </c>
      <c r="B17" s="11">
        <v>2500</v>
      </c>
      <c r="C17" s="58">
        <v>13100</v>
      </c>
      <c r="D17" s="12">
        <f>Voltage!L17</f>
        <v>4.0039308</v>
      </c>
      <c r="E17" s="12">
        <f t="shared" si="40"/>
        <v>0.20120819615865315</v>
      </c>
      <c r="F17" s="12">
        <f>Voltage!M17</f>
        <v>0</v>
      </c>
      <c r="H17" s="12">
        <f>Voltage!N17</f>
        <v>13074</v>
      </c>
      <c r="I17" s="82">
        <f t="shared" si="30"/>
        <v>4.0032301701999993</v>
      </c>
      <c r="J17" s="79">
        <f t="shared" si="1"/>
        <v>7.0062980000074049E-4</v>
      </c>
      <c r="K17" s="85">
        <f>ABS(J17/$D17)</f>
        <v>1.749854917574351E-4</v>
      </c>
      <c r="L17" s="12">
        <f>Voltage!O17</f>
        <v>13077</v>
      </c>
      <c r="M17" s="82">
        <f t="shared" si="31"/>
        <v>4.0033253477999997</v>
      </c>
      <c r="N17" s="112">
        <f t="shared" si="28"/>
        <v>6.0545220000030042E-4</v>
      </c>
      <c r="O17" s="85">
        <f t="shared" si="29"/>
        <v>1.5121445155852854E-4</v>
      </c>
      <c r="P17" s="13">
        <f>'Range 0'!L17*1000</f>
        <v>50.188628999999999</v>
      </c>
      <c r="Q17" s="13">
        <f>'Range 0'!M17</f>
        <v>13796</v>
      </c>
      <c r="R17" s="91">
        <f t="shared" si="32"/>
        <v>50.230257934000001</v>
      </c>
      <c r="S17" s="91">
        <f t="shared" si="4"/>
        <v>4.1628934000002005E-2</v>
      </c>
      <c r="T17" s="88">
        <f t="shared" si="5"/>
        <v>4.1628934000002003E-4</v>
      </c>
      <c r="U17" s="88">
        <f>((B17-P$32)/P$29-R17)/CUR_RNG_R0</f>
        <v>-4.5773390527529043E-4</v>
      </c>
      <c r="V17" s="14">
        <f>'Range 1'!L17*1000</f>
        <v>2.5531459999999999</v>
      </c>
      <c r="W17" s="14">
        <f>'Range 1'!M17</f>
        <v>13905</v>
      </c>
      <c r="X17" s="100">
        <f t="shared" si="33"/>
        <v>2.5560348574999998</v>
      </c>
      <c r="Y17" s="107">
        <f t="shared" si="7"/>
        <v>2.8888574999998973E-3</v>
      </c>
      <c r="Z17" s="118">
        <f t="shared" si="8"/>
        <v>2.8888574999998971E-5</v>
      </c>
      <c r="AA17" s="13">
        <f>'Range 2'!L17*1000</f>
        <v>0.12370999999999999</v>
      </c>
      <c r="AB17" s="13">
        <f>'Range 2'!M17</f>
        <v>13912</v>
      </c>
      <c r="AC17" s="77">
        <f t="shared" si="34"/>
        <v>0.123780405796</v>
      </c>
      <c r="AD17" s="91">
        <f t="shared" si="10"/>
        <v>7.0405796000011511E-5</v>
      </c>
      <c r="AE17" s="115">
        <f t="shared" si="11"/>
        <v>7.0405796000011508E-6</v>
      </c>
      <c r="AF17" s="14">
        <f>'Range 3'!L17*1000</f>
        <v>6.3829999999999998E-3</v>
      </c>
      <c r="AG17" s="14">
        <f>'Range 3'!M17</f>
        <v>13895</v>
      </c>
      <c r="AH17" s="100">
        <f t="shared" si="35"/>
        <v>6.3902911980000003E-3</v>
      </c>
      <c r="AI17" s="107">
        <f t="shared" si="13"/>
        <v>7.2911980000004914E-6</v>
      </c>
      <c r="AJ17" s="118">
        <f t="shared" si="14"/>
        <v>7.2911980000004914E-6</v>
      </c>
      <c r="AK17" s="13">
        <f>'Range 4'!L17*1000</f>
        <v>-5.8949600000000005E-2</v>
      </c>
      <c r="AL17" s="13">
        <f>'Range 4'!M17</f>
        <v>19287</v>
      </c>
      <c r="AM17" s="77">
        <f t="shared" si="36"/>
        <v>0</v>
      </c>
      <c r="AN17" s="91">
        <f t="shared" si="16"/>
        <v>5.8949600000000005E-2</v>
      </c>
      <c r="AO17" s="122">
        <f t="shared" si="17"/>
        <v>5.8949600000000005E-2</v>
      </c>
      <c r="AR17" s="100" t="e">
        <f t="shared" si="37"/>
        <v>#DIV/0!</v>
      </c>
      <c r="AS17" s="107" t="e">
        <f t="shared" si="19"/>
        <v>#DIV/0!</v>
      </c>
      <c r="AT17" s="118" t="e">
        <f t="shared" si="20"/>
        <v>#DIV/0!</v>
      </c>
      <c r="AW17" s="77" t="e">
        <f t="shared" si="38"/>
        <v>#DIV/0!</v>
      </c>
      <c r="AX17" s="91" t="e">
        <f t="shared" si="22"/>
        <v>#DIV/0!</v>
      </c>
      <c r="AY17" s="122" t="e">
        <f t="shared" si="23"/>
        <v>#DIV/0!</v>
      </c>
      <c r="BB17" s="100" t="e">
        <f t="shared" si="39"/>
        <v>#DIV/0!</v>
      </c>
      <c r="BC17" s="107" t="e">
        <f t="shared" si="25"/>
        <v>#DIV/0!</v>
      </c>
      <c r="BD17" s="118" t="e">
        <f t="shared" si="26"/>
        <v>#DIV/0!</v>
      </c>
    </row>
    <row r="18" spans="1:56" x14ac:dyDescent="0.25">
      <c r="A18" s="11">
        <v>17</v>
      </c>
      <c r="B18" s="11">
        <v>3000</v>
      </c>
      <c r="C18" s="58">
        <v>16375</v>
      </c>
      <c r="D18" s="12">
        <f>Voltage!L18</f>
        <v>5.0024769999999998</v>
      </c>
      <c r="E18" s="12">
        <f t="shared" si="40"/>
        <v>1.0004750583210154</v>
      </c>
      <c r="F18" s="12">
        <f>Voltage!M18</f>
        <v>0</v>
      </c>
      <c r="H18" s="12">
        <f>Voltage!N18</f>
        <v>16338</v>
      </c>
      <c r="I18" s="82">
        <f t="shared" si="30"/>
        <v>5.0019678213999992</v>
      </c>
      <c r="J18" s="79">
        <f t="shared" si="1"/>
        <v>5.0917860000065929E-4</v>
      </c>
      <c r="K18" s="85">
        <f>ABS(J18/$D18)</f>
        <v>1.017852955647091E-4</v>
      </c>
      <c r="L18" s="12">
        <f>Voltage!O18</f>
        <v>16341</v>
      </c>
      <c r="M18" s="82">
        <f t="shared" si="31"/>
        <v>5.0019703014000001</v>
      </c>
      <c r="N18" s="112">
        <f t="shared" si="28"/>
        <v>5.066985999997442E-4</v>
      </c>
      <c r="O18" s="85">
        <f t="shared" si="29"/>
        <v>1.0128954116125756E-4</v>
      </c>
      <c r="P18" s="13">
        <f>'Range 0'!L18*1000</f>
        <v>60.150638000000001</v>
      </c>
      <c r="Q18" s="13">
        <f>'Range 0'!M18</f>
        <v>16536</v>
      </c>
      <c r="R18" s="91">
        <f t="shared" si="32"/>
        <v>60.192484194000002</v>
      </c>
      <c r="S18" s="91">
        <f t="shared" si="4"/>
        <v>4.1846194000001447E-2</v>
      </c>
      <c r="T18" s="88">
        <f t="shared" si="5"/>
        <v>4.1846194000001448E-4</v>
      </c>
      <c r="U18" s="88">
        <f>((B18-P$32)/P$29-R18)/CUR_RNG_R0</f>
        <v>-4.1970024552206552E-4</v>
      </c>
      <c r="V18" s="14">
        <f>'Range 1'!L18*1000</f>
        <v>3.0605404000000003</v>
      </c>
      <c r="W18" s="14">
        <f>'Range 1'!M18</f>
        <v>16669</v>
      </c>
      <c r="X18" s="100">
        <f t="shared" si="33"/>
        <v>3.0633894458999995</v>
      </c>
      <c r="Y18" s="107">
        <f t="shared" si="7"/>
        <v>2.8490458999992363E-3</v>
      </c>
      <c r="Z18" s="118">
        <f t="shared" si="8"/>
        <v>2.8490458999992362E-5</v>
      </c>
      <c r="AA18" s="13">
        <f>'Range 2'!L18*1000</f>
        <v>0.14829999999999999</v>
      </c>
      <c r="AB18" s="13">
        <f>'Range 2'!M18</f>
        <v>16677</v>
      </c>
      <c r="AC18" s="77">
        <f t="shared" si="34"/>
        <v>0.14834786766599997</v>
      </c>
      <c r="AD18" s="91">
        <f t="shared" si="10"/>
        <v>4.7867665999984377E-5</v>
      </c>
      <c r="AE18" s="115">
        <f t="shared" si="11"/>
        <v>4.7867665999984377E-6</v>
      </c>
      <c r="AF18" s="14">
        <f>'Range 3'!L18*1000</f>
        <v>7.6529999999999992E-3</v>
      </c>
      <c r="AG18" s="14">
        <f>'Range 3'!M18</f>
        <v>16660</v>
      </c>
      <c r="AH18" s="100">
        <f t="shared" si="35"/>
        <v>7.6602003980000008E-3</v>
      </c>
      <c r="AI18" s="107">
        <f t="shared" si="13"/>
        <v>7.2003980000016204E-6</v>
      </c>
      <c r="AJ18" s="118">
        <f t="shared" si="14"/>
        <v>7.2003980000016204E-6</v>
      </c>
      <c r="AK18" s="13">
        <f>'Range 4'!L18*1000</f>
        <v>-7.0714200000000005E-2</v>
      </c>
      <c r="AL18" s="13">
        <f>'Range 4'!M18</f>
        <v>23125</v>
      </c>
      <c r="AM18" s="77">
        <f t="shared" si="36"/>
        <v>0</v>
      </c>
      <c r="AN18" s="91">
        <f t="shared" si="16"/>
        <v>7.0714200000000005E-2</v>
      </c>
      <c r="AO18" s="122">
        <f t="shared" si="17"/>
        <v>7.0714200000000005E-2</v>
      </c>
      <c r="AR18" s="100" t="e">
        <f t="shared" si="37"/>
        <v>#DIV/0!</v>
      </c>
      <c r="AS18" s="107" t="e">
        <f t="shared" si="19"/>
        <v>#DIV/0!</v>
      </c>
      <c r="AT18" s="118" t="e">
        <f t="shared" si="20"/>
        <v>#DIV/0!</v>
      </c>
      <c r="AW18" s="77" t="e">
        <f t="shared" si="38"/>
        <v>#DIV/0!</v>
      </c>
      <c r="AX18" s="91" t="e">
        <f t="shared" si="22"/>
        <v>#DIV/0!</v>
      </c>
      <c r="AY18" s="122" t="e">
        <f t="shared" si="23"/>
        <v>#DIV/0!</v>
      </c>
      <c r="BB18" s="100" t="e">
        <f t="shared" si="39"/>
        <v>#DIV/0!</v>
      </c>
      <c r="BC18" s="107" t="e">
        <f t="shared" si="25"/>
        <v>#DIV/0!</v>
      </c>
      <c r="BD18" s="118" t="e">
        <f t="shared" si="26"/>
        <v>#DIV/0!</v>
      </c>
    </row>
    <row r="19" spans="1:56" x14ac:dyDescent="0.25">
      <c r="A19" s="11">
        <v>18</v>
      </c>
      <c r="B19" s="11">
        <v>3500</v>
      </c>
      <c r="C19" s="58">
        <v>19650</v>
      </c>
      <c r="D19" s="12">
        <f>Voltage!L19</f>
        <v>6.0020189999999998</v>
      </c>
      <c r="E19" s="12">
        <f t="shared" si="40"/>
        <v>0.8039419204832754</v>
      </c>
      <c r="F19" s="12">
        <f>Voltage!M19</f>
        <v>0</v>
      </c>
      <c r="H19" s="12">
        <f>Voltage!N19</f>
        <v>19605</v>
      </c>
      <c r="I19" s="82">
        <f t="shared" si="30"/>
        <v>6.0016234299999995</v>
      </c>
      <c r="J19" s="79">
        <f t="shared" si="1"/>
        <v>3.9557000000023379E-4</v>
      </c>
      <c r="K19" s="85">
        <f>ABS(J19/$D19)</f>
        <v>6.5906155911907939E-5</v>
      </c>
      <c r="L19" s="12">
        <f>Voltage!O19</f>
        <v>19608</v>
      </c>
      <c r="M19" s="82">
        <f t="shared" si="31"/>
        <v>6.0015331272000001</v>
      </c>
      <c r="N19" s="112">
        <f t="shared" si="28"/>
        <v>4.8587279999967592E-4</v>
      </c>
      <c r="O19" s="85">
        <f t="shared" si="29"/>
        <v>8.0951559800073272E-5</v>
      </c>
      <c r="P19" s="13">
        <f>'Range 0'!L19*1000</f>
        <v>70.115330999999998</v>
      </c>
      <c r="Q19" s="13">
        <f>'Range 0'!M19</f>
        <v>19275</v>
      </c>
      <c r="R19" s="91">
        <f t="shared" si="32"/>
        <v>70.151074604999991</v>
      </c>
      <c r="S19" s="91">
        <f t="shared" si="4"/>
        <v>3.5743604999993295E-2</v>
      </c>
      <c r="T19" s="88">
        <f t="shared" si="5"/>
        <v>3.5743604999993294E-4</v>
      </c>
      <c r="U19" s="88">
        <f>((B19-P$32)/P$29-R19)/CUR_RNG_R0</f>
        <v>-3.4530809576878598E-4</v>
      </c>
      <c r="V19" s="14">
        <f>'Range 1'!L19*1000</f>
        <v>3.5680389999999997</v>
      </c>
      <c r="W19" s="14">
        <f>'Range 1'!M19</f>
        <v>19435</v>
      </c>
      <c r="X19" s="100">
        <f t="shared" si="33"/>
        <v>3.5711111504999997</v>
      </c>
      <c r="Y19" s="107">
        <f t="shared" si="7"/>
        <v>3.0721504999999816E-3</v>
      </c>
      <c r="Z19" s="118">
        <f t="shared" si="8"/>
        <v>3.0721504999999818E-5</v>
      </c>
      <c r="AA19" s="13">
        <f>'Range 2'!L19*1000</f>
        <v>0.17289000000000002</v>
      </c>
      <c r="AB19" s="13">
        <f>'Range 2'!M19</f>
        <v>19444</v>
      </c>
      <c r="AC19" s="77">
        <f t="shared" si="34"/>
        <v>0.17293309985199998</v>
      </c>
      <c r="AD19" s="91">
        <f t="shared" si="10"/>
        <v>4.3099851999961469E-5</v>
      </c>
      <c r="AE19" s="115">
        <f t="shared" si="11"/>
        <v>4.3099851999961468E-6</v>
      </c>
      <c r="AF19" s="14">
        <f>'Range 3'!L19*1000</f>
        <v>8.9239999999999996E-3</v>
      </c>
      <c r="AG19" s="14">
        <f>'Range 3'!M19</f>
        <v>19427</v>
      </c>
      <c r="AH19" s="100">
        <f t="shared" si="35"/>
        <v>8.9310281580000008E-3</v>
      </c>
      <c r="AI19" s="107">
        <f t="shared" si="13"/>
        <v>7.0281580000011723E-6</v>
      </c>
      <c r="AJ19" s="118">
        <f t="shared" si="14"/>
        <v>7.0281580000011723E-6</v>
      </c>
      <c r="AK19" s="13">
        <f>'Range 4'!L19*1000</f>
        <v>-8.2397499999999999E-2</v>
      </c>
      <c r="AL19" s="13">
        <f>'Range 4'!M19</f>
        <v>26962</v>
      </c>
      <c r="AM19" s="77">
        <f t="shared" si="36"/>
        <v>0</v>
      </c>
      <c r="AN19" s="91">
        <f t="shared" si="16"/>
        <v>8.2397499999999999E-2</v>
      </c>
      <c r="AO19" s="122">
        <f t="shared" si="17"/>
        <v>8.2397499999999999E-2</v>
      </c>
      <c r="AR19" s="100" t="e">
        <f t="shared" si="37"/>
        <v>#DIV/0!</v>
      </c>
      <c r="AS19" s="107" t="e">
        <f t="shared" si="19"/>
        <v>#DIV/0!</v>
      </c>
      <c r="AT19" s="118" t="e">
        <f t="shared" si="20"/>
        <v>#DIV/0!</v>
      </c>
      <c r="AW19" s="77" t="e">
        <f t="shared" si="38"/>
        <v>#DIV/0!</v>
      </c>
      <c r="AX19" s="91" t="e">
        <f t="shared" si="22"/>
        <v>#DIV/0!</v>
      </c>
      <c r="AY19" s="122" t="e">
        <f t="shared" si="23"/>
        <v>#DIV/0!</v>
      </c>
      <c r="BB19" s="100" t="e">
        <f t="shared" si="39"/>
        <v>#DIV/0!</v>
      </c>
      <c r="BC19" s="107" t="e">
        <f t="shared" si="25"/>
        <v>#DIV/0!</v>
      </c>
      <c r="BD19" s="118" t="e">
        <f t="shared" si="26"/>
        <v>#DIV/0!</v>
      </c>
    </row>
    <row r="20" spans="1:56" x14ac:dyDescent="0.25">
      <c r="A20" s="11">
        <v>19</v>
      </c>
      <c r="B20" s="11">
        <v>4000</v>
      </c>
      <c r="C20" s="58">
        <v>22925</v>
      </c>
      <c r="D20" s="12">
        <f>Voltage!L20</f>
        <v>7.0017303000000002</v>
      </c>
      <c r="E20" s="12">
        <f t="shared" si="40"/>
        <v>0.43810878264505249</v>
      </c>
      <c r="F20" s="12">
        <f>Voltage!M20</f>
        <v>0</v>
      </c>
      <c r="H20" s="12">
        <f>Voltage!N20</f>
        <v>22872</v>
      </c>
      <c r="I20" s="82">
        <f t="shared" si="30"/>
        <v>7.0012790385999999</v>
      </c>
      <c r="J20" s="79">
        <f t="shared" si="1"/>
        <v>4.5126140000029125E-4</v>
      </c>
      <c r="K20" s="85">
        <f>ABS(J20/$D20)</f>
        <v>6.444998317063016E-5</v>
      </c>
      <c r="L20" s="12">
        <f>Voltage!O20</f>
        <v>22875</v>
      </c>
      <c r="M20" s="82">
        <f t="shared" si="31"/>
        <v>7.0010959530000001</v>
      </c>
      <c r="N20" s="112">
        <f t="shared" si="28"/>
        <v>6.3434700000009059E-4</v>
      </c>
      <c r="O20" s="85">
        <f t="shared" si="29"/>
        <v>9.0598605319043861E-5</v>
      </c>
      <c r="P20" s="13">
        <f>'Range 0'!L20*1000</f>
        <v>80.100883999999994</v>
      </c>
      <c r="Q20" s="13">
        <f>'Range 0'!M20</f>
        <v>22021</v>
      </c>
      <c r="R20" s="91">
        <f t="shared" si="32"/>
        <v>80.13511595899999</v>
      </c>
      <c r="S20" s="91">
        <f t="shared" si="4"/>
        <v>3.4231958999995982E-2</v>
      </c>
      <c r="T20" s="88">
        <f t="shared" si="5"/>
        <v>3.423195899999598E-4</v>
      </c>
      <c r="U20" s="88">
        <f>((B20-P$32)/P$29-R20)/CUR_RNG_R0</f>
        <v>-5.2542537601553364E-4</v>
      </c>
      <c r="V20" s="14">
        <f>'Range 1'!L20*1000</f>
        <v>4.0768699999999995</v>
      </c>
      <c r="W20" s="14">
        <f>'Range 1'!M20</f>
        <v>22205</v>
      </c>
      <c r="X20" s="100">
        <f t="shared" si="33"/>
        <v>4.0795670875000001</v>
      </c>
      <c r="Y20" s="107">
        <f t="shared" si="7"/>
        <v>2.6970875000005279E-3</v>
      </c>
      <c r="Z20" s="118">
        <f t="shared" si="8"/>
        <v>2.697087500000528E-5</v>
      </c>
      <c r="AA20" s="13">
        <f>'Range 2'!L20*1000</f>
        <v>0.19754000000000002</v>
      </c>
      <c r="AB20" s="13">
        <f>'Range 2'!M20</f>
        <v>22216</v>
      </c>
      <c r="AC20" s="77">
        <f t="shared" si="34"/>
        <v>0.19756275782799998</v>
      </c>
      <c r="AD20" s="91">
        <f t="shared" si="10"/>
        <v>2.2757827999958513E-5</v>
      </c>
      <c r="AE20" s="115">
        <f t="shared" si="11"/>
        <v>2.2757827999958514E-6</v>
      </c>
      <c r="AF20" s="14">
        <f>'Range 3'!L20*1000</f>
        <v>1.0197999999999999E-2</v>
      </c>
      <c r="AG20" s="14">
        <f>'Range 3'!M20</f>
        <v>22199</v>
      </c>
      <c r="AH20" s="100">
        <f t="shared" si="35"/>
        <v>1.0204152318000001E-2</v>
      </c>
      <c r="AI20" s="107">
        <f t="shared" si="13"/>
        <v>6.152318000001919E-6</v>
      </c>
      <c r="AJ20" s="118">
        <f t="shared" si="14"/>
        <v>6.152318000001919E-6</v>
      </c>
      <c r="AK20" s="13">
        <f>'Range 4'!L20*1000</f>
        <v>-9.4177299999999992E-2</v>
      </c>
      <c r="AL20" s="13">
        <f>'Range 4'!M20</f>
        <v>30799</v>
      </c>
      <c r="AM20" s="77">
        <f t="shared" si="36"/>
        <v>0</v>
      </c>
      <c r="AN20" s="91">
        <f t="shared" si="16"/>
        <v>9.4177299999999992E-2</v>
      </c>
      <c r="AO20" s="122">
        <f t="shared" si="17"/>
        <v>9.4177299999999992E-2</v>
      </c>
      <c r="AR20" s="100" t="e">
        <f t="shared" si="37"/>
        <v>#DIV/0!</v>
      </c>
      <c r="AS20" s="107" t="e">
        <f t="shared" si="19"/>
        <v>#DIV/0!</v>
      </c>
      <c r="AT20" s="118" t="e">
        <f t="shared" si="20"/>
        <v>#DIV/0!</v>
      </c>
      <c r="AW20" s="77" t="e">
        <f t="shared" si="38"/>
        <v>#DIV/0!</v>
      </c>
      <c r="AX20" s="91" t="e">
        <f t="shared" si="22"/>
        <v>#DIV/0!</v>
      </c>
      <c r="AY20" s="122" t="e">
        <f t="shared" si="23"/>
        <v>#DIV/0!</v>
      </c>
      <c r="BB20" s="100" t="e">
        <f t="shared" si="39"/>
        <v>#DIV/0!</v>
      </c>
      <c r="BC20" s="107" t="e">
        <f t="shared" si="25"/>
        <v>#DIV/0!</v>
      </c>
      <c r="BD20" s="118" t="e">
        <f t="shared" si="26"/>
        <v>#DIV/0!</v>
      </c>
    </row>
    <row r="21" spans="1:56" x14ac:dyDescent="0.25">
      <c r="A21" s="11">
        <v>20</v>
      </c>
      <c r="B21" s="11">
        <v>4500</v>
      </c>
      <c r="C21" s="58">
        <v>26200</v>
      </c>
      <c r="D21" s="12">
        <f>Voltage!L21</f>
        <v>8.0013816000000002</v>
      </c>
      <c r="E21" s="12">
        <f t="shared" si="40"/>
        <v>0.13227564480722265</v>
      </c>
      <c r="F21" s="12">
        <f>Voltage!M21</f>
        <v>0</v>
      </c>
      <c r="H21" s="12">
        <f>Voltage!N21</f>
        <v>26139</v>
      </c>
      <c r="I21" s="82">
        <f t="shared" si="30"/>
        <v>8.0009346471999994</v>
      </c>
      <c r="J21" s="79">
        <f t="shared" si="1"/>
        <v>4.4695280000084381E-4</v>
      </c>
      <c r="K21" s="85">
        <f>ABS(J21/$D21)</f>
        <v>5.5859453072559845E-5</v>
      </c>
      <c r="L21" s="12">
        <f>Voltage!O21</f>
        <v>26143</v>
      </c>
      <c r="M21" s="82">
        <f t="shared" si="31"/>
        <v>8.0009647362000003</v>
      </c>
      <c r="N21" s="112">
        <f t="shared" si="28"/>
        <v>4.1686379999994472E-4</v>
      </c>
      <c r="O21" s="85">
        <f t="shared" si="29"/>
        <v>5.2098977506577704E-5</v>
      </c>
      <c r="P21" s="13">
        <f>'Range 0'!L21*1000</f>
        <v>90.073976999999999</v>
      </c>
      <c r="Q21" s="13">
        <f>'Range 0'!M21</f>
        <v>24759</v>
      </c>
      <c r="R21" s="91">
        <f t="shared" si="32"/>
        <v>90.090070521000001</v>
      </c>
      <c r="S21" s="91">
        <f t="shared" si="4"/>
        <v>1.6093521000001942E-2</v>
      </c>
      <c r="T21" s="88">
        <f t="shared" si="5"/>
        <v>1.6093521000001943E-4</v>
      </c>
      <c r="U21" s="88">
        <f>((B21-P$32)/P$29-R21)/CUR_RNG_R0</f>
        <v>-4.146747362624126E-4</v>
      </c>
      <c r="V21" s="14">
        <f>'Range 1'!L21*1000</f>
        <v>4.5848356999999993</v>
      </c>
      <c r="W21" s="14">
        <f>'Range 1'!M21</f>
        <v>24967</v>
      </c>
      <c r="X21" s="100">
        <f t="shared" si="33"/>
        <v>4.5865545596999997</v>
      </c>
      <c r="Y21" s="107">
        <f t="shared" si="7"/>
        <v>1.718859700000408E-3</v>
      </c>
      <c r="Z21" s="118">
        <f t="shared" si="8"/>
        <v>1.7188597000004081E-5</v>
      </c>
      <c r="AA21" s="13">
        <f>'Range 2'!L21*1000</f>
        <v>0.222</v>
      </c>
      <c r="AB21" s="13">
        <f>'Range 2'!M21</f>
        <v>24977</v>
      </c>
      <c r="AC21" s="77">
        <f t="shared" si="34"/>
        <v>0.22209467906599997</v>
      </c>
      <c r="AD21" s="91">
        <f t="shared" si="10"/>
        <v>9.4679065999969669E-5</v>
      </c>
      <c r="AE21" s="115">
        <f t="shared" si="11"/>
        <v>9.4679065999969666E-6</v>
      </c>
      <c r="AF21" s="14">
        <f>'Range 3'!L21*1000</f>
        <v>1.1470000000000001E-2</v>
      </c>
      <c r="AG21" s="14">
        <f>'Range 3'!M21</f>
        <v>24960</v>
      </c>
      <c r="AH21" s="100">
        <f t="shared" si="35"/>
        <v>1.1472224398000001E-2</v>
      </c>
      <c r="AI21" s="107">
        <f t="shared" si="13"/>
        <v>2.2243979999996E-6</v>
      </c>
      <c r="AJ21" s="118">
        <f t="shared" si="14"/>
        <v>2.2243979999996E-6</v>
      </c>
      <c r="AK21" s="13">
        <f>'Range 4'!L21*1000</f>
        <v>-0.1058862</v>
      </c>
      <c r="AL21" s="13">
        <f>'Range 4'!M21</f>
        <v>32767</v>
      </c>
      <c r="AM21" s="77">
        <f t="shared" si="36"/>
        <v>0</v>
      </c>
      <c r="AN21" s="91">
        <f t="shared" si="16"/>
        <v>0.1058862</v>
      </c>
      <c r="AO21" s="122">
        <f t="shared" si="17"/>
        <v>0.1058862</v>
      </c>
      <c r="AR21" s="100" t="e">
        <f t="shared" si="37"/>
        <v>#DIV/0!</v>
      </c>
      <c r="AS21" s="107" t="e">
        <f t="shared" si="19"/>
        <v>#DIV/0!</v>
      </c>
      <c r="AT21" s="118" t="e">
        <f t="shared" si="20"/>
        <v>#DIV/0!</v>
      </c>
      <c r="AW21" s="77" t="e">
        <f t="shared" si="38"/>
        <v>#DIV/0!</v>
      </c>
      <c r="AX21" s="91" t="e">
        <f t="shared" si="22"/>
        <v>#DIV/0!</v>
      </c>
      <c r="AY21" s="122" t="e">
        <f t="shared" si="23"/>
        <v>#DIV/0!</v>
      </c>
      <c r="BB21" s="100" t="e">
        <f t="shared" si="39"/>
        <v>#DIV/0!</v>
      </c>
      <c r="BC21" s="107" t="e">
        <f t="shared" si="25"/>
        <v>#DIV/0!</v>
      </c>
      <c r="BD21" s="118" t="e">
        <f t="shared" si="26"/>
        <v>#DIV/0!</v>
      </c>
    </row>
    <row r="22" spans="1:56" s="26" customFormat="1" x14ac:dyDescent="0.25">
      <c r="A22" s="22">
        <v>21</v>
      </c>
      <c r="B22" s="22">
        <v>5000</v>
      </c>
      <c r="C22" s="60">
        <v>29475</v>
      </c>
      <c r="D22" s="23">
        <f>Voltage!L22</f>
        <v>9.0017499999999995</v>
      </c>
      <c r="E22" s="23">
        <f t="shared" si="40"/>
        <v>-0.89065749303074426</v>
      </c>
      <c r="F22" s="23">
        <f>Voltage!M22</f>
        <v>0</v>
      </c>
      <c r="G22" s="23"/>
      <c r="H22" s="23">
        <f>Voltage!N22</f>
        <v>29408</v>
      </c>
      <c r="I22" s="84">
        <f t="shared" si="30"/>
        <v>9.0012022274000003</v>
      </c>
      <c r="J22" s="81">
        <f t="shared" si="1"/>
        <v>5.4777259999916339E-4</v>
      </c>
      <c r="K22" s="87">
        <f>ABS(J22/$D22)</f>
        <v>6.0851789929642948E-5</v>
      </c>
      <c r="L22" s="23">
        <f>Voltage!O22</f>
        <v>29412</v>
      </c>
      <c r="M22" s="84">
        <f t="shared" si="31"/>
        <v>9.0011394768000006</v>
      </c>
      <c r="N22" s="114">
        <f t="shared" si="28"/>
        <v>6.1052319999888027E-4</v>
      </c>
      <c r="O22" s="87">
        <f t="shared" si="29"/>
        <v>6.7822723359222404E-5</v>
      </c>
      <c r="P22" s="24">
        <f>'Range 0'!L22*1000</f>
        <v>100.02437</v>
      </c>
      <c r="Q22" s="24">
        <f>'Range 0'!M22</f>
        <v>27462</v>
      </c>
      <c r="R22" s="93">
        <f t="shared" si="32"/>
        <v>99.917770367999992</v>
      </c>
      <c r="S22" s="93">
        <f t="shared" si="4"/>
        <v>0.10659963200001243</v>
      </c>
      <c r="T22" s="90">
        <f t="shared" si="5"/>
        <v>1.0659963200001243E-3</v>
      </c>
      <c r="U22" s="90">
        <f>((B22-P$32)/P$29-R22)/CUR_RNG_R0</f>
        <v>9.6862305349091574E-4</v>
      </c>
      <c r="V22" s="25">
        <f>'Range 1'!L22*1000</f>
        <v>5.0931443999999999</v>
      </c>
      <c r="W22" s="25">
        <f>'Range 1'!M22</f>
        <v>27683</v>
      </c>
      <c r="X22" s="102">
        <f t="shared" si="33"/>
        <v>5.0850983592999999</v>
      </c>
      <c r="Y22" s="109">
        <f t="shared" si="7"/>
        <v>8.0460407000000345E-3</v>
      </c>
      <c r="Z22" s="120">
        <f t="shared" si="8"/>
        <v>8.0460407000000351E-5</v>
      </c>
      <c r="AA22" s="24">
        <f>'Range 2'!L22*1000</f>
        <v>0.24659999999999999</v>
      </c>
      <c r="AB22" s="24">
        <f>'Range 2'!M22</f>
        <v>27688</v>
      </c>
      <c r="AC22" s="97">
        <f t="shared" si="34"/>
        <v>0.24618234240399997</v>
      </c>
      <c r="AD22" s="93">
        <f t="shared" si="10"/>
        <v>4.1765759600001506E-4</v>
      </c>
      <c r="AE22" s="117">
        <f t="shared" si="11"/>
        <v>4.1765759600001508E-5</v>
      </c>
      <c r="AF22" s="25">
        <f>'Range 3'!L22*1000</f>
        <v>1.2742E-2</v>
      </c>
      <c r="AG22" s="25">
        <f>'Range 3'!M22</f>
        <v>27671</v>
      </c>
      <c r="AH22" s="102">
        <f t="shared" si="35"/>
        <v>1.2717332478E-2</v>
      </c>
      <c r="AI22" s="109">
        <f t="shared" si="13"/>
        <v>2.4667521999999567E-5</v>
      </c>
      <c r="AJ22" s="120">
        <f t="shared" si="14"/>
        <v>2.4667521999999567E-5</v>
      </c>
      <c r="AK22" s="24">
        <f>'Range 4'!L22*1000</f>
        <v>21000</v>
      </c>
      <c r="AL22" s="24">
        <f>'Range 4'!M22</f>
        <v>21</v>
      </c>
      <c r="AM22" s="97">
        <f t="shared" si="36"/>
        <v>0</v>
      </c>
      <c r="AN22" s="93">
        <f t="shared" si="16"/>
        <v>21000</v>
      </c>
      <c r="AO22" s="124">
        <f t="shared" si="17"/>
        <v>21000</v>
      </c>
      <c r="AP22" s="25"/>
      <c r="AQ22" s="25"/>
      <c r="AR22" s="102" t="e">
        <f t="shared" si="37"/>
        <v>#DIV/0!</v>
      </c>
      <c r="AS22" s="109" t="e">
        <f t="shared" si="19"/>
        <v>#DIV/0!</v>
      </c>
      <c r="AT22" s="120" t="e">
        <f t="shared" si="20"/>
        <v>#DIV/0!</v>
      </c>
      <c r="AU22" s="24"/>
      <c r="AV22" s="24"/>
      <c r="AW22" s="97" t="e">
        <f t="shared" si="38"/>
        <v>#DIV/0!</v>
      </c>
      <c r="AX22" s="93" t="e">
        <f t="shared" si="22"/>
        <v>#DIV/0!</v>
      </c>
      <c r="AY22" s="124" t="e">
        <f t="shared" si="23"/>
        <v>#DIV/0!</v>
      </c>
      <c r="AZ22" s="25"/>
      <c r="BA22" s="25"/>
      <c r="BB22" s="102" t="e">
        <f t="shared" si="39"/>
        <v>#DIV/0!</v>
      </c>
      <c r="BC22" s="109" t="e">
        <f t="shared" si="25"/>
        <v>#DIV/0!</v>
      </c>
      <c r="BD22" s="120" t="e">
        <f t="shared" si="26"/>
        <v>#DIV/0!</v>
      </c>
    </row>
    <row r="23" spans="1:56" s="30" customFormat="1" x14ac:dyDescent="0.25">
      <c r="A23" s="11"/>
      <c r="B23" s="11"/>
      <c r="C23" s="54"/>
      <c r="D23" s="27" t="str">
        <f>Voltage!B1</f>
        <v>hp34401a</v>
      </c>
      <c r="E23" s="27"/>
      <c r="F23" s="27"/>
      <c r="G23" s="27"/>
      <c r="H23" s="27"/>
      <c r="I23" s="27"/>
      <c r="J23" s="67"/>
      <c r="K23" s="67"/>
      <c r="L23" s="27"/>
      <c r="M23" s="67"/>
      <c r="N23" s="27"/>
      <c r="O23" s="27"/>
      <c r="P23" s="28" t="str">
        <f>'Range 0'!B1</f>
        <v>hp34401a</v>
      </c>
      <c r="Q23" s="28"/>
      <c r="R23" s="74"/>
      <c r="S23" s="74"/>
      <c r="T23" s="74"/>
      <c r="U23" s="74"/>
      <c r="V23" s="29" t="str">
        <f>'Range 1'!B1</f>
        <v>hp34401a</v>
      </c>
      <c r="W23" s="29"/>
      <c r="X23" s="103"/>
      <c r="Y23" s="103"/>
      <c r="Z23" s="103"/>
      <c r="AA23" s="28" t="str">
        <f>'Range 2'!$B$1</f>
        <v>keithley485</v>
      </c>
      <c r="AB23" s="28"/>
      <c r="AC23" s="74"/>
      <c r="AD23" s="74"/>
      <c r="AE23" s="74"/>
      <c r="AF23" s="29" t="str">
        <f>'Range 3'!$B$1</f>
        <v>keithley485</v>
      </c>
      <c r="AG23" s="29"/>
      <c r="AH23" s="103"/>
      <c r="AI23" s="103"/>
      <c r="AJ23" s="103"/>
      <c r="AK23" s="28" t="str">
        <f>'Range 4'!$B$1</f>
        <v>hp34401a</v>
      </c>
      <c r="AL23" s="28"/>
      <c r="AM23" s="74"/>
      <c r="AN23" s="28"/>
      <c r="AO23" s="28"/>
      <c r="AP23" s="29" t="str">
        <f>'Range 5'!$B$1</f>
        <v>hp34401a</v>
      </c>
      <c r="AQ23" s="29"/>
      <c r="AR23" s="103"/>
      <c r="AS23" s="103"/>
      <c r="AT23" s="103"/>
      <c r="AU23" s="28" t="str">
        <f>'Range 6'!$B$1</f>
        <v>hp34401a</v>
      </c>
      <c r="AV23" s="28"/>
      <c r="AW23" s="74"/>
      <c r="AX23" s="74"/>
      <c r="AY23" s="74"/>
      <c r="AZ23" s="29" t="str">
        <f>'Range 7'!$B$1</f>
        <v>hp34401a</v>
      </c>
      <c r="BA23" s="29"/>
      <c r="BB23" s="103"/>
      <c r="BC23" s="103"/>
      <c r="BD23" s="103"/>
    </row>
    <row r="24" spans="1:56" s="30" customFormat="1" x14ac:dyDescent="0.25">
      <c r="A24" s="11"/>
      <c r="B24" s="11"/>
      <c r="C24" s="54"/>
      <c r="D24" s="27"/>
      <c r="E24" s="27"/>
      <c r="F24" s="27"/>
      <c r="G24" s="27"/>
      <c r="H24" s="27"/>
      <c r="I24" s="27"/>
      <c r="J24" s="67"/>
      <c r="K24" s="67"/>
      <c r="L24" s="27"/>
      <c r="M24" s="67"/>
      <c r="N24" s="27"/>
      <c r="O24" s="27"/>
      <c r="P24" s="28"/>
      <c r="Q24" s="28"/>
      <c r="R24" s="74"/>
      <c r="S24" s="74"/>
      <c r="T24" s="74"/>
      <c r="U24" s="74"/>
      <c r="V24" s="29"/>
      <c r="W24" s="29"/>
      <c r="X24" s="103"/>
      <c r="Y24" s="103"/>
      <c r="Z24" s="103"/>
      <c r="AA24" s="28"/>
      <c r="AB24" s="28"/>
      <c r="AC24" s="74"/>
      <c r="AD24" s="74"/>
      <c r="AE24" s="74"/>
      <c r="AF24" s="29"/>
      <c r="AG24" s="29"/>
      <c r="AH24" s="103"/>
      <c r="AI24" s="103"/>
      <c r="AJ24" s="103"/>
      <c r="AK24" s="28"/>
      <c r="AL24" s="28"/>
      <c r="AM24" s="74"/>
      <c r="AN24" s="28"/>
      <c r="AO24" s="28"/>
      <c r="AP24" s="29"/>
      <c r="AQ24" s="29"/>
      <c r="AR24" s="103"/>
      <c r="AS24" s="103"/>
      <c r="AT24" s="103"/>
      <c r="AU24" s="28"/>
      <c r="AV24" s="28"/>
      <c r="AW24" s="74"/>
      <c r="AX24" s="74"/>
      <c r="AY24" s="74"/>
      <c r="AZ24" s="29"/>
      <c r="BA24" s="29"/>
      <c r="BB24" s="103"/>
      <c r="BC24" s="103"/>
      <c r="BD24" s="103"/>
    </row>
    <row r="25" spans="1:56" s="35" customFormat="1" x14ac:dyDescent="0.25">
      <c r="A25" s="31"/>
      <c r="B25" s="31"/>
      <c r="C25" s="55"/>
      <c r="D25" s="32" t="s">
        <v>26</v>
      </c>
      <c r="E25" s="127" t="s">
        <v>26</v>
      </c>
      <c r="F25" s="32" t="s">
        <v>35</v>
      </c>
      <c r="G25" s="68" t="s">
        <v>35</v>
      </c>
      <c r="H25" s="32" t="s">
        <v>38</v>
      </c>
      <c r="I25" s="68" t="s">
        <v>38</v>
      </c>
      <c r="J25" s="32"/>
      <c r="K25" s="32"/>
      <c r="L25" s="32" t="s">
        <v>41</v>
      </c>
      <c r="M25" s="68" t="s">
        <v>41</v>
      </c>
      <c r="N25" s="32"/>
      <c r="O25" s="32"/>
      <c r="P25" s="33" t="s">
        <v>29</v>
      </c>
      <c r="Q25" s="33" t="s">
        <v>44</v>
      </c>
      <c r="R25" s="75" t="s">
        <v>44</v>
      </c>
      <c r="S25" s="33"/>
      <c r="T25" s="75"/>
      <c r="U25" s="75"/>
      <c r="V25" s="34" t="s">
        <v>29</v>
      </c>
      <c r="W25" s="34" t="s">
        <v>44</v>
      </c>
      <c r="X25" s="104" t="s">
        <v>44</v>
      </c>
      <c r="Y25" s="34"/>
      <c r="Z25" s="104"/>
      <c r="AA25" s="33" t="s">
        <v>29</v>
      </c>
      <c r="AB25" s="33" t="s">
        <v>44</v>
      </c>
      <c r="AC25" s="75" t="s">
        <v>44</v>
      </c>
      <c r="AD25" s="33"/>
      <c r="AE25" s="75"/>
      <c r="AF25" s="34" t="s">
        <v>29</v>
      </c>
      <c r="AG25" s="34" t="s">
        <v>44</v>
      </c>
      <c r="AH25" s="104" t="s">
        <v>44</v>
      </c>
      <c r="AI25" s="34"/>
      <c r="AJ25" s="104"/>
      <c r="AK25" s="33" t="s">
        <v>29</v>
      </c>
      <c r="AL25" s="33" t="s">
        <v>44</v>
      </c>
      <c r="AM25" s="75" t="s">
        <v>44</v>
      </c>
      <c r="AN25" s="33"/>
      <c r="AO25" s="33"/>
      <c r="AP25" s="34" t="s">
        <v>29</v>
      </c>
      <c r="AQ25" s="34" t="s">
        <v>44</v>
      </c>
      <c r="AR25" s="104" t="s">
        <v>44</v>
      </c>
      <c r="AS25" s="104"/>
      <c r="AT25" s="104"/>
      <c r="AU25" s="33" t="s">
        <v>29</v>
      </c>
      <c r="AV25" s="33" t="s">
        <v>44</v>
      </c>
      <c r="AW25" s="75" t="s">
        <v>44</v>
      </c>
      <c r="AX25" s="75"/>
      <c r="AY25" s="75"/>
      <c r="AZ25" s="34" t="s">
        <v>29</v>
      </c>
      <c r="BA25" s="34" t="s">
        <v>44</v>
      </c>
      <c r="BB25" s="104" t="s">
        <v>44</v>
      </c>
      <c r="BC25" s="104"/>
      <c r="BD25" s="104"/>
    </row>
    <row r="26" spans="1:56" s="30" customFormat="1" x14ac:dyDescent="0.25">
      <c r="A26" s="11"/>
      <c r="B26" s="11"/>
      <c r="C26" s="54"/>
      <c r="D26" s="27">
        <f>SLOPE($C2:$C12,D2:D12)</f>
        <v>3277.0376591667009</v>
      </c>
      <c r="E26" s="128">
        <f>Calibrate!C10</f>
        <v>3277.145</v>
      </c>
      <c r="F26" s="27" t="e">
        <f>SLOPE($D2:$D12,F2:F12)</f>
        <v>#DIV/0!</v>
      </c>
      <c r="G26" s="67">
        <f>Calibrate!C13</f>
        <v>0</v>
      </c>
      <c r="H26" s="27">
        <f>SLOPE($D2:$D12,H2:H12)</f>
        <v>3.0598290474755975E-4</v>
      </c>
      <c r="I26" s="67">
        <f>Calibrate!C16</f>
        <v>3.0598579999999999E-4</v>
      </c>
      <c r="J26" s="27"/>
      <c r="K26" s="27"/>
      <c r="L26" s="27">
        <f t="shared" ref="L26" si="41">SLOPE($D2:$D12,L2:L12)</f>
        <v>3.059597394025893E-4</v>
      </c>
      <c r="M26" s="67">
        <f>Calibrate!C19</f>
        <v>3.0595740000000001E-4</v>
      </c>
      <c r="N26" s="27"/>
      <c r="O26" s="27"/>
      <c r="P26" s="28">
        <f>SLOPE($B2:$B12,P2:P12)</f>
        <v>50.147719784565787</v>
      </c>
      <c r="Q26" s="28">
        <f>SLOPE(P2:P12,Q2:Q12)</f>
        <v>3.6320112350483125E-3</v>
      </c>
      <c r="R26" s="74">
        <f>Calibrate!C29</f>
        <v>3.635849E-3</v>
      </c>
      <c r="S26" s="28"/>
      <c r="T26" s="74"/>
      <c r="U26" s="74"/>
      <c r="V26" s="29">
        <f>SLOPE($B2:$B12,V2:V12)</f>
        <v>984.53292489872729</v>
      </c>
      <c r="W26" s="29">
        <f>SLOPE(V2:V12,W2:W12)</f>
        <v>1.833468137877912E-4</v>
      </c>
      <c r="X26" s="103">
        <f>Calibrate!C30</f>
        <v>1.8355809999999999E-4</v>
      </c>
      <c r="Y26" s="29"/>
      <c r="Z26" s="103"/>
      <c r="AA26" s="28">
        <f>SLOPE($B2:$B12,AA2:AA12)</f>
        <v>20320.929670428603</v>
      </c>
      <c r="AB26" s="28">
        <f>SLOPE(AA2:AA12,AB2:AB12)</f>
        <v>8.8799711320466855E-6</v>
      </c>
      <c r="AC26" s="74">
        <f>Calibrate!C31</f>
        <v>8.8851579999999993E-6</v>
      </c>
      <c r="AD26" s="28"/>
      <c r="AE26" s="74"/>
      <c r="AF26" s="29">
        <f>SLOPE($B2:$B12,AF2:AF12)</f>
        <v>393246.87336821563</v>
      </c>
      <c r="AG26" s="29">
        <f>SLOPE(AF2:AF12,AG2:AG12)</f>
        <v>4.5890014051349238E-7</v>
      </c>
      <c r="AH26" s="103">
        <f>Calibrate!C32</f>
        <v>4.5928000000000002E-7</v>
      </c>
      <c r="AI26" s="29"/>
      <c r="AJ26" s="103"/>
      <c r="AK26" s="28">
        <f>SLOPE($B2:$B12,AL2:AL12)</f>
        <v>0.14583787819293539</v>
      </c>
      <c r="AL26" s="28">
        <f>SLOPE(AK2:AK12,AL2:AL12)</f>
        <v>-3.0572389902239347E-6</v>
      </c>
      <c r="AM26" s="74">
        <f>Calibrate!C33</f>
        <v>0</v>
      </c>
      <c r="AN26" s="28"/>
      <c r="AO26" s="28"/>
      <c r="AP26" s="29" t="e">
        <f>SLOPE($B2:$B12,AQ2:AQ12)</f>
        <v>#DIV/0!</v>
      </c>
      <c r="AQ26" s="29" t="e">
        <v>#DIV/0!</v>
      </c>
      <c r="AR26" s="103">
        <f>Calibrate!C34</f>
        <v>0</v>
      </c>
      <c r="AS26" s="103"/>
      <c r="AT26" s="103"/>
      <c r="AU26" s="28" t="e">
        <f>SLOPE($B2:$B12,AV2:AV12)</f>
        <v>#DIV/0!</v>
      </c>
      <c r="AV26" s="28" t="e">
        <f>SLOPE(AU2:AU12,AV2:AV12)</f>
        <v>#DIV/0!</v>
      </c>
      <c r="AW26" s="74">
        <f>Calibrate!C35</f>
        <v>0</v>
      </c>
      <c r="AX26" s="74"/>
      <c r="AY26" s="74"/>
      <c r="AZ26" s="29" t="e">
        <f>SLOPE($B2:$B12,BA2:BA12)</f>
        <v>#DIV/0!</v>
      </c>
      <c r="BA26" s="29" t="e">
        <f>SLOPE(AZ2:AZ12,BA2:BA12)</f>
        <v>#DIV/0!</v>
      </c>
      <c r="BB26" s="103">
        <f>Calibrate!C36</f>
        <v>0</v>
      </c>
      <c r="BC26" s="103"/>
      <c r="BD26" s="103"/>
    </row>
    <row r="27" spans="1:56" s="30" customFormat="1" x14ac:dyDescent="0.25">
      <c r="A27" s="11"/>
      <c r="B27" s="11"/>
      <c r="C27" s="54"/>
      <c r="D27" s="27"/>
      <c r="E27" s="128"/>
      <c r="F27" s="27"/>
      <c r="G27" s="67"/>
      <c r="H27" s="27"/>
      <c r="I27" s="67"/>
      <c r="J27" s="27"/>
      <c r="K27" s="27"/>
      <c r="L27" s="27"/>
      <c r="M27" s="67"/>
      <c r="N27" s="27"/>
      <c r="O27" s="27"/>
      <c r="P27" s="28"/>
      <c r="Q27" s="28"/>
      <c r="R27" s="74"/>
      <c r="S27" s="28"/>
      <c r="T27" s="74"/>
      <c r="U27" s="74"/>
      <c r="V27" s="29"/>
      <c r="W27" s="29"/>
      <c r="X27" s="103"/>
      <c r="Y27" s="29"/>
      <c r="Z27" s="103"/>
      <c r="AA27" s="28"/>
      <c r="AB27" s="28"/>
      <c r="AC27" s="74"/>
      <c r="AD27" s="28"/>
      <c r="AE27" s="74"/>
      <c r="AF27" s="29"/>
      <c r="AG27" s="29"/>
      <c r="AH27" s="103"/>
      <c r="AI27" s="29"/>
      <c r="AJ27" s="103"/>
      <c r="AK27" s="28"/>
      <c r="AL27" s="28"/>
      <c r="AM27" s="74"/>
      <c r="AN27" s="28"/>
      <c r="AO27" s="28"/>
      <c r="AP27" s="29"/>
      <c r="AQ27" s="29"/>
      <c r="AR27" s="103"/>
      <c r="AS27" s="103"/>
      <c r="AT27" s="103"/>
      <c r="AU27" s="28"/>
      <c r="AV27" s="28"/>
      <c r="AW27" s="74"/>
      <c r="AX27" s="74"/>
      <c r="AY27" s="74"/>
      <c r="AZ27" s="29"/>
      <c r="BA27" s="29"/>
      <c r="BB27" s="103"/>
      <c r="BC27" s="103"/>
      <c r="BD27" s="103"/>
    </row>
    <row r="28" spans="1:56" s="35" customFormat="1" x14ac:dyDescent="0.25">
      <c r="A28" s="31"/>
      <c r="B28" s="31"/>
      <c r="C28" s="55"/>
      <c r="D28" s="32" t="s">
        <v>25</v>
      </c>
      <c r="E28" s="127" t="s">
        <v>25</v>
      </c>
      <c r="F28" s="32" t="s">
        <v>34</v>
      </c>
      <c r="G28" s="68" t="s">
        <v>34</v>
      </c>
      <c r="H28" s="32" t="s">
        <v>37</v>
      </c>
      <c r="I28" s="68" t="s">
        <v>37</v>
      </c>
      <c r="J28" s="32"/>
      <c r="K28" s="32"/>
      <c r="L28" s="32" t="s">
        <v>40</v>
      </c>
      <c r="M28" s="68" t="s">
        <v>40</v>
      </c>
      <c r="N28" s="32"/>
      <c r="O28" s="32"/>
      <c r="P28" s="33" t="s">
        <v>28</v>
      </c>
      <c r="Q28" s="33" t="s">
        <v>43</v>
      </c>
      <c r="R28" s="75" t="s">
        <v>43</v>
      </c>
      <c r="S28" s="33"/>
      <c r="T28" s="75"/>
      <c r="U28" s="75"/>
      <c r="V28" s="34" t="s">
        <v>28</v>
      </c>
      <c r="W28" s="34" t="s">
        <v>43</v>
      </c>
      <c r="X28" s="104" t="s">
        <v>43</v>
      </c>
      <c r="Y28" s="34"/>
      <c r="Z28" s="104"/>
      <c r="AA28" s="33" t="s">
        <v>28</v>
      </c>
      <c r="AB28" s="33" t="s">
        <v>43</v>
      </c>
      <c r="AC28" s="75" t="s">
        <v>43</v>
      </c>
      <c r="AD28" s="33"/>
      <c r="AE28" s="75"/>
      <c r="AF28" s="34" t="s">
        <v>28</v>
      </c>
      <c r="AG28" s="34" t="s">
        <v>43</v>
      </c>
      <c r="AH28" s="104" t="s">
        <v>43</v>
      </c>
      <c r="AI28" s="34"/>
      <c r="AJ28" s="104"/>
      <c r="AK28" s="33" t="s">
        <v>28</v>
      </c>
      <c r="AL28" s="33" t="s">
        <v>43</v>
      </c>
      <c r="AM28" s="75" t="s">
        <v>43</v>
      </c>
      <c r="AN28" s="33"/>
      <c r="AO28" s="33"/>
      <c r="AP28" s="34" t="s">
        <v>28</v>
      </c>
      <c r="AQ28" s="34" t="s">
        <v>43</v>
      </c>
      <c r="AR28" s="104" t="s">
        <v>43</v>
      </c>
      <c r="AS28" s="104"/>
      <c r="AT28" s="104"/>
      <c r="AU28" s="33" t="s">
        <v>28</v>
      </c>
      <c r="AV28" s="33" t="s">
        <v>43</v>
      </c>
      <c r="AW28" s="75" t="s">
        <v>43</v>
      </c>
      <c r="AX28" s="75"/>
      <c r="AY28" s="75"/>
      <c r="AZ28" s="34" t="s">
        <v>28</v>
      </c>
      <c r="BA28" s="34" t="s">
        <v>43</v>
      </c>
      <c r="BB28" s="104" t="s">
        <v>43</v>
      </c>
      <c r="BC28" s="104"/>
      <c r="BD28" s="104"/>
    </row>
    <row r="29" spans="1:56" s="30" customFormat="1" x14ac:dyDescent="0.25">
      <c r="A29" s="11"/>
      <c r="B29" s="11"/>
      <c r="C29" s="54"/>
      <c r="D29" s="27">
        <f>SLOPE($C12:$C22,D12:D22)</f>
        <v>3277.1151158075113</v>
      </c>
      <c r="E29" s="128">
        <f>Calibrate!C9</f>
        <v>3277.145</v>
      </c>
      <c r="F29" s="27" t="e">
        <f>SLOPE($D12:$D22,F12:F22)</f>
        <v>#DIV/0!</v>
      </c>
      <c r="G29" s="67">
        <f>Calibrate!C12</f>
        <v>0</v>
      </c>
      <c r="H29" s="27">
        <f>SLOPE($D12:$D22,H12:H22)</f>
        <v>3.0598639503860253E-4</v>
      </c>
      <c r="I29" s="67">
        <f>Calibrate!C15</f>
        <v>3.0598579999999999E-4</v>
      </c>
      <c r="J29" s="27"/>
      <c r="K29" s="27"/>
      <c r="L29" s="27">
        <f t="shared" ref="L29" si="42">SLOPE($D12:$D22,L12:L22)</f>
        <v>3.0596034435617132E-4</v>
      </c>
      <c r="M29" s="67">
        <f>Calibrate!C18</f>
        <v>3.0595740000000001E-4</v>
      </c>
      <c r="N29" s="27"/>
      <c r="O29" s="27"/>
      <c r="P29" s="28">
        <f>SLOPE($B12:$B22,P12:P22)</f>
        <v>50.170430830027527</v>
      </c>
      <c r="Q29" s="28">
        <f>SLOPE(P12:P22,Q12:Q22)</f>
        <v>3.638596514231322E-3</v>
      </c>
      <c r="R29" s="74">
        <f>Calibrate!C21</f>
        <v>3.635849E-3</v>
      </c>
      <c r="S29" s="28"/>
      <c r="T29" s="74"/>
      <c r="U29" s="74"/>
      <c r="V29" s="29">
        <f>SLOPE($B12:$B22,V12:V22)</f>
        <v>984.85308368615256</v>
      </c>
      <c r="W29" s="29">
        <f>SLOPE(V12:V22,W12:W22)</f>
        <v>1.837230625333435E-4</v>
      </c>
      <c r="X29" s="103">
        <f>Calibrate!C22</f>
        <v>1.8355809999999999E-4</v>
      </c>
      <c r="Y29" s="29"/>
      <c r="Z29" s="103"/>
      <c r="AA29" s="28">
        <f>SLOPE($B12:$B22,AA12:AA22)</f>
        <v>20336.766405499715</v>
      </c>
      <c r="AB29" s="28">
        <f>SLOPE(AA12:AA22,AB12:AB22)</f>
        <v>8.894475593013522E-6</v>
      </c>
      <c r="AC29" s="74">
        <f>Calibrate!C23</f>
        <v>8.8851579999999993E-6</v>
      </c>
      <c r="AD29" s="28"/>
      <c r="AE29" s="74"/>
      <c r="AF29" s="29">
        <f>SLOPE($B12:$B22,AF12:AF22)</f>
        <v>393406.29328668496</v>
      </c>
      <c r="AG29" s="29">
        <f>SLOPE(AF12:AF22,AG12:AG22)</f>
        <v>4.5978210118734437E-7</v>
      </c>
      <c r="AH29" s="103">
        <f>Calibrate!C24</f>
        <v>4.5928000000000002E-7</v>
      </c>
      <c r="AI29" s="29"/>
      <c r="AJ29" s="103"/>
      <c r="AK29" s="28">
        <f>SLOPE($B12:$B22,AL12:AL22)</f>
        <v>7.7986551900135134E-2</v>
      </c>
      <c r="AL29" s="28">
        <f>SLOPE(AK12:AK22,AL12:AL22)</f>
        <v>-0.24164177443848983</v>
      </c>
      <c r="AM29" s="74">
        <f>Calibrate!C25</f>
        <v>0</v>
      </c>
      <c r="AN29" s="28"/>
      <c r="AO29" s="28"/>
      <c r="AP29" s="29" t="e">
        <f>SLOPE($B12:$B22,AQ12:AQ22)</f>
        <v>#DIV/0!</v>
      </c>
      <c r="AQ29" s="29" t="e">
        <v>#DIV/0!</v>
      </c>
      <c r="AR29" s="103">
        <f>Calibrate!C26</f>
        <v>0</v>
      </c>
      <c r="AS29" s="103"/>
      <c r="AT29" s="103"/>
      <c r="AU29" s="28" t="e">
        <f>SLOPE($B12:$B22,AV12:AV22)</f>
        <v>#DIV/0!</v>
      </c>
      <c r="AV29" s="28" t="e">
        <f>SLOPE(AU12:AU22,AV12:AV22)</f>
        <v>#DIV/0!</v>
      </c>
      <c r="AW29" s="74">
        <f>Calibrate!C27</f>
        <v>0</v>
      </c>
      <c r="AX29" s="74"/>
      <c r="AY29" s="74"/>
      <c r="AZ29" s="29" t="e">
        <f>SLOPE($B12:$B22,BA12:BA22)</f>
        <v>#DIV/0!</v>
      </c>
      <c r="BA29" s="29" t="e">
        <f>SLOPE(AZ12:AZ22,BA12:BA22)</f>
        <v>#DIV/0!</v>
      </c>
      <c r="BB29" s="103">
        <f>Calibrate!C28</f>
        <v>0</v>
      </c>
      <c r="BC29" s="103"/>
      <c r="BD29" s="103"/>
    </row>
    <row r="30" spans="1:56" s="30" customFormat="1" x14ac:dyDescent="0.25">
      <c r="A30" s="11"/>
      <c r="B30" s="11"/>
      <c r="C30" s="54"/>
      <c r="D30" s="27"/>
      <c r="E30" s="128"/>
      <c r="F30" s="27"/>
      <c r="G30" s="67"/>
      <c r="H30" s="27"/>
      <c r="I30" s="67"/>
      <c r="J30" s="27"/>
      <c r="K30" s="27"/>
      <c r="L30" s="27"/>
      <c r="M30" s="67"/>
      <c r="N30" s="27"/>
      <c r="O30" s="27"/>
      <c r="P30" s="28"/>
      <c r="Q30" s="28"/>
      <c r="R30" s="74"/>
      <c r="S30" s="28"/>
      <c r="T30" s="74"/>
      <c r="U30" s="74"/>
      <c r="V30" s="29"/>
      <c r="W30" s="29"/>
      <c r="X30" s="103"/>
      <c r="Y30" s="29"/>
      <c r="Z30" s="103"/>
      <c r="AA30" s="28"/>
      <c r="AB30" s="28"/>
      <c r="AC30" s="74"/>
      <c r="AD30" s="28"/>
      <c r="AE30" s="74"/>
      <c r="AF30" s="29"/>
      <c r="AG30" s="29"/>
      <c r="AH30" s="103"/>
      <c r="AI30" s="29"/>
      <c r="AJ30" s="103"/>
      <c r="AK30" s="28"/>
      <c r="AL30" s="28"/>
      <c r="AM30" s="74"/>
      <c r="AN30" s="28"/>
      <c r="AO30" s="28"/>
      <c r="AP30" s="29"/>
      <c r="AQ30" s="29"/>
      <c r="AR30" s="103"/>
      <c r="AS30" s="103"/>
      <c r="AT30" s="103"/>
      <c r="AU30" s="28"/>
      <c r="AV30" s="28"/>
      <c r="AW30" s="74"/>
      <c r="AX30" s="74"/>
      <c r="AY30" s="74"/>
      <c r="AZ30" s="29"/>
      <c r="BA30" s="29"/>
      <c r="BB30" s="103"/>
      <c r="BC30" s="103"/>
      <c r="BD30" s="103"/>
    </row>
    <row r="31" spans="1:56" s="35" customFormat="1" x14ac:dyDescent="0.25">
      <c r="A31" s="31"/>
      <c r="B31" s="31"/>
      <c r="C31" s="55"/>
      <c r="D31" s="32" t="s">
        <v>27</v>
      </c>
      <c r="E31" s="127" t="s">
        <v>27</v>
      </c>
      <c r="F31" s="32" t="s">
        <v>36</v>
      </c>
      <c r="G31" s="68" t="s">
        <v>36</v>
      </c>
      <c r="H31" s="32" t="s">
        <v>39</v>
      </c>
      <c r="I31" s="68" t="s">
        <v>39</v>
      </c>
      <c r="J31" s="32"/>
      <c r="K31" s="32"/>
      <c r="L31" s="32" t="s">
        <v>42</v>
      </c>
      <c r="M31" s="68" t="s">
        <v>42</v>
      </c>
      <c r="N31" s="32"/>
      <c r="O31" s="32"/>
      <c r="P31" s="33" t="s">
        <v>30</v>
      </c>
      <c r="Q31" s="33" t="s">
        <v>45</v>
      </c>
      <c r="R31" s="75" t="s">
        <v>45</v>
      </c>
      <c r="S31" s="33"/>
      <c r="T31" s="75"/>
      <c r="U31" s="75"/>
      <c r="V31" s="34" t="s">
        <v>30</v>
      </c>
      <c r="W31" s="34" t="s">
        <v>45</v>
      </c>
      <c r="X31" s="104" t="s">
        <v>45</v>
      </c>
      <c r="Y31" s="34"/>
      <c r="Z31" s="104"/>
      <c r="AA31" s="33" t="s">
        <v>30</v>
      </c>
      <c r="AB31" s="33" t="s">
        <v>45</v>
      </c>
      <c r="AC31" s="75" t="s">
        <v>45</v>
      </c>
      <c r="AD31" s="33"/>
      <c r="AE31" s="75"/>
      <c r="AF31" s="34" t="s">
        <v>30</v>
      </c>
      <c r="AG31" s="34" t="s">
        <v>45</v>
      </c>
      <c r="AH31" s="104" t="s">
        <v>45</v>
      </c>
      <c r="AI31" s="34"/>
      <c r="AJ31" s="104"/>
      <c r="AK31" s="33" t="s">
        <v>30</v>
      </c>
      <c r="AL31" s="33" t="s">
        <v>45</v>
      </c>
      <c r="AM31" s="75" t="s">
        <v>45</v>
      </c>
      <c r="AN31" s="33"/>
      <c r="AO31" s="33"/>
      <c r="AP31" s="34" t="s">
        <v>30</v>
      </c>
      <c r="AQ31" s="34" t="s">
        <v>45</v>
      </c>
      <c r="AR31" s="104" t="s">
        <v>45</v>
      </c>
      <c r="AS31" s="104"/>
      <c r="AT31" s="104"/>
      <c r="AU31" s="33" t="s">
        <v>30</v>
      </c>
      <c r="AV31" s="33" t="s">
        <v>45</v>
      </c>
      <c r="AW31" s="75" t="s">
        <v>45</v>
      </c>
      <c r="AX31" s="75"/>
      <c r="AY31" s="75"/>
      <c r="AZ31" s="34" t="s">
        <v>30</v>
      </c>
      <c r="BA31" s="34" t="s">
        <v>45</v>
      </c>
      <c r="BB31" s="104" t="s">
        <v>45</v>
      </c>
      <c r="BC31" s="104"/>
      <c r="BD31" s="104"/>
    </row>
    <row r="32" spans="1:56" s="30" customFormat="1" x14ac:dyDescent="0.25">
      <c r="A32" s="11"/>
      <c r="B32" s="11"/>
      <c r="C32" s="54"/>
      <c r="D32" s="27">
        <f>INTERCEPT($C2:$C22,D2:D22)</f>
        <v>-22.28016891116064</v>
      </c>
      <c r="E32" s="128">
        <f>Calibrate!C11</f>
        <v>-22.121189999999999</v>
      </c>
      <c r="F32" s="27" t="e">
        <f>INTERCEPT($D2:$D22,F2:F22)</f>
        <v>#DIV/0!</v>
      </c>
      <c r="G32" s="67">
        <f>Calibrate!C14</f>
        <v>0</v>
      </c>
      <c r="H32" s="27">
        <f t="shared" ref="H32:L32" si="43">INTERCEPT($D2:$D22,H2:H22)</f>
        <v>3.0244733343606097E-3</v>
      </c>
      <c r="I32" s="67">
        <f>Calibrate!C17</f>
        <v>2.7718209999999998E-3</v>
      </c>
      <c r="J32" s="27"/>
      <c r="K32" s="27"/>
      <c r="L32" s="27">
        <f t="shared" si="43"/>
        <v>2.3981658147427471E-3</v>
      </c>
      <c r="M32" s="67">
        <f>Calibrate!C20</f>
        <v>2.3204279999999998E-3</v>
      </c>
      <c r="N32" s="27"/>
      <c r="O32" s="27"/>
      <c r="P32" s="28">
        <f>INTERCEPT($B2:$B22,P2:P22)</f>
        <v>-17.777210528871397</v>
      </c>
      <c r="Q32" s="28">
        <f>INTERCEPT(P2:P22,Q2:Q22)</f>
        <v>6.8649662635427822E-2</v>
      </c>
      <c r="R32" s="74">
        <f>Calibrate!C37</f>
        <v>7.0085129999999995E-2</v>
      </c>
      <c r="S32" s="28"/>
      <c r="T32" s="74"/>
      <c r="U32" s="74"/>
      <c r="V32" s="29">
        <f>INTERCEPT($B2:$B22,V2:V22)</f>
        <v>-14.748645031440319</v>
      </c>
      <c r="W32" s="29">
        <f>INTERCEPT(V2:V22,W2:W22)</f>
        <v>3.6623888996629075E-3</v>
      </c>
      <c r="X32" s="103">
        <f>Calibrate!C38</f>
        <v>3.659477E-3</v>
      </c>
      <c r="Y32" s="29"/>
      <c r="Z32" s="103"/>
      <c r="AA32" s="28">
        <f>INTERCEPT($B2:$B22,AA2:AA22)</f>
        <v>-14.531201956881581</v>
      </c>
      <c r="AB32" s="28">
        <f>INTERCEPT(AA2:AA22,AB2:AB22)</f>
        <v>1.6651606029794753E-4</v>
      </c>
      <c r="AC32" s="74">
        <f>Calibrate!C39</f>
        <v>1.7008769999999999E-4</v>
      </c>
      <c r="AD32" s="28"/>
      <c r="AE32" s="74"/>
      <c r="AF32" s="29">
        <f>INTERCEPT($B2:$B22,AF2:AF22)</f>
        <v>-11.45162716710864</v>
      </c>
      <c r="AG32" s="29">
        <f>INTERCEPT(AF2:AF22,AG2:AG22)</f>
        <v>8.669260816046865E-6</v>
      </c>
      <c r="AH32" s="103">
        <f>Calibrate!C40</f>
        <v>8.5955980000000007E-6</v>
      </c>
      <c r="AI32" s="29"/>
      <c r="AJ32" s="103"/>
      <c r="AK32" s="28">
        <f>INTERCEPT($B2:$B22,AL2:AL22)</f>
        <v>-251.2200648839094</v>
      </c>
      <c r="AL32" s="28">
        <f>INTERCEPT(AK2:AK22,AL2:AL22)</f>
        <v>1008.0451356456728</v>
      </c>
      <c r="AM32" s="74">
        <f>Calibrate!C41</f>
        <v>0</v>
      </c>
      <c r="AN32" s="28"/>
      <c r="AO32" s="28"/>
      <c r="AP32" s="29" t="e">
        <f>INTERCEPT($B2:$B22,AQ2:AQ22)</f>
        <v>#DIV/0!</v>
      </c>
      <c r="AQ32" s="29" t="e">
        <v>#DIV/0!</v>
      </c>
      <c r="AR32" s="103">
        <f>Calibrate!C42</f>
        <v>0</v>
      </c>
      <c r="AS32" s="103"/>
      <c r="AT32" s="103"/>
      <c r="AU32" s="28" t="e">
        <f>INTERCEPT($B2:$B22,AV2:AV22)</f>
        <v>#DIV/0!</v>
      </c>
      <c r="AV32" s="28" t="e">
        <f>INTERCEPT(AU2:AU22,AV2:AV22)</f>
        <v>#DIV/0!</v>
      </c>
      <c r="AW32" s="74">
        <f>Calibrate!C43</f>
        <v>0</v>
      </c>
      <c r="AX32" s="74"/>
      <c r="AY32" s="74"/>
      <c r="AZ32" s="29" t="e">
        <f>INTERCEPT($B2:$B22,BA2:BA22)</f>
        <v>#DIV/0!</v>
      </c>
      <c r="BA32" s="29" t="e">
        <f>INTERCEPT(AZ2:AZ22,BA2:BA22)</f>
        <v>#DIV/0!</v>
      </c>
      <c r="BB32" s="103">
        <f>Calibrate!C44</f>
        <v>0</v>
      </c>
      <c r="BC32" s="103"/>
      <c r="BD32" s="103"/>
    </row>
    <row r="33" spans="1:56" s="30" customFormat="1" x14ac:dyDescent="0.25">
      <c r="A33" s="11"/>
      <c r="B33" s="11"/>
      <c r="C33" s="54"/>
      <c r="D33" s="27"/>
      <c r="E33" s="128"/>
      <c r="F33" s="27"/>
      <c r="G33" s="27"/>
      <c r="H33" s="27"/>
      <c r="I33" s="27"/>
      <c r="J33" s="67"/>
      <c r="K33" s="67"/>
      <c r="L33" s="27"/>
      <c r="M33" s="67"/>
      <c r="N33" s="27"/>
      <c r="O33" s="27"/>
      <c r="P33" s="28"/>
      <c r="Q33" s="28"/>
      <c r="R33" s="74"/>
      <c r="S33" s="74"/>
      <c r="T33" s="74"/>
      <c r="U33" s="74"/>
      <c r="V33" s="29"/>
      <c r="W33" s="29"/>
      <c r="X33" s="103"/>
      <c r="Y33" s="103"/>
      <c r="Z33" s="103"/>
      <c r="AA33" s="28"/>
      <c r="AB33" s="28"/>
      <c r="AC33" s="74"/>
      <c r="AD33" s="74"/>
      <c r="AE33" s="74"/>
      <c r="AF33" s="29"/>
      <c r="AG33" s="29"/>
      <c r="AH33" s="103"/>
      <c r="AI33" s="103"/>
      <c r="AJ33" s="103"/>
      <c r="AK33" s="28"/>
      <c r="AL33" s="28"/>
      <c r="AM33" s="74"/>
      <c r="AN33" s="28"/>
      <c r="AO33" s="28"/>
      <c r="AP33" s="29"/>
      <c r="AQ33" s="29"/>
      <c r="AR33" s="103"/>
      <c r="AS33" s="103"/>
      <c r="AT33" s="103"/>
      <c r="AU33" s="28"/>
      <c r="AV33" s="28"/>
      <c r="AW33" s="74"/>
      <c r="AX33" s="74"/>
      <c r="AY33" s="74"/>
      <c r="AZ33" s="29"/>
      <c r="BA33" s="29"/>
      <c r="BB33" s="103"/>
      <c r="BC33" s="103"/>
      <c r="BD33" s="103"/>
    </row>
    <row r="34" spans="1:56" s="42" customFormat="1" x14ac:dyDescent="0.25">
      <c r="A34" s="36"/>
      <c r="B34" s="36"/>
      <c r="C34" s="56"/>
      <c r="D34" s="111" t="s">
        <v>24</v>
      </c>
      <c r="E34" s="129" t="s">
        <v>24</v>
      </c>
      <c r="F34" s="37"/>
      <c r="G34" s="37"/>
      <c r="H34" s="37"/>
      <c r="I34" s="94"/>
      <c r="J34" s="69"/>
      <c r="K34" s="69"/>
      <c r="L34" s="37"/>
      <c r="M34" s="69"/>
      <c r="N34" s="37"/>
      <c r="O34" s="37"/>
      <c r="P34" s="38"/>
      <c r="Q34" s="38"/>
      <c r="R34" s="76"/>
      <c r="S34" s="76"/>
      <c r="T34" s="76"/>
      <c r="U34" s="76"/>
      <c r="V34" s="39"/>
      <c r="W34" s="39"/>
      <c r="X34" s="105"/>
      <c r="Y34" s="105"/>
      <c r="Z34" s="105"/>
      <c r="AA34" s="38"/>
      <c r="AB34" s="38"/>
      <c r="AC34" s="76"/>
      <c r="AD34" s="76"/>
      <c r="AE34" s="76"/>
      <c r="AF34" s="39"/>
      <c r="AG34" s="39"/>
      <c r="AH34" s="105"/>
      <c r="AI34" s="105"/>
      <c r="AJ34" s="105"/>
      <c r="AK34" s="38"/>
      <c r="AL34" s="40"/>
      <c r="AM34" s="126"/>
      <c r="AN34" s="40"/>
      <c r="AO34" s="40"/>
      <c r="AP34" s="41"/>
      <c r="AQ34" s="41"/>
      <c r="AR34" s="125"/>
      <c r="AS34" s="125"/>
      <c r="AT34" s="125"/>
      <c r="AU34" s="40"/>
      <c r="AV34" s="40"/>
      <c r="AW34" s="126"/>
      <c r="AX34" s="126"/>
      <c r="AY34" s="126"/>
      <c r="AZ34" s="41"/>
      <c r="BA34" s="41"/>
      <c r="BB34" s="125"/>
      <c r="BC34" s="125"/>
      <c r="BD34" s="125"/>
    </row>
    <row r="35" spans="1:56" s="30" customFormat="1" x14ac:dyDescent="0.25">
      <c r="A35" s="11"/>
      <c r="B35" s="11"/>
      <c r="C35" s="54"/>
      <c r="D35" s="27">
        <v>3482.6170000000002</v>
      </c>
      <c r="E35" s="128">
        <f>Calibrate!C8</f>
        <v>0</v>
      </c>
      <c r="F35" s="27"/>
      <c r="G35" s="27"/>
      <c r="H35" s="27"/>
      <c r="I35" s="27"/>
      <c r="J35" s="67"/>
      <c r="K35" s="67"/>
      <c r="L35" s="27"/>
      <c r="M35" s="67"/>
      <c r="N35" s="27"/>
      <c r="O35" s="27"/>
      <c r="P35" s="28"/>
      <c r="Q35" s="28"/>
      <c r="R35" s="74"/>
      <c r="S35" s="74"/>
      <c r="T35" s="74"/>
      <c r="U35" s="74"/>
      <c r="V35" s="29"/>
      <c r="W35" s="29"/>
      <c r="X35" s="103"/>
      <c r="Y35" s="103"/>
      <c r="Z35" s="103"/>
      <c r="AA35" s="28"/>
      <c r="AB35" s="28"/>
      <c r="AC35" s="74"/>
      <c r="AD35" s="74"/>
      <c r="AE35" s="74"/>
      <c r="AF35" s="29"/>
      <c r="AG35" s="29"/>
      <c r="AH35" s="103"/>
      <c r="AI35" s="103"/>
      <c r="AJ35" s="103"/>
      <c r="AK35" s="28"/>
      <c r="AL35" s="28"/>
      <c r="AM35" s="74"/>
      <c r="AN35" s="28"/>
      <c r="AO35" s="28"/>
      <c r="AP35" s="29"/>
      <c r="AQ35" s="29"/>
      <c r="AR35" s="103"/>
      <c r="AS35" s="103"/>
      <c r="AT35" s="103"/>
      <c r="AU35" s="28"/>
      <c r="AV35" s="28"/>
      <c r="AW35" s="74"/>
      <c r="AX35" s="74"/>
      <c r="AY35" s="74"/>
      <c r="AZ35" s="29"/>
      <c r="BA35" s="29"/>
      <c r="BB35" s="103"/>
      <c r="BC35" s="103"/>
      <c r="BD35" s="103"/>
    </row>
    <row r="37" spans="1:56" x14ac:dyDescent="0.25">
      <c r="Q37" s="43"/>
      <c r="R37" s="78"/>
      <c r="S37" s="78"/>
      <c r="T37" s="78"/>
      <c r="U37" s="78"/>
      <c r="V37" s="44"/>
      <c r="W37" s="44"/>
      <c r="X37" s="106"/>
      <c r="Y37" s="106"/>
      <c r="Z37" s="106"/>
      <c r="AA37" s="43"/>
      <c r="AB37" s="43"/>
      <c r="AC37" s="78"/>
      <c r="AD37" s="78"/>
      <c r="AE37" s="78"/>
      <c r="AF37" s="44"/>
      <c r="AG37" s="44"/>
      <c r="AH37" s="106"/>
      <c r="AI37" s="106"/>
      <c r="AJ37" s="106"/>
      <c r="AK37" s="43"/>
    </row>
    <row r="40" spans="1:56" x14ac:dyDescent="0.25">
      <c r="Q40" s="43"/>
      <c r="R40" s="78"/>
      <c r="S40" s="78"/>
      <c r="T40" s="78"/>
      <c r="U40" s="78"/>
      <c r="V40" s="44"/>
      <c r="W40" s="44"/>
      <c r="X40" s="106"/>
      <c r="Y40" s="106"/>
      <c r="Z40" s="106"/>
      <c r="AA40" s="43"/>
      <c r="AB40" s="43"/>
      <c r="AC40" s="78"/>
      <c r="AD40" s="78"/>
      <c r="AE40" s="78"/>
      <c r="AF40" s="44"/>
      <c r="AG40" s="44"/>
      <c r="AH40" s="106"/>
      <c r="AI40" s="106"/>
      <c r="AJ40" s="106"/>
      <c r="AK40" s="43"/>
    </row>
  </sheetData>
  <conditionalFormatting sqref="Z2:Z22">
    <cfRule type="cellIs" dxfId="27" priority="30" operator="greaterThan">
      <formula>0.001</formula>
    </cfRule>
    <cfRule type="cellIs" dxfId="26" priority="32" operator="greaterThan">
      <formula>0.001</formula>
    </cfRule>
    <cfRule type="cellIs" dxfId="25" priority="33" operator="greaterThan">
      <formula>0.0002</formula>
    </cfRule>
  </conditionalFormatting>
  <conditionalFormatting sqref="AE2:AE22">
    <cfRule type="cellIs" dxfId="24" priority="26" operator="greaterThan">
      <formula>0.001</formula>
    </cfRule>
    <cfRule type="cellIs" dxfId="23" priority="27" operator="greaterThan">
      <formula>0.001</formula>
    </cfRule>
    <cfRule type="cellIs" dxfId="22" priority="28" operator="greaterThan">
      <formula>0.0002</formula>
    </cfRule>
  </conditionalFormatting>
  <conditionalFormatting sqref="AJ2:AJ22">
    <cfRule type="cellIs" dxfId="21" priority="22" operator="greaterThan">
      <formula>0.001</formula>
    </cfRule>
    <cfRule type="cellIs" dxfId="20" priority="23" operator="greaterThan">
      <formula>0.001</formula>
    </cfRule>
    <cfRule type="cellIs" dxfId="19" priority="24" operator="greaterThan">
      <formula>0.0002</formula>
    </cfRule>
  </conditionalFormatting>
  <conditionalFormatting sqref="T2:U22">
    <cfRule type="cellIs" dxfId="0" priority="21" operator="greaterThan">
      <formula>0.001</formula>
    </cfRule>
  </conditionalFormatting>
  <conditionalFormatting sqref="O2:O22">
    <cfRule type="cellIs" dxfId="18" priority="19" operator="greaterThan">
      <formula>0.001</formula>
    </cfRule>
  </conditionalFormatting>
  <conditionalFormatting sqref="J2:J22">
    <cfRule type="cellIs" dxfId="17" priority="17" operator="greaterThan">
      <formula>1</formula>
    </cfRule>
  </conditionalFormatting>
  <conditionalFormatting sqref="K2:K22">
    <cfRule type="cellIs" dxfId="16" priority="16" operator="greaterThan">
      <formula>0.001</formula>
    </cfRule>
  </conditionalFormatting>
  <conditionalFormatting sqref="N2:N22">
    <cfRule type="cellIs" dxfId="15" priority="15" operator="greaterThan">
      <formula>0.001</formula>
    </cfRule>
  </conditionalFormatting>
  <conditionalFormatting sqref="AO2:AO22">
    <cfRule type="cellIs" dxfId="14" priority="12" operator="greaterThan">
      <formula>0.001</formula>
    </cfRule>
    <cfRule type="cellIs" dxfId="13" priority="13" operator="greaterThan">
      <formula>0.001</formula>
    </cfRule>
    <cfRule type="cellIs" dxfId="12" priority="14" operator="greaterThan">
      <formula>0.0002</formula>
    </cfRule>
  </conditionalFormatting>
  <conditionalFormatting sqref="AT2:AT22">
    <cfRule type="cellIs" dxfId="11" priority="9" operator="greaterThan">
      <formula>0.001</formula>
    </cfRule>
    <cfRule type="cellIs" dxfId="10" priority="10" operator="greaterThan">
      <formula>0.001</formula>
    </cfRule>
    <cfRule type="cellIs" dxfId="9" priority="11" operator="greaterThan">
      <formula>0.0002</formula>
    </cfRule>
  </conditionalFormatting>
  <conditionalFormatting sqref="AY2:AY22">
    <cfRule type="cellIs" dxfId="8" priority="6" operator="greaterThan">
      <formula>0.001</formula>
    </cfRule>
    <cfRule type="cellIs" dxfId="7" priority="7" operator="greaterThan">
      <formula>0.001</formula>
    </cfRule>
    <cfRule type="cellIs" dxfId="6" priority="8" operator="greaterThan">
      <formula>0.0002</formula>
    </cfRule>
  </conditionalFormatting>
  <conditionalFormatting sqref="BD2:BD22">
    <cfRule type="cellIs" dxfId="5" priority="3" operator="greaterThan">
      <formula>0.001</formula>
    </cfRule>
    <cfRule type="cellIs" dxfId="4" priority="4" operator="greaterThan">
      <formula>0.001</formula>
    </cfRule>
    <cfRule type="cellIs" dxfId="3" priority="5" operator="greaterThan">
      <formula>0.0002</formula>
    </cfRule>
  </conditionalFormatting>
  <conditionalFormatting sqref="E2:E22">
    <cfRule type="cellIs" dxfId="2" priority="1" operator="lessThan">
      <formula>-1</formula>
    </cfRule>
    <cfRule type="cellIs" dxfId="1" priority="2" operator="greaterThan">
      <formula>1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115"/>
  <sheetViews>
    <sheetView workbookViewId="0">
      <selection activeCell="O3" sqref="O3"/>
    </sheetView>
  </sheetViews>
  <sheetFormatPr defaultColWidth="8.7109375" defaultRowHeight="15" x14ac:dyDescent="0.25"/>
  <cols>
    <col min="1" max="4" width="8.7109375" style="2" customWidth="1"/>
    <col min="5" max="11" width="8.7109375" style="2"/>
    <col min="12" max="12" width="17.5703125" style="2" bestFit="1" customWidth="1"/>
    <col min="13" max="13" width="3.5703125" style="2" bestFit="1" customWidth="1"/>
    <col min="14" max="15" width="6.7109375" style="2" bestFit="1" customWidth="1"/>
    <col min="16" max="18" width="8.7109375" style="2"/>
    <col min="19" max="20" width="12" style="2" bestFit="1" customWidth="1"/>
    <col min="21" max="16384" width="8.7109375" style="2"/>
  </cols>
  <sheetData>
    <row r="1" spans="1:21" x14ac:dyDescent="0.25">
      <c r="A1" s="3" t="s">
        <v>47</v>
      </c>
      <c r="B1" s="2" t="s">
        <v>3</v>
      </c>
      <c r="C1" s="2" t="str">
        <f>VLOOKUP(B1,Connect!A2:D3, 4)</f>
        <v>COM4</v>
      </c>
      <c r="D1" s="3" t="s">
        <v>66</v>
      </c>
      <c r="E1" s="2" t="s">
        <v>8</v>
      </c>
      <c r="F1" s="4"/>
      <c r="G1" s="4"/>
      <c r="H1" s="4"/>
      <c r="I1" s="4"/>
      <c r="L1" s="3" t="s">
        <v>62</v>
      </c>
      <c r="M1" s="3" t="s">
        <v>48</v>
      </c>
      <c r="N1" s="3" t="s">
        <v>49</v>
      </c>
      <c r="O1" s="3" t="s">
        <v>50</v>
      </c>
      <c r="S1" s="2" t="s">
        <v>37</v>
      </c>
      <c r="T1" s="2" t="s">
        <v>38</v>
      </c>
      <c r="U1" s="2" t="s">
        <v>39</v>
      </c>
    </row>
    <row r="2" spans="1:21" x14ac:dyDescent="0.25">
      <c r="A2" s="3" t="s">
        <v>139</v>
      </c>
      <c r="B2" t="str">
        <f>_xlfn.CONCAT(Connect!G1, " ", Connect!J1, " ", Connect!D1, " ", B1, " ", C1, " ", E1)</f>
        <v>v1 3 COM6 hp34401a COM4 voltage</v>
      </c>
      <c r="F2" s="4"/>
      <c r="G2" s="4"/>
      <c r="H2" s="4"/>
      <c r="I2" s="4"/>
      <c r="L2" s="45">
        <v>-8.9880569000000001</v>
      </c>
      <c r="M2" s="2">
        <v>0</v>
      </c>
      <c r="N2" s="2">
        <v>-29384</v>
      </c>
      <c r="O2" s="2">
        <v>-29384</v>
      </c>
      <c r="S2" s="2">
        <f>SLOPE(L2:L12,N2:N12)</f>
        <v>3.0598290474755975E-4</v>
      </c>
      <c r="T2" s="2">
        <f>SLOPE(L12:L22,N12:N22)</f>
        <v>3.0598639503860253E-4</v>
      </c>
      <c r="U2" s="2">
        <f>INTERCEPT(L2:L22,N2:N22)</f>
        <v>3.0244733343606097E-3</v>
      </c>
    </row>
    <row r="3" spans="1:21" x14ac:dyDescent="0.25">
      <c r="F3" s="4"/>
      <c r="G3" s="4"/>
      <c r="H3" s="4"/>
      <c r="I3" s="4"/>
      <c r="L3" s="45">
        <v>-7.9876554000000004</v>
      </c>
      <c r="M3" s="2">
        <v>0</v>
      </c>
      <c r="N3" s="2">
        <v>-26114</v>
      </c>
      <c r="O3" s="2">
        <v>-26114</v>
      </c>
    </row>
    <row r="4" spans="1:21" x14ac:dyDescent="0.25">
      <c r="L4" s="45">
        <v>-6.9878684</v>
      </c>
      <c r="M4" s="2">
        <v>0</v>
      </c>
      <c r="N4" s="2">
        <v>-22846</v>
      </c>
      <c r="O4" s="2">
        <v>-22846</v>
      </c>
    </row>
    <row r="5" spans="1:21" x14ac:dyDescent="0.25">
      <c r="L5" s="45">
        <v>-5.9883796</v>
      </c>
      <c r="M5" s="2">
        <v>0</v>
      </c>
      <c r="N5" s="2">
        <v>-19580</v>
      </c>
      <c r="O5" s="2">
        <v>-19579</v>
      </c>
    </row>
    <row r="6" spans="1:21" x14ac:dyDescent="0.25">
      <c r="L6" s="45">
        <v>-4.9896076999999996</v>
      </c>
      <c r="M6" s="2">
        <v>0</v>
      </c>
      <c r="N6" s="2">
        <v>-16316</v>
      </c>
      <c r="O6" s="2">
        <v>-16314</v>
      </c>
    </row>
    <row r="7" spans="1:21" x14ac:dyDescent="0.25">
      <c r="L7" s="45">
        <v>-3.9907724</v>
      </c>
      <c r="M7" s="2">
        <v>0</v>
      </c>
      <c r="N7" s="2">
        <v>-13051</v>
      </c>
      <c r="O7" s="2">
        <v>-13049</v>
      </c>
    </row>
    <row r="8" spans="1:21" x14ac:dyDescent="0.25">
      <c r="L8" s="45">
        <v>-2.9910516999999999</v>
      </c>
      <c r="M8" s="2">
        <v>0</v>
      </c>
      <c r="N8" s="2">
        <v>-9784</v>
      </c>
      <c r="O8" s="2">
        <v>-9782</v>
      </c>
    </row>
    <row r="9" spans="1:21" x14ac:dyDescent="0.25">
      <c r="L9" s="45">
        <v>-1.9918897</v>
      </c>
      <c r="M9" s="2">
        <v>0</v>
      </c>
      <c r="N9" s="2">
        <v>-6518</v>
      </c>
      <c r="O9" s="2">
        <v>-6516</v>
      </c>
    </row>
    <row r="10" spans="1:21" x14ac:dyDescent="0.25">
      <c r="L10" s="45">
        <v>-0.99190027999999997</v>
      </c>
      <c r="M10" s="2">
        <v>0</v>
      </c>
      <c r="N10" s="2">
        <v>-3251</v>
      </c>
      <c r="O10" s="2">
        <v>-3248</v>
      </c>
    </row>
    <row r="11" spans="1:21" x14ac:dyDescent="0.25">
      <c r="L11" s="45">
        <v>-0.45055220000000001</v>
      </c>
      <c r="M11" s="2">
        <v>0</v>
      </c>
      <c r="N11" s="2">
        <v>-1481</v>
      </c>
      <c r="O11" s="2">
        <v>-1479</v>
      </c>
    </row>
    <row r="12" spans="1:21" x14ac:dyDescent="0.25">
      <c r="L12" s="45">
        <v>7.1123469999999998E-3</v>
      </c>
      <c r="M12" s="2">
        <v>0</v>
      </c>
      <c r="N12" s="2">
        <v>13</v>
      </c>
      <c r="O12" s="2">
        <v>14</v>
      </c>
    </row>
    <row r="13" spans="1:21" x14ac:dyDescent="0.25">
      <c r="L13" s="45">
        <v>0.46444136000000003</v>
      </c>
      <c r="M13" s="2">
        <v>0</v>
      </c>
      <c r="N13" s="2">
        <v>1507</v>
      </c>
      <c r="O13" s="2">
        <v>1509</v>
      </c>
    </row>
    <row r="14" spans="1:21" x14ac:dyDescent="0.25">
      <c r="L14" s="45">
        <v>1.0053592</v>
      </c>
      <c r="M14" s="2">
        <v>0</v>
      </c>
      <c r="N14" s="2">
        <v>3275</v>
      </c>
      <c r="O14" s="2">
        <v>3277</v>
      </c>
    </row>
    <row r="15" spans="1:21" x14ac:dyDescent="0.25">
      <c r="L15" s="45">
        <v>2.0055991999999998</v>
      </c>
      <c r="M15" s="2">
        <v>0</v>
      </c>
      <c r="N15" s="2">
        <v>6544</v>
      </c>
      <c r="O15" s="2">
        <v>6546</v>
      </c>
    </row>
    <row r="16" spans="1:21" x14ac:dyDescent="0.25">
      <c r="L16" s="45">
        <v>3.0047006000000001</v>
      </c>
      <c r="M16" s="2">
        <v>0</v>
      </c>
      <c r="N16" s="2">
        <v>9809</v>
      </c>
      <c r="O16" s="2">
        <v>9811</v>
      </c>
    </row>
    <row r="17" spans="12:15" x14ac:dyDescent="0.25">
      <c r="L17" s="45">
        <v>4.0039308</v>
      </c>
      <c r="M17" s="2">
        <v>0</v>
      </c>
      <c r="N17" s="2">
        <v>13074</v>
      </c>
      <c r="O17" s="2">
        <v>13077</v>
      </c>
    </row>
    <row r="18" spans="12:15" x14ac:dyDescent="0.25">
      <c r="L18" s="45">
        <v>5.0024769999999998</v>
      </c>
      <c r="M18" s="2">
        <v>0</v>
      </c>
      <c r="N18" s="2">
        <v>16338</v>
      </c>
      <c r="O18" s="2">
        <v>16341</v>
      </c>
    </row>
    <row r="19" spans="12:15" x14ac:dyDescent="0.25">
      <c r="L19" s="45">
        <v>6.0020189999999998</v>
      </c>
      <c r="M19" s="2">
        <v>0</v>
      </c>
      <c r="N19" s="2">
        <v>19605</v>
      </c>
      <c r="O19" s="2">
        <v>19608</v>
      </c>
    </row>
    <row r="20" spans="12:15" x14ac:dyDescent="0.25">
      <c r="L20" s="45">
        <v>7.0017303000000002</v>
      </c>
      <c r="M20" s="2">
        <v>0</v>
      </c>
      <c r="N20" s="2">
        <v>22872</v>
      </c>
      <c r="O20" s="2">
        <v>22875</v>
      </c>
    </row>
    <row r="21" spans="12:15" x14ac:dyDescent="0.25">
      <c r="L21" s="45">
        <v>8.0013816000000002</v>
      </c>
      <c r="M21" s="2">
        <v>0</v>
      </c>
      <c r="N21" s="2">
        <v>26139</v>
      </c>
      <c r="O21" s="2">
        <v>26143</v>
      </c>
    </row>
    <row r="22" spans="12:15" x14ac:dyDescent="0.25">
      <c r="L22" s="45">
        <v>9.0017499999999995</v>
      </c>
      <c r="M22" s="2">
        <v>0</v>
      </c>
      <c r="N22" s="2">
        <v>29408</v>
      </c>
      <c r="O22" s="2">
        <v>29412</v>
      </c>
    </row>
    <row r="23" spans="12:15" x14ac:dyDescent="0.25">
      <c r="L23" s="45"/>
    </row>
    <row r="93" spans="1:6" x14ac:dyDescent="0.25">
      <c r="A93" s="2" t="s">
        <v>142</v>
      </c>
    </row>
    <row r="94" spans="1:6" s="3" customFormat="1" x14ac:dyDescent="0.25"/>
    <row r="95" spans="1:6" x14ac:dyDescent="0.25">
      <c r="F95" s="45"/>
    </row>
    <row r="96" spans="1:6" x14ac:dyDescent="0.25">
      <c r="F96" s="45"/>
    </row>
    <row r="97" spans="6:6" x14ac:dyDescent="0.25">
      <c r="F97" s="45"/>
    </row>
    <row r="98" spans="6:6" x14ac:dyDescent="0.25">
      <c r="F98" s="45"/>
    </row>
    <row r="99" spans="6:6" x14ac:dyDescent="0.25">
      <c r="F99" s="45"/>
    </row>
    <row r="100" spans="6:6" x14ac:dyDescent="0.25">
      <c r="F100" s="45"/>
    </row>
    <row r="101" spans="6:6" x14ac:dyDescent="0.25">
      <c r="F101" s="45"/>
    </row>
    <row r="102" spans="6:6" x14ac:dyDescent="0.25">
      <c r="F102" s="45"/>
    </row>
    <row r="103" spans="6:6" x14ac:dyDescent="0.25">
      <c r="F103" s="45"/>
    </row>
    <row r="104" spans="6:6" x14ac:dyDescent="0.25">
      <c r="F104" s="45"/>
    </row>
    <row r="105" spans="6:6" x14ac:dyDescent="0.25">
      <c r="F105" s="45"/>
    </row>
    <row r="106" spans="6:6" x14ac:dyDescent="0.25">
      <c r="F106" s="45"/>
    </row>
    <row r="107" spans="6:6" x14ac:dyDescent="0.25">
      <c r="F107" s="45"/>
    </row>
    <row r="108" spans="6:6" x14ac:dyDescent="0.25">
      <c r="F108" s="45"/>
    </row>
    <row r="109" spans="6:6" x14ac:dyDescent="0.25">
      <c r="F109" s="45"/>
    </row>
    <row r="110" spans="6:6" x14ac:dyDescent="0.25">
      <c r="F110" s="45"/>
    </row>
    <row r="111" spans="6:6" x14ac:dyDescent="0.25">
      <c r="F111" s="45"/>
    </row>
    <row r="112" spans="6:6" x14ac:dyDescent="0.25">
      <c r="F112" s="45"/>
    </row>
    <row r="113" spans="6:6" x14ac:dyDescent="0.25">
      <c r="F113" s="45"/>
    </row>
    <row r="114" spans="6:6" x14ac:dyDescent="0.25">
      <c r="F114" s="45"/>
    </row>
    <row r="115" spans="6:6" x14ac:dyDescent="0.25">
      <c r="F115" s="4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114300</xdr:colOff>
                    <xdr:row>0</xdr:row>
                    <xdr:rowOff>76200</xdr:rowOff>
                  </from>
                  <to>
                    <xdr:col>6</xdr:col>
                    <xdr:colOff>514350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142875</xdr:colOff>
                    <xdr:row>0</xdr:row>
                    <xdr:rowOff>66675</xdr:rowOff>
                  </from>
                  <to>
                    <xdr:col>8</xdr:col>
                    <xdr:colOff>514350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52"/>
  <sheetViews>
    <sheetView workbookViewId="0">
      <selection activeCell="E28" sqref="E28"/>
    </sheetView>
  </sheetViews>
  <sheetFormatPr defaultColWidth="8.7109375" defaultRowHeight="15" x14ac:dyDescent="0.25"/>
  <cols>
    <col min="1" max="2" width="8.7109375" style="2" customWidth="1"/>
    <col min="3" max="11" width="8.7109375" style="2"/>
    <col min="12" max="12" width="17.42578125" style="2" bestFit="1" customWidth="1"/>
    <col min="13" max="13" width="7.42578125" style="2" bestFit="1" customWidth="1"/>
    <col min="14" max="16384" width="8.7109375" style="2"/>
  </cols>
  <sheetData>
    <row r="1" spans="1:13" x14ac:dyDescent="0.25">
      <c r="A1" s="3" t="s">
        <v>47</v>
      </c>
      <c r="B1" s="4" t="s">
        <v>3</v>
      </c>
      <c r="C1" s="2" t="str">
        <f>VLOOKUP(B1,Connect!A2:D3, 4)</f>
        <v>COM4</v>
      </c>
      <c r="D1" s="3" t="s">
        <v>66</v>
      </c>
      <c r="E1" s="2">
        <v>0</v>
      </c>
      <c r="F1" s="4"/>
      <c r="G1" s="4"/>
      <c r="H1" s="4"/>
      <c r="I1" s="4"/>
      <c r="J1" s="4"/>
      <c r="L1" s="3" t="s">
        <v>63</v>
      </c>
      <c r="M1" s="3" t="s">
        <v>7</v>
      </c>
    </row>
    <row r="2" spans="1:13" x14ac:dyDescent="0.25">
      <c r="A2" s="3" t="s">
        <v>139</v>
      </c>
      <c r="B2" t="str">
        <f>_xlfn.CONCAT(Connect!G1, " ", Connect!J1, " ", Connect!D1, " ", B1, " ", C1, " ", E1)</f>
        <v>v1 3 COM6 hp34401a COM4 0</v>
      </c>
      <c r="F2" s="4"/>
      <c r="G2" s="4"/>
      <c r="H2" s="4"/>
      <c r="I2" s="4"/>
      <c r="J2" s="4"/>
      <c r="L2" s="45">
        <v>-9.9338328000000004E-2</v>
      </c>
      <c r="M2" s="2">
        <v>-27334</v>
      </c>
    </row>
    <row r="3" spans="1:13" x14ac:dyDescent="0.25">
      <c r="F3" s="4"/>
      <c r="G3" s="4"/>
      <c r="H3" s="4"/>
      <c r="I3" s="4"/>
      <c r="J3" s="4"/>
      <c r="L3" s="45">
        <v>-8.9369094999999996E-2</v>
      </c>
      <c r="M3" s="2">
        <v>-24622</v>
      </c>
    </row>
    <row r="4" spans="1:13" x14ac:dyDescent="0.25">
      <c r="L4" s="45">
        <v>-7.9396992E-2</v>
      </c>
      <c r="M4" s="2">
        <v>-21879</v>
      </c>
    </row>
    <row r="5" spans="1:13" x14ac:dyDescent="0.25">
      <c r="L5" s="45">
        <v>-6.9427941000000007E-2</v>
      </c>
      <c r="M5" s="2">
        <v>-19133</v>
      </c>
    </row>
    <row r="6" spans="1:13" x14ac:dyDescent="0.25">
      <c r="L6" s="45">
        <v>-5.9453964999999998E-2</v>
      </c>
      <c r="M6" s="2">
        <v>-16384</v>
      </c>
    </row>
    <row r="7" spans="1:13" x14ac:dyDescent="0.25">
      <c r="L7" s="45">
        <v>-4.9483524000000001E-2</v>
      </c>
      <c r="M7" s="2">
        <v>-13635</v>
      </c>
    </row>
    <row r="8" spans="1:13" x14ac:dyDescent="0.25">
      <c r="L8" s="45">
        <v>-3.9507116000000002E-2</v>
      </c>
      <c r="M8" s="2">
        <v>-10888</v>
      </c>
    </row>
    <row r="9" spans="1:13" x14ac:dyDescent="0.25">
      <c r="L9" s="45">
        <v>-2.9547112E-2</v>
      </c>
      <c r="M9" s="2">
        <v>-8143</v>
      </c>
    </row>
    <row r="10" spans="1:13" x14ac:dyDescent="0.25">
      <c r="L10" s="45">
        <v>-1.9571218000000001E-2</v>
      </c>
      <c r="M10" s="2">
        <v>-5395</v>
      </c>
    </row>
    <row r="11" spans="1:13" x14ac:dyDescent="0.25">
      <c r="L11" s="45">
        <v>-9.6104390000000001E-3</v>
      </c>
      <c r="M11" s="2">
        <v>-2654</v>
      </c>
    </row>
    <row r="12" spans="1:13" x14ac:dyDescent="0.25">
      <c r="L12" s="45">
        <v>3.6952609999999999E-4</v>
      </c>
      <c r="M12" s="2">
        <v>100</v>
      </c>
    </row>
    <row r="13" spans="1:13" x14ac:dyDescent="0.25">
      <c r="L13" s="45">
        <v>1.0331735E-2</v>
      </c>
      <c r="M13" s="2">
        <v>2827</v>
      </c>
    </row>
    <row r="14" spans="1:13" x14ac:dyDescent="0.25">
      <c r="L14" s="45">
        <v>2.0303116999999999E-2</v>
      </c>
      <c r="M14" s="2">
        <v>5572</v>
      </c>
    </row>
    <row r="15" spans="1:13" x14ac:dyDescent="0.25">
      <c r="L15" s="45">
        <v>3.0264452000000001E-2</v>
      </c>
      <c r="M15" s="2">
        <v>8314</v>
      </c>
    </row>
    <row r="16" spans="1:13" x14ac:dyDescent="0.25">
      <c r="L16" s="45">
        <v>4.0225690000000001E-2</v>
      </c>
      <c r="M16" s="2">
        <v>11056</v>
      </c>
    </row>
    <row r="17" spans="12:13" x14ac:dyDescent="0.25">
      <c r="L17" s="45">
        <v>5.0188628999999998E-2</v>
      </c>
      <c r="M17" s="2">
        <v>13796</v>
      </c>
    </row>
    <row r="18" spans="12:13" x14ac:dyDescent="0.25">
      <c r="L18" s="45">
        <v>6.0150637999999999E-2</v>
      </c>
      <c r="M18" s="2">
        <v>16536</v>
      </c>
    </row>
    <row r="19" spans="12:13" x14ac:dyDescent="0.25">
      <c r="L19" s="45">
        <v>7.0115331000000003E-2</v>
      </c>
      <c r="M19" s="2">
        <v>19275</v>
      </c>
    </row>
    <row r="20" spans="12:13" x14ac:dyDescent="0.25">
      <c r="L20" s="45">
        <v>8.0100883999999997E-2</v>
      </c>
      <c r="M20" s="2">
        <v>22021</v>
      </c>
    </row>
    <row r="21" spans="12:13" x14ac:dyDescent="0.25">
      <c r="L21" s="45">
        <v>9.0073977E-2</v>
      </c>
      <c r="M21" s="2">
        <v>24759</v>
      </c>
    </row>
    <row r="22" spans="12:13" x14ac:dyDescent="0.25">
      <c r="L22" s="45">
        <v>0.10002437</v>
      </c>
      <c r="M22" s="2">
        <v>27462</v>
      </c>
    </row>
    <row r="52" s="3" customForma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RunSquidstatCalibrator">
                <anchor moveWithCells="1" sizeWithCells="1">
                  <from>
                    <xdr:col>5</xdr:col>
                    <xdr:colOff>209550</xdr:colOff>
                    <xdr:row>0</xdr:row>
                    <xdr:rowOff>95250</xdr:rowOff>
                  </from>
                  <to>
                    <xdr:col>7</xdr:col>
                    <xdr:colOff>228600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ImportCSVFile">
                <anchor moveWithCells="1" sizeWithCells="1">
                  <from>
                    <xdr:col>7</xdr:col>
                    <xdr:colOff>390525</xdr:colOff>
                    <xdr:row>0</xdr:row>
                    <xdr:rowOff>95250</xdr:rowOff>
                  </from>
                  <to>
                    <xdr:col>9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2"/>
  <sheetViews>
    <sheetView workbookViewId="0">
      <selection activeCell="M28" sqref="M28"/>
    </sheetView>
  </sheetViews>
  <sheetFormatPr defaultColWidth="8.7109375" defaultRowHeight="15" x14ac:dyDescent="0.25"/>
  <cols>
    <col min="1" max="2" width="8.7109375" style="2" customWidth="1"/>
    <col min="3" max="11" width="8.7109375" style="2"/>
    <col min="12" max="12" width="17.42578125" style="2" bestFit="1" customWidth="1"/>
    <col min="13" max="13" width="7.42578125" style="2" bestFit="1" customWidth="1"/>
    <col min="14" max="16384" width="8.7109375" style="2"/>
  </cols>
  <sheetData>
    <row r="1" spans="1:13" x14ac:dyDescent="0.25">
      <c r="A1" s="3" t="s">
        <v>47</v>
      </c>
      <c r="B1" s="4" t="s">
        <v>3</v>
      </c>
      <c r="C1" s="2" t="str">
        <f>VLOOKUP(B1,Connect!A2:D3, 4)</f>
        <v>COM4</v>
      </c>
      <c r="D1" s="3" t="s">
        <v>66</v>
      </c>
      <c r="E1" s="2">
        <v>1</v>
      </c>
      <c r="F1" s="4"/>
      <c r="G1" s="4"/>
      <c r="H1" s="4"/>
      <c r="I1" s="4"/>
      <c r="J1" s="4"/>
      <c r="L1" s="3" t="s">
        <v>63</v>
      </c>
      <c r="M1" s="3" t="s">
        <v>7</v>
      </c>
    </row>
    <row r="2" spans="1:13" x14ac:dyDescent="0.25">
      <c r="A2" s="3" t="s">
        <v>139</v>
      </c>
      <c r="B2" t="str">
        <f>_xlfn.CONCAT(Connect!G1, " ", Connect!J1, " ", Connect!D1, " ", B1, " ", C1, " ", E1)</f>
        <v>v1 3 COM6 hp34401a COM4 1</v>
      </c>
      <c r="F2" s="4"/>
      <c r="G2" s="4"/>
      <c r="H2" s="4"/>
      <c r="I2" s="4"/>
      <c r="J2" s="4"/>
      <c r="L2" s="45">
        <v>-5.0629044000000002E-3</v>
      </c>
      <c r="M2" s="2">
        <v>-27591</v>
      </c>
    </row>
    <row r="3" spans="1:13" x14ac:dyDescent="0.25">
      <c r="F3" s="4"/>
      <c r="G3" s="4"/>
      <c r="H3" s="4"/>
      <c r="I3" s="4"/>
      <c r="J3" s="4"/>
      <c r="L3" s="45">
        <v>-4.5552409999999998E-3</v>
      </c>
      <c r="M3" s="2">
        <v>-24865</v>
      </c>
    </row>
    <row r="4" spans="1:13" x14ac:dyDescent="0.25">
      <c r="L4" s="45">
        <v>-4.0472449000000001E-3</v>
      </c>
      <c r="M4" s="2">
        <v>-22098</v>
      </c>
    </row>
    <row r="5" spans="1:13" x14ac:dyDescent="0.25">
      <c r="L5" s="45">
        <v>-3.5394363000000001E-3</v>
      </c>
      <c r="M5" s="2">
        <v>-19327</v>
      </c>
    </row>
    <row r="6" spans="1:13" x14ac:dyDescent="0.25">
      <c r="L6" s="45">
        <v>-3.0314754000000002E-3</v>
      </c>
      <c r="M6" s="2">
        <v>-16552</v>
      </c>
    </row>
    <row r="7" spans="1:13" x14ac:dyDescent="0.25">
      <c r="L7" s="45">
        <v>-2.5234760000000002E-3</v>
      </c>
      <c r="M7" s="2">
        <v>-13778</v>
      </c>
    </row>
    <row r="8" spans="1:13" x14ac:dyDescent="0.25">
      <c r="L8" s="45">
        <v>-2.0154435000000002E-3</v>
      </c>
      <c r="M8" s="2">
        <v>-11005</v>
      </c>
    </row>
    <row r="9" spans="1:13" x14ac:dyDescent="0.25">
      <c r="L9" s="45">
        <v>-1.5080908E-3</v>
      </c>
      <c r="M9" s="2">
        <v>-8235</v>
      </c>
    </row>
    <row r="10" spans="1:13" x14ac:dyDescent="0.25">
      <c r="L10" s="45">
        <v>-9.9995370000000006E-4</v>
      </c>
      <c r="M10" s="2">
        <v>-5462</v>
      </c>
    </row>
    <row r="11" spans="1:13" x14ac:dyDescent="0.25">
      <c r="L11" s="45">
        <v>-4.9264670000000003E-4</v>
      </c>
      <c r="M11" s="2">
        <v>-2696</v>
      </c>
    </row>
    <row r="12" spans="1:13" x14ac:dyDescent="0.25">
      <c r="L12" s="45">
        <v>1.57114E-5</v>
      </c>
      <c r="M12" s="2">
        <v>84</v>
      </c>
    </row>
    <row r="13" spans="1:13" x14ac:dyDescent="0.25">
      <c r="L13" s="45">
        <v>5.2311779999999997E-4</v>
      </c>
      <c r="M13" s="2">
        <v>2836</v>
      </c>
    </row>
    <row r="14" spans="1:13" x14ac:dyDescent="0.25">
      <c r="L14" s="45">
        <v>1.0310014000000001E-3</v>
      </c>
      <c r="M14" s="2">
        <v>5606</v>
      </c>
    </row>
    <row r="15" spans="1:13" x14ac:dyDescent="0.25">
      <c r="L15" s="45">
        <v>1.5383497999999999E-3</v>
      </c>
      <c r="M15" s="2">
        <v>8374</v>
      </c>
    </row>
    <row r="16" spans="1:13" x14ac:dyDescent="0.25">
      <c r="L16" s="45">
        <v>2.0456755E-3</v>
      </c>
      <c r="M16" s="2">
        <v>11140</v>
      </c>
    </row>
    <row r="17" spans="12:13" x14ac:dyDescent="0.25">
      <c r="L17" s="45">
        <v>2.5531460000000001E-3</v>
      </c>
      <c r="M17" s="2">
        <v>13905</v>
      </c>
    </row>
    <row r="18" spans="12:13" x14ac:dyDescent="0.25">
      <c r="L18" s="45">
        <v>3.0605404000000002E-3</v>
      </c>
      <c r="M18" s="2">
        <v>16669</v>
      </c>
    </row>
    <row r="19" spans="12:13" x14ac:dyDescent="0.25">
      <c r="L19" s="45">
        <v>3.5680389999999998E-3</v>
      </c>
      <c r="M19" s="2">
        <v>19435</v>
      </c>
    </row>
    <row r="20" spans="12:13" x14ac:dyDescent="0.25">
      <c r="L20" s="45">
        <v>4.0768699999999998E-3</v>
      </c>
      <c r="M20" s="2">
        <v>22205</v>
      </c>
    </row>
    <row r="21" spans="12:13" x14ac:dyDescent="0.25">
      <c r="L21" s="45">
        <v>4.5848356999999996E-3</v>
      </c>
      <c r="M21" s="2">
        <v>24967</v>
      </c>
    </row>
    <row r="22" spans="12:13" x14ac:dyDescent="0.25">
      <c r="L22" s="45">
        <v>5.0931444000000001E-3</v>
      </c>
      <c r="M22" s="2">
        <v>27683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247650</xdr:colOff>
                    <xdr:row>0</xdr:row>
                    <xdr:rowOff>95250</xdr:rowOff>
                  </from>
                  <to>
                    <xdr:col>7</xdr:col>
                    <xdr:colOff>247650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409575</xdr:colOff>
                    <xdr:row>0</xdr:row>
                    <xdr:rowOff>95250</xdr:rowOff>
                  </from>
                  <to>
                    <xdr:col>9</xdr:col>
                    <xdr:colOff>400050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22"/>
  <sheetViews>
    <sheetView workbookViewId="0">
      <selection activeCell="I3" sqref="I3"/>
    </sheetView>
  </sheetViews>
  <sheetFormatPr defaultColWidth="8.7109375" defaultRowHeight="15" x14ac:dyDescent="0.25"/>
  <cols>
    <col min="1" max="2" width="8.7109375" style="2" customWidth="1"/>
    <col min="3" max="11" width="8.7109375" style="2"/>
    <col min="12" max="12" width="17.42578125" style="2" bestFit="1" customWidth="1"/>
    <col min="13" max="13" width="7.42578125" style="2" bestFit="1" customWidth="1"/>
    <col min="14" max="16384" width="8.7109375" style="2"/>
  </cols>
  <sheetData>
    <row r="1" spans="1:14" x14ac:dyDescent="0.25">
      <c r="A1" s="3" t="s">
        <v>47</v>
      </c>
      <c r="B1" s="4" t="s">
        <v>2</v>
      </c>
      <c r="C1" s="2" t="str">
        <f>VLOOKUP(B1,Connect!A2:D3, 4)</f>
        <v>COM7</v>
      </c>
      <c r="D1" s="3" t="s">
        <v>66</v>
      </c>
      <c r="E1" s="2">
        <v>2</v>
      </c>
      <c r="F1" s="4"/>
      <c r="G1" s="4"/>
      <c r="H1" s="4"/>
      <c r="I1" s="4"/>
      <c r="J1" s="4"/>
      <c r="L1" s="3" t="s">
        <v>63</v>
      </c>
      <c r="M1" s="3" t="s">
        <v>7</v>
      </c>
    </row>
    <row r="2" spans="1:14" x14ac:dyDescent="0.25">
      <c r="A2" s="3" t="s">
        <v>139</v>
      </c>
      <c r="B2" t="str">
        <f>_xlfn.CONCAT(Connect!G1, " ", Connect!J1, " ", Connect!D1, " ", B1, " ", C1, " ", E1)</f>
        <v>v1 3 COM6 keithley485 COM7 2</v>
      </c>
      <c r="F2" s="4"/>
      <c r="G2" s="4"/>
      <c r="H2" s="4"/>
      <c r="I2" s="4"/>
      <c r="J2" s="4"/>
      <c r="L2" s="45">
        <v>-2.453E-4</v>
      </c>
      <c r="M2" s="2">
        <v>-27597</v>
      </c>
      <c r="N2" s="48"/>
    </row>
    <row r="3" spans="1:14" x14ac:dyDescent="0.25">
      <c r="F3" s="4"/>
      <c r="G3" s="4"/>
      <c r="H3" s="4"/>
      <c r="I3" s="4"/>
      <c r="J3" s="4"/>
      <c r="L3" s="45">
        <v>-2.207E-4</v>
      </c>
      <c r="M3" s="2">
        <v>-24876</v>
      </c>
      <c r="N3" s="48"/>
    </row>
    <row r="4" spans="1:14" x14ac:dyDescent="0.25">
      <c r="L4" s="45">
        <v>-1.961E-4</v>
      </c>
      <c r="M4" s="2">
        <v>-22108</v>
      </c>
      <c r="N4" s="48"/>
    </row>
    <row r="5" spans="1:14" x14ac:dyDescent="0.25">
      <c r="L5" s="45">
        <v>-1.7144999999999999E-4</v>
      </c>
      <c r="M5" s="2">
        <v>-19336</v>
      </c>
      <c r="N5" s="48"/>
    </row>
    <row r="6" spans="1:14" x14ac:dyDescent="0.25">
      <c r="L6" s="45">
        <v>-1.4688E-4</v>
      </c>
      <c r="M6" s="2">
        <v>-16560</v>
      </c>
      <c r="N6" s="48"/>
    </row>
    <row r="7" spans="1:14" x14ac:dyDescent="0.25">
      <c r="L7" s="45">
        <v>-1.2227000000000001E-4</v>
      </c>
      <c r="M7" s="2">
        <v>-13785</v>
      </c>
      <c r="N7" s="48"/>
    </row>
    <row r="8" spans="1:14" x14ac:dyDescent="0.25">
      <c r="L8" s="45">
        <v>-9.7650000000000002E-5</v>
      </c>
      <c r="M8" s="2">
        <v>-11010</v>
      </c>
      <c r="N8" s="48"/>
    </row>
    <row r="9" spans="1:14" x14ac:dyDescent="0.25">
      <c r="L9" s="45">
        <v>-7.3070000000000003E-5</v>
      </c>
      <c r="M9" s="2">
        <v>-8239</v>
      </c>
      <c r="N9" s="48"/>
    </row>
    <row r="10" spans="1:14" x14ac:dyDescent="0.25">
      <c r="L10" s="45">
        <v>-4.8449999999999999E-5</v>
      </c>
      <c r="M10" s="2">
        <v>-5465</v>
      </c>
      <c r="N10" s="48"/>
    </row>
    <row r="11" spans="1:14" x14ac:dyDescent="0.25">
      <c r="L11" s="45">
        <v>-2.387E-5</v>
      </c>
      <c r="M11" s="2">
        <v>-2697</v>
      </c>
      <c r="N11" s="48"/>
    </row>
    <row r="12" spans="1:14" x14ac:dyDescent="0.25">
      <c r="L12" s="45">
        <v>7.6179999999999995E-7</v>
      </c>
      <c r="M12" s="2">
        <v>84</v>
      </c>
      <c r="N12" s="48"/>
    </row>
    <row r="13" spans="1:14" x14ac:dyDescent="0.25">
      <c r="L13" s="45">
        <v>2.535E-5</v>
      </c>
      <c r="M13" s="2">
        <v>2838</v>
      </c>
      <c r="N13" s="48"/>
    </row>
    <row r="14" spans="1:14" x14ac:dyDescent="0.25">
      <c r="L14" s="45">
        <v>4.9950000000000001E-5</v>
      </c>
      <c r="M14" s="2">
        <v>5609</v>
      </c>
      <c r="N14" s="48"/>
    </row>
    <row r="15" spans="1:14" x14ac:dyDescent="0.25">
      <c r="L15" s="45">
        <v>7.4530000000000006E-5</v>
      </c>
      <c r="M15" s="2">
        <v>8378</v>
      </c>
      <c r="N15" s="48"/>
    </row>
    <row r="16" spans="1:14" x14ac:dyDescent="0.25">
      <c r="L16" s="45">
        <v>9.912E-5</v>
      </c>
      <c r="M16" s="2">
        <v>11146</v>
      </c>
      <c r="N16" s="48"/>
    </row>
    <row r="17" spans="12:14" x14ac:dyDescent="0.25">
      <c r="L17" s="45">
        <v>1.2370999999999999E-4</v>
      </c>
      <c r="M17" s="2">
        <v>13912</v>
      </c>
      <c r="N17" s="48"/>
    </row>
    <row r="18" spans="12:14" x14ac:dyDescent="0.25">
      <c r="L18" s="45">
        <v>1.483E-4</v>
      </c>
      <c r="M18" s="2">
        <v>16677</v>
      </c>
      <c r="N18" s="48"/>
    </row>
    <row r="19" spans="12:14" x14ac:dyDescent="0.25">
      <c r="L19" s="45">
        <v>1.7289000000000001E-4</v>
      </c>
      <c r="M19" s="2">
        <v>19444</v>
      </c>
      <c r="N19" s="48"/>
    </row>
    <row r="20" spans="12:14" x14ac:dyDescent="0.25">
      <c r="L20" s="45">
        <v>1.9754000000000001E-4</v>
      </c>
      <c r="M20" s="2">
        <v>22216</v>
      </c>
      <c r="N20" s="48"/>
    </row>
    <row r="21" spans="12:14" x14ac:dyDescent="0.25">
      <c r="L21" s="45">
        <v>2.22E-4</v>
      </c>
      <c r="M21" s="2">
        <v>24977</v>
      </c>
      <c r="N21" s="48"/>
    </row>
    <row r="22" spans="12:14" x14ac:dyDescent="0.25">
      <c r="L22" s="45">
        <v>2.4659999999999998E-4</v>
      </c>
      <c r="M22" s="2">
        <v>27688</v>
      </c>
      <c r="N22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257175</xdr:colOff>
                    <xdr:row>0</xdr:row>
                    <xdr:rowOff>104775</xdr:rowOff>
                  </from>
                  <to>
                    <xdr:col>7</xdr:col>
                    <xdr:colOff>247650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400050</xdr:colOff>
                    <xdr:row>0</xdr:row>
                    <xdr:rowOff>95250</xdr:rowOff>
                  </from>
                  <to>
                    <xdr:col>9</xdr:col>
                    <xdr:colOff>400050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52"/>
  <sheetViews>
    <sheetView workbookViewId="0">
      <selection activeCell="B1" sqref="B1"/>
    </sheetView>
  </sheetViews>
  <sheetFormatPr defaultColWidth="8.7109375" defaultRowHeight="15" x14ac:dyDescent="0.25"/>
  <cols>
    <col min="1" max="2" width="8.7109375" style="46" customWidth="1"/>
    <col min="3" max="10" width="8.7109375" style="46"/>
    <col min="11" max="11" width="8.7109375" style="46" customWidth="1"/>
    <col min="12" max="12" width="17.42578125" style="46" bestFit="1" customWidth="1"/>
    <col min="13" max="13" width="7.42578125" style="46" bestFit="1" customWidth="1"/>
    <col min="14" max="16384" width="8.7109375" style="46"/>
  </cols>
  <sheetData>
    <row r="1" spans="1:14" x14ac:dyDescent="0.25">
      <c r="A1" s="47" t="s">
        <v>47</v>
      </c>
      <c r="B1" s="5" t="s">
        <v>2</v>
      </c>
      <c r="C1" s="2" t="str">
        <f>VLOOKUP(B1,Connect!A2:D3, 4)</f>
        <v>COM7</v>
      </c>
      <c r="D1" s="3" t="s">
        <v>66</v>
      </c>
      <c r="E1" s="46">
        <v>3</v>
      </c>
      <c r="F1" s="110"/>
      <c r="G1" s="110"/>
      <c r="H1" s="110"/>
      <c r="I1" s="110"/>
      <c r="J1" s="110"/>
      <c r="L1" s="3" t="s">
        <v>63</v>
      </c>
      <c r="M1" s="3" t="s">
        <v>7</v>
      </c>
    </row>
    <row r="2" spans="1:14" x14ac:dyDescent="0.25">
      <c r="A2" s="3" t="s">
        <v>139</v>
      </c>
      <c r="B2" t="str">
        <f>_xlfn.CONCAT(Connect!G1, " ", Connect!J1, " ", Connect!D1, " ", B1, " ", C1, " ", E1)</f>
        <v>v1 3 COM6 keithley485 COM7 3</v>
      </c>
      <c r="F2" s="110"/>
      <c r="G2" s="110"/>
      <c r="H2" s="110"/>
      <c r="I2" s="110"/>
      <c r="J2" s="110"/>
      <c r="L2" s="48">
        <v>-1.2683999999999999E-5</v>
      </c>
      <c r="M2" s="46">
        <v>-27611</v>
      </c>
      <c r="N2" s="48"/>
    </row>
    <row r="3" spans="1:14" x14ac:dyDescent="0.25">
      <c r="F3" s="110"/>
      <c r="G3" s="110"/>
      <c r="H3" s="110"/>
      <c r="I3" s="110"/>
      <c r="J3" s="110"/>
      <c r="L3" s="48">
        <v>-1.1412E-5</v>
      </c>
      <c r="M3" s="46">
        <v>-24893</v>
      </c>
      <c r="N3" s="48"/>
    </row>
    <row r="4" spans="1:14" x14ac:dyDescent="0.25">
      <c r="L4" s="48">
        <v>-1.0141E-5</v>
      </c>
      <c r="M4" s="46">
        <v>-22126</v>
      </c>
      <c r="N4" s="48"/>
    </row>
    <row r="5" spans="1:14" x14ac:dyDescent="0.25">
      <c r="L5" s="48">
        <v>-8.8689999999999993E-6</v>
      </c>
      <c r="M5" s="46">
        <v>-19354</v>
      </c>
      <c r="N5" s="48"/>
    </row>
    <row r="6" spans="1:14" x14ac:dyDescent="0.25">
      <c r="L6" s="48">
        <v>-7.5970000000000003E-6</v>
      </c>
      <c r="M6" s="46">
        <v>-16578</v>
      </c>
      <c r="N6" s="48"/>
    </row>
    <row r="7" spans="1:14" x14ac:dyDescent="0.25">
      <c r="L7" s="48">
        <v>-6.3260000000000001E-6</v>
      </c>
      <c r="M7" s="46">
        <v>-13802</v>
      </c>
      <c r="N7" s="48"/>
    </row>
    <row r="8" spans="1:14" x14ac:dyDescent="0.25">
      <c r="L8" s="48">
        <v>-5.0540000000000002E-6</v>
      </c>
      <c r="M8" s="46">
        <v>-11027</v>
      </c>
      <c r="N8" s="48"/>
    </row>
    <row r="9" spans="1:14" x14ac:dyDescent="0.25">
      <c r="L9" s="48">
        <v>-3.7840000000000001E-6</v>
      </c>
      <c r="M9" s="46">
        <v>-8257</v>
      </c>
      <c r="N9" s="48"/>
    </row>
    <row r="10" spans="1:14" x14ac:dyDescent="0.25">
      <c r="L10" s="48">
        <v>-2.5119999999999998E-6</v>
      </c>
      <c r="M10" s="46">
        <v>-5482</v>
      </c>
      <c r="N10" s="48"/>
    </row>
    <row r="11" spans="1:14" x14ac:dyDescent="0.25">
      <c r="L11" s="48">
        <v>-1.2409000000000001E-6</v>
      </c>
      <c r="M11" s="46">
        <v>-2715</v>
      </c>
      <c r="N11" s="48"/>
    </row>
    <row r="12" spans="1:14" x14ac:dyDescent="0.25">
      <c r="L12" s="48">
        <v>3.1370000000000002E-8</v>
      </c>
      <c r="M12" s="46">
        <v>66</v>
      </c>
      <c r="N12" s="48"/>
    </row>
    <row r="13" spans="1:14" x14ac:dyDescent="0.25">
      <c r="L13" s="48">
        <v>1.3029000000000001E-6</v>
      </c>
      <c r="M13" s="46">
        <v>2821</v>
      </c>
      <c r="N13" s="48"/>
    </row>
    <row r="14" spans="1:14" x14ac:dyDescent="0.25">
      <c r="L14" s="48">
        <v>2.571E-6</v>
      </c>
      <c r="M14" s="46">
        <v>5592</v>
      </c>
      <c r="N14" s="48"/>
    </row>
    <row r="15" spans="1:14" x14ac:dyDescent="0.25">
      <c r="L15" s="48">
        <v>3.8430000000000003E-6</v>
      </c>
      <c r="M15" s="46">
        <v>8361</v>
      </c>
      <c r="N15" s="48"/>
    </row>
    <row r="16" spans="1:14" x14ac:dyDescent="0.25">
      <c r="L16" s="48">
        <v>5.113E-6</v>
      </c>
      <c r="M16" s="46">
        <v>11128</v>
      </c>
      <c r="N16" s="48"/>
    </row>
    <row r="17" spans="11:14" x14ac:dyDescent="0.25">
      <c r="L17" s="48">
        <v>6.3829999999999997E-6</v>
      </c>
      <c r="M17" s="46">
        <v>13895</v>
      </c>
      <c r="N17" s="48"/>
    </row>
    <row r="18" spans="11:14" x14ac:dyDescent="0.25">
      <c r="L18" s="48">
        <v>7.6529999999999994E-6</v>
      </c>
      <c r="M18" s="46">
        <v>16660</v>
      </c>
      <c r="N18" s="48"/>
    </row>
    <row r="19" spans="11:14" x14ac:dyDescent="0.25">
      <c r="L19" s="48">
        <v>8.9239999999999996E-6</v>
      </c>
      <c r="M19" s="46">
        <v>19427</v>
      </c>
      <c r="N19" s="48"/>
    </row>
    <row r="20" spans="11:14" x14ac:dyDescent="0.25">
      <c r="L20" s="48">
        <v>1.0198E-5</v>
      </c>
      <c r="M20" s="46">
        <v>22199</v>
      </c>
      <c r="N20" s="48"/>
    </row>
    <row r="21" spans="11:14" x14ac:dyDescent="0.25">
      <c r="L21" s="48">
        <v>1.147E-5</v>
      </c>
      <c r="M21" s="46">
        <v>24960</v>
      </c>
      <c r="N21" s="48"/>
    </row>
    <row r="22" spans="11:14" x14ac:dyDescent="0.25">
      <c r="L22" s="48">
        <v>1.2741999999999999E-5</v>
      </c>
      <c r="M22" s="46">
        <v>27671</v>
      </c>
      <c r="N22" s="48"/>
    </row>
    <row r="26" spans="11:14" x14ac:dyDescent="0.25">
      <c r="K26" s="48"/>
    </row>
    <row r="27" spans="11:14" x14ac:dyDescent="0.25">
      <c r="K27" s="48"/>
    </row>
    <row r="28" spans="11:14" x14ac:dyDescent="0.25">
      <c r="K28" s="48"/>
    </row>
    <row r="29" spans="11:14" x14ac:dyDescent="0.25">
      <c r="K29" s="48"/>
    </row>
    <row r="30" spans="11:14" x14ac:dyDescent="0.25">
      <c r="K30" s="48"/>
    </row>
    <row r="31" spans="11:14" x14ac:dyDescent="0.25">
      <c r="K31" s="48"/>
    </row>
    <row r="32" spans="11:14" x14ac:dyDescent="0.25">
      <c r="K32" s="48"/>
    </row>
    <row r="33" spans="11:11" x14ac:dyDescent="0.25">
      <c r="K33" s="48"/>
    </row>
    <row r="34" spans="11:11" x14ac:dyDescent="0.25">
      <c r="K34" s="48"/>
    </row>
    <row r="35" spans="11:11" x14ac:dyDescent="0.25">
      <c r="K35" s="48"/>
    </row>
    <row r="36" spans="11:11" x14ac:dyDescent="0.25">
      <c r="K36" s="48"/>
    </row>
    <row r="37" spans="11:11" x14ac:dyDescent="0.25">
      <c r="K37" s="48"/>
    </row>
    <row r="38" spans="11:11" x14ac:dyDescent="0.25">
      <c r="K38" s="48"/>
    </row>
    <row r="39" spans="11:11" x14ac:dyDescent="0.25">
      <c r="K39" s="48"/>
    </row>
    <row r="40" spans="11:11" x14ac:dyDescent="0.25">
      <c r="K40" s="48"/>
    </row>
    <row r="41" spans="11:11" x14ac:dyDescent="0.25">
      <c r="K41" s="48"/>
    </row>
    <row r="42" spans="11:11" x14ac:dyDescent="0.25">
      <c r="K42" s="48"/>
    </row>
    <row r="43" spans="11:11" x14ac:dyDescent="0.25">
      <c r="K43" s="48"/>
    </row>
    <row r="44" spans="11:11" x14ac:dyDescent="0.25">
      <c r="K44" s="48"/>
    </row>
    <row r="45" spans="11:11" x14ac:dyDescent="0.25">
      <c r="K45" s="48"/>
    </row>
    <row r="46" spans="11:11" x14ac:dyDescent="0.25">
      <c r="K46" s="48"/>
    </row>
    <row r="52" s="3" customForma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228600</xdr:colOff>
                    <xdr:row>0</xdr:row>
                    <xdr:rowOff>76200</xdr:rowOff>
                  </from>
                  <to>
                    <xdr:col>7</xdr:col>
                    <xdr:colOff>228600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400050</xdr:colOff>
                    <xdr:row>0</xdr:row>
                    <xdr:rowOff>57150</xdr:rowOff>
                  </from>
                  <to>
                    <xdr:col>9</xdr:col>
                    <xdr:colOff>371475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22"/>
  <sheetViews>
    <sheetView workbookViewId="0">
      <selection activeCell="L10" sqref="L10"/>
    </sheetView>
  </sheetViews>
  <sheetFormatPr defaultColWidth="8.7109375" defaultRowHeight="15" x14ac:dyDescent="0.25"/>
  <cols>
    <col min="1" max="11" width="8.7109375" style="2"/>
    <col min="12" max="12" width="17.42578125" style="2" bestFit="1" customWidth="1"/>
    <col min="13" max="13" width="7.42578125" style="2" bestFit="1" customWidth="1"/>
    <col min="14" max="16384" width="8.7109375" style="2"/>
  </cols>
  <sheetData>
    <row r="1" spans="1:13" x14ac:dyDescent="0.25">
      <c r="A1" s="3" t="s">
        <v>47</v>
      </c>
      <c r="B1" s="4" t="s">
        <v>3</v>
      </c>
      <c r="C1" s="2" t="str">
        <f>VLOOKUP(B1,Connect!A2:D3, 4)</f>
        <v>COM4</v>
      </c>
      <c r="D1" s="3" t="s">
        <v>66</v>
      </c>
      <c r="E1" s="2">
        <v>4</v>
      </c>
      <c r="L1" s="3" t="s">
        <v>63</v>
      </c>
      <c r="M1" s="3" t="s">
        <v>7</v>
      </c>
    </row>
    <row r="2" spans="1:13" x14ac:dyDescent="0.25">
      <c r="A2" s="3" t="s">
        <v>139</v>
      </c>
      <c r="B2" t="str">
        <f>_xlfn.CONCAT(Connect!G1, " ", Connect!J1, " ", Connect!D1, " ", B1, " ", C1, " ", E1)</f>
        <v>v1 3 COM6 hp34401a COM4 4</v>
      </c>
      <c r="L2" s="45">
        <v>9.3433599999999999E-5</v>
      </c>
      <c r="M2" s="2">
        <v>-30594</v>
      </c>
    </row>
    <row r="3" spans="1:13" x14ac:dyDescent="0.25">
      <c r="A3" s="4"/>
      <c r="B3" s="4"/>
      <c r="C3" s="4"/>
      <c r="D3" s="4"/>
      <c r="E3" s="4"/>
      <c r="F3" s="4"/>
      <c r="G3" s="4"/>
      <c r="H3" s="4"/>
      <c r="I3" s="4"/>
      <c r="J3" s="4"/>
      <c r="L3" s="45">
        <v>8.1765499999999995E-5</v>
      </c>
      <c r="M3" s="2">
        <v>-26759</v>
      </c>
    </row>
    <row r="4" spans="1:13" x14ac:dyDescent="0.25">
      <c r="A4" s="4"/>
      <c r="B4" s="4"/>
      <c r="C4" s="4"/>
      <c r="D4" s="4"/>
      <c r="E4" s="4"/>
      <c r="F4" s="4"/>
      <c r="G4" s="4"/>
      <c r="H4" s="4"/>
      <c r="I4" s="4"/>
      <c r="J4" s="4"/>
      <c r="L4" s="45">
        <v>7.01481E-5</v>
      </c>
      <c r="M4" s="2">
        <v>-22923</v>
      </c>
    </row>
    <row r="5" spans="1:13" x14ac:dyDescent="0.25">
      <c r="A5" s="4"/>
      <c r="B5" s="4"/>
      <c r="C5" s="4"/>
      <c r="D5" s="4"/>
      <c r="E5" s="4"/>
      <c r="F5" s="4"/>
      <c r="G5" s="4"/>
      <c r="H5" s="4"/>
      <c r="I5" s="4"/>
      <c r="J5" s="4"/>
      <c r="L5" s="45">
        <v>5.8409000000000003E-5</v>
      </c>
      <c r="M5" s="2">
        <v>-19087</v>
      </c>
    </row>
    <row r="6" spans="1:13" x14ac:dyDescent="0.25">
      <c r="A6" s="4"/>
      <c r="B6" s="4"/>
      <c r="C6" s="4"/>
      <c r="D6" s="4"/>
      <c r="E6" s="4"/>
      <c r="F6" s="4"/>
      <c r="G6" s="4"/>
      <c r="H6" s="4"/>
      <c r="I6" s="4"/>
      <c r="J6" s="4"/>
      <c r="L6" s="45">
        <v>4.6690100000000002E-5</v>
      </c>
      <c r="M6" s="2">
        <v>-15250</v>
      </c>
    </row>
    <row r="7" spans="1:13" x14ac:dyDescent="0.25">
      <c r="A7" s="4"/>
      <c r="B7" s="4"/>
      <c r="C7" s="4"/>
      <c r="D7" s="4"/>
      <c r="E7" s="4"/>
      <c r="F7" s="4"/>
      <c r="G7" s="4"/>
      <c r="H7" s="4"/>
      <c r="I7" s="4"/>
      <c r="J7" s="4"/>
      <c r="L7" s="45">
        <v>3.4796099999999997E-5</v>
      </c>
      <c r="M7" s="2">
        <v>-11411</v>
      </c>
    </row>
    <row r="8" spans="1:13" x14ac:dyDescent="0.25">
      <c r="A8" s="4"/>
      <c r="B8" s="4"/>
      <c r="C8" s="4"/>
      <c r="D8" s="4"/>
      <c r="E8" s="4"/>
      <c r="F8" s="4"/>
      <c r="G8" s="4"/>
      <c r="H8" s="4"/>
      <c r="I8" s="4"/>
      <c r="J8" s="4"/>
      <c r="L8" s="45">
        <v>2.31407E-5</v>
      </c>
      <c r="M8" s="2">
        <v>-7575</v>
      </c>
    </row>
    <row r="9" spans="1:13" x14ac:dyDescent="0.25">
      <c r="L9" s="45">
        <v>1.1437099999999999E-5</v>
      </c>
      <c r="M9" s="2">
        <v>-3737</v>
      </c>
    </row>
    <row r="10" spans="1:13" x14ac:dyDescent="0.25">
      <c r="L10" s="45">
        <v>5.0485E-6</v>
      </c>
      <c r="M10" s="2">
        <v>-1658</v>
      </c>
    </row>
    <row r="11" spans="1:13" x14ac:dyDescent="0.25">
      <c r="L11" s="45">
        <v>-3.5030000000000001E-7</v>
      </c>
      <c r="M11" s="2">
        <v>98</v>
      </c>
    </row>
    <row r="12" spans="1:13" x14ac:dyDescent="0.25">
      <c r="L12" s="45">
        <v>-5.6906000000000002E-6</v>
      </c>
      <c r="M12" s="2">
        <v>1856</v>
      </c>
    </row>
    <row r="13" spans="1:13" x14ac:dyDescent="0.25">
      <c r="L13" s="45">
        <v>-1.19752E-5</v>
      </c>
      <c r="M13" s="2">
        <v>3935</v>
      </c>
    </row>
    <row r="14" spans="1:13" x14ac:dyDescent="0.25">
      <c r="L14" s="45">
        <v>-2.3689E-5</v>
      </c>
      <c r="M14" s="2">
        <v>7772</v>
      </c>
    </row>
    <row r="15" spans="1:13" x14ac:dyDescent="0.25">
      <c r="L15" s="45">
        <v>-3.5478899999999997E-5</v>
      </c>
      <c r="M15" s="2">
        <v>11610</v>
      </c>
    </row>
    <row r="16" spans="1:13" x14ac:dyDescent="0.25">
      <c r="L16" s="45">
        <v>-4.7195199999999998E-5</v>
      </c>
      <c r="M16" s="2">
        <v>15447</v>
      </c>
    </row>
    <row r="17" spans="12:13" x14ac:dyDescent="0.25">
      <c r="L17" s="45">
        <v>-5.8949600000000002E-5</v>
      </c>
      <c r="M17" s="2">
        <v>19287</v>
      </c>
    </row>
    <row r="18" spans="12:13" x14ac:dyDescent="0.25">
      <c r="L18" s="45">
        <v>-7.0714200000000001E-5</v>
      </c>
      <c r="M18" s="2">
        <v>23125</v>
      </c>
    </row>
    <row r="19" spans="12:13" x14ac:dyDescent="0.25">
      <c r="L19" s="45">
        <v>-8.2397499999999998E-5</v>
      </c>
      <c r="M19" s="2">
        <v>26962</v>
      </c>
    </row>
    <row r="20" spans="12:13" x14ac:dyDescent="0.25">
      <c r="L20" s="45">
        <v>-9.4177299999999997E-5</v>
      </c>
      <c r="M20" s="2">
        <v>30799</v>
      </c>
    </row>
    <row r="21" spans="12:13" x14ac:dyDescent="0.25">
      <c r="L21" s="45">
        <v>-1.058862E-4</v>
      </c>
      <c r="M21" s="2">
        <v>32767</v>
      </c>
    </row>
    <row r="22" spans="12:13" x14ac:dyDescent="0.25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209550</xdr:colOff>
                    <xdr:row>2</xdr:row>
                    <xdr:rowOff>95250</xdr:rowOff>
                  </from>
                  <to>
                    <xdr:col>9</xdr:col>
                    <xdr:colOff>400050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209550</xdr:colOff>
                    <xdr:row>5</xdr:row>
                    <xdr:rowOff>95250</xdr:rowOff>
                  </from>
                  <to>
                    <xdr:col>9</xdr:col>
                    <xdr:colOff>400050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22"/>
  <sheetViews>
    <sheetView workbookViewId="0">
      <selection activeCell="H28" sqref="H28:H41"/>
    </sheetView>
  </sheetViews>
  <sheetFormatPr defaultColWidth="8.7109375" defaultRowHeight="15" x14ac:dyDescent="0.25"/>
  <cols>
    <col min="1" max="11" width="8.7109375" style="2"/>
    <col min="12" max="12" width="8.28515625" style="2" bestFit="1" customWidth="1"/>
    <col min="13" max="13" width="9.28515625" style="2" bestFit="1" customWidth="1"/>
    <col min="14" max="16384" width="8.7109375" style="2"/>
  </cols>
  <sheetData>
    <row r="1" spans="1:13" x14ac:dyDescent="0.25">
      <c r="A1" s="3" t="s">
        <v>47</v>
      </c>
      <c r="B1" s="4" t="s">
        <v>3</v>
      </c>
      <c r="C1" s="2" t="str">
        <f>VLOOKUP(B1,Connect!A2:D3, 4)</f>
        <v>COM4</v>
      </c>
      <c r="D1" s="3" t="s">
        <v>66</v>
      </c>
      <c r="E1" s="2">
        <v>5</v>
      </c>
      <c r="L1" s="3" t="s">
        <v>52</v>
      </c>
      <c r="M1" s="3" t="s">
        <v>51</v>
      </c>
    </row>
    <row r="2" spans="1:13" x14ac:dyDescent="0.25">
      <c r="A2" s="3" t="s">
        <v>139</v>
      </c>
      <c r="B2" t="str">
        <f>_xlfn.CONCAT(Connect!G1, " ", Connect!J1, " ", Connect!D1, " ", B1, " ", C1, " ", E1)</f>
        <v>v1 3 COM6 hp34401a COM4 5</v>
      </c>
      <c r="L2" s="2">
        <v>1</v>
      </c>
      <c r="M2" s="2">
        <v>1</v>
      </c>
    </row>
    <row r="3" spans="1:13" x14ac:dyDescent="0.25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25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25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25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25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25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25">
      <c r="L9" s="2">
        <v>8</v>
      </c>
      <c r="M9" s="2">
        <v>8</v>
      </c>
    </row>
    <row r="10" spans="1:13" x14ac:dyDescent="0.25">
      <c r="L10" s="2">
        <v>9</v>
      </c>
      <c r="M10" s="2">
        <v>9</v>
      </c>
    </row>
    <row r="11" spans="1:13" x14ac:dyDescent="0.25">
      <c r="L11" s="2">
        <v>10</v>
      </c>
      <c r="M11" s="2">
        <v>10</v>
      </c>
    </row>
    <row r="12" spans="1:13" x14ac:dyDescent="0.25">
      <c r="L12" s="2">
        <v>11</v>
      </c>
      <c r="M12" s="2">
        <v>11</v>
      </c>
    </row>
    <row r="13" spans="1:13" x14ac:dyDescent="0.25">
      <c r="L13" s="2">
        <v>12</v>
      </c>
      <c r="M13" s="2">
        <v>12</v>
      </c>
    </row>
    <row r="14" spans="1:13" x14ac:dyDescent="0.25">
      <c r="L14" s="2">
        <v>13</v>
      </c>
      <c r="M14" s="2">
        <v>13</v>
      </c>
    </row>
    <row r="15" spans="1:13" x14ac:dyDescent="0.25">
      <c r="L15" s="2">
        <v>14</v>
      </c>
      <c r="M15" s="2">
        <v>14</v>
      </c>
    </row>
    <row r="16" spans="1:13" x14ac:dyDescent="0.25">
      <c r="L16" s="2">
        <v>15</v>
      </c>
      <c r="M16" s="2">
        <v>15</v>
      </c>
    </row>
    <row r="17" spans="12:13" x14ac:dyDescent="0.25">
      <c r="L17" s="2">
        <v>16</v>
      </c>
      <c r="M17" s="2">
        <v>16</v>
      </c>
    </row>
    <row r="18" spans="12:13" x14ac:dyDescent="0.25">
      <c r="L18" s="2">
        <v>17</v>
      </c>
      <c r="M18" s="2">
        <v>17</v>
      </c>
    </row>
    <row r="19" spans="12:13" x14ac:dyDescent="0.25">
      <c r="L19" s="2">
        <v>18</v>
      </c>
      <c r="M19" s="2">
        <v>18</v>
      </c>
    </row>
    <row r="20" spans="12:13" x14ac:dyDescent="0.25">
      <c r="L20" s="2">
        <v>19</v>
      </c>
      <c r="M20" s="2">
        <v>19</v>
      </c>
    </row>
    <row r="21" spans="12:13" x14ac:dyDescent="0.25">
      <c r="L21" s="2">
        <v>20</v>
      </c>
      <c r="M21" s="2">
        <v>20</v>
      </c>
    </row>
    <row r="22" spans="12:13" x14ac:dyDescent="0.25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209550</xdr:colOff>
                    <xdr:row>2</xdr:row>
                    <xdr:rowOff>95250</xdr:rowOff>
                  </from>
                  <to>
                    <xdr:col>9</xdr:col>
                    <xdr:colOff>400050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209550</xdr:colOff>
                    <xdr:row>5</xdr:row>
                    <xdr:rowOff>95250</xdr:rowOff>
                  </from>
                  <to>
                    <xdr:col>9</xdr:col>
                    <xdr:colOff>400050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M22"/>
  <sheetViews>
    <sheetView workbookViewId="0">
      <selection activeCell="H28" sqref="H28:H41"/>
    </sheetView>
  </sheetViews>
  <sheetFormatPr defaultColWidth="8.7109375" defaultRowHeight="15" x14ac:dyDescent="0.25"/>
  <cols>
    <col min="1" max="11" width="8.7109375" style="2"/>
    <col min="12" max="12" width="8.28515625" style="2" bestFit="1" customWidth="1"/>
    <col min="13" max="13" width="9.28515625" style="2" bestFit="1" customWidth="1"/>
    <col min="14" max="16384" width="8.7109375" style="2"/>
  </cols>
  <sheetData>
    <row r="1" spans="1:13" x14ac:dyDescent="0.25">
      <c r="A1" s="3" t="s">
        <v>47</v>
      </c>
      <c r="B1" s="4" t="s">
        <v>3</v>
      </c>
      <c r="C1" s="2" t="str">
        <f>VLOOKUP(B1,Connect!A2:D3, 4)</f>
        <v>COM4</v>
      </c>
      <c r="D1" s="3" t="s">
        <v>66</v>
      </c>
      <c r="E1" s="2">
        <v>6</v>
      </c>
      <c r="L1" s="3" t="s">
        <v>52</v>
      </c>
      <c r="M1" s="3" t="s">
        <v>51</v>
      </c>
    </row>
    <row r="2" spans="1:13" x14ac:dyDescent="0.25">
      <c r="A2" s="3" t="s">
        <v>139</v>
      </c>
      <c r="B2" t="str">
        <f>_xlfn.CONCAT(Connect!G1, " ", Connect!J1, " ", Connect!D1, " ", B1, " ", C1, " ", E1)</f>
        <v>v1 3 COM6 hp34401a COM4 6</v>
      </c>
      <c r="L2" s="2">
        <v>1</v>
      </c>
      <c r="M2" s="2">
        <v>1</v>
      </c>
    </row>
    <row r="3" spans="1:13" x14ac:dyDescent="0.25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25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25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25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25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25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25">
      <c r="L9" s="2">
        <v>8</v>
      </c>
      <c r="M9" s="2">
        <v>8</v>
      </c>
    </row>
    <row r="10" spans="1:13" x14ac:dyDescent="0.25">
      <c r="L10" s="2">
        <v>9</v>
      </c>
      <c r="M10" s="2">
        <v>9</v>
      </c>
    </row>
    <row r="11" spans="1:13" x14ac:dyDescent="0.25">
      <c r="L11" s="2">
        <v>10</v>
      </c>
      <c r="M11" s="2">
        <v>10</v>
      </c>
    </row>
    <row r="12" spans="1:13" x14ac:dyDescent="0.25">
      <c r="L12" s="2">
        <v>11</v>
      </c>
      <c r="M12" s="2">
        <v>11</v>
      </c>
    </row>
    <row r="13" spans="1:13" x14ac:dyDescent="0.25">
      <c r="L13" s="2">
        <v>12</v>
      </c>
      <c r="M13" s="2">
        <v>12</v>
      </c>
    </row>
    <row r="14" spans="1:13" x14ac:dyDescent="0.25">
      <c r="L14" s="2">
        <v>13</v>
      </c>
      <c r="M14" s="2">
        <v>13</v>
      </c>
    </row>
    <row r="15" spans="1:13" x14ac:dyDescent="0.25">
      <c r="L15" s="2">
        <v>14</v>
      </c>
      <c r="M15" s="2">
        <v>14</v>
      </c>
    </row>
    <row r="16" spans="1:13" x14ac:dyDescent="0.25">
      <c r="L16" s="2">
        <v>15</v>
      </c>
      <c r="M16" s="2">
        <v>15</v>
      </c>
    </row>
    <row r="17" spans="12:13" x14ac:dyDescent="0.25">
      <c r="L17" s="2">
        <v>16</v>
      </c>
      <c r="M17" s="2">
        <v>16</v>
      </c>
    </row>
    <row r="18" spans="12:13" x14ac:dyDescent="0.25">
      <c r="L18" s="2">
        <v>17</v>
      </c>
      <c r="M18" s="2">
        <v>17</v>
      </c>
    </row>
    <row r="19" spans="12:13" x14ac:dyDescent="0.25">
      <c r="L19" s="2">
        <v>18</v>
      </c>
      <c r="M19" s="2">
        <v>18</v>
      </c>
    </row>
    <row r="20" spans="12:13" x14ac:dyDescent="0.25">
      <c r="L20" s="2">
        <v>19</v>
      </c>
      <c r="M20" s="2">
        <v>19</v>
      </c>
    </row>
    <row r="21" spans="12:13" x14ac:dyDescent="0.25">
      <c r="L21" s="2">
        <v>20</v>
      </c>
      <c r="M21" s="2">
        <v>20</v>
      </c>
    </row>
    <row r="22" spans="12:13" x14ac:dyDescent="0.25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209550</xdr:colOff>
                    <xdr:row>2</xdr:row>
                    <xdr:rowOff>95250</xdr:rowOff>
                  </from>
                  <to>
                    <xdr:col>9</xdr:col>
                    <xdr:colOff>400050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209550</xdr:colOff>
                    <xdr:row>5</xdr:row>
                    <xdr:rowOff>95250</xdr:rowOff>
                  </from>
                  <to>
                    <xdr:col>9</xdr:col>
                    <xdr:colOff>400050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M22"/>
  <sheetViews>
    <sheetView workbookViewId="0">
      <selection activeCell="H28" sqref="H28:H41"/>
    </sheetView>
  </sheetViews>
  <sheetFormatPr defaultColWidth="8.7109375" defaultRowHeight="15" x14ac:dyDescent="0.25"/>
  <cols>
    <col min="1" max="11" width="8.7109375" style="2"/>
    <col min="12" max="12" width="8.28515625" style="2" bestFit="1" customWidth="1"/>
    <col min="13" max="13" width="9.28515625" style="2" bestFit="1" customWidth="1"/>
    <col min="14" max="16384" width="8.7109375" style="2"/>
  </cols>
  <sheetData>
    <row r="1" spans="1:13" x14ac:dyDescent="0.25">
      <c r="A1" s="3" t="s">
        <v>47</v>
      </c>
      <c r="B1" s="4" t="s">
        <v>3</v>
      </c>
      <c r="C1" s="2" t="str">
        <f>VLOOKUP(B1,Connect!A2:D3, 4)</f>
        <v>COM4</v>
      </c>
      <c r="D1" s="3" t="s">
        <v>66</v>
      </c>
      <c r="E1" s="2">
        <v>7</v>
      </c>
      <c r="L1" s="3" t="s">
        <v>52</v>
      </c>
      <c r="M1" s="3" t="s">
        <v>51</v>
      </c>
    </row>
    <row r="2" spans="1:13" x14ac:dyDescent="0.25">
      <c r="A2" s="3" t="s">
        <v>139</v>
      </c>
      <c r="B2" t="str">
        <f>_xlfn.CONCAT(Connect!G1, " ", Connect!J1, " ", Connect!D1, " ", B1, " ", C1, " ", E1)</f>
        <v>v1 3 COM6 hp34401a COM4 7</v>
      </c>
      <c r="L2" s="2">
        <v>1</v>
      </c>
      <c r="M2" s="2">
        <v>1</v>
      </c>
    </row>
    <row r="3" spans="1:13" x14ac:dyDescent="0.25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25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25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25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25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25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25">
      <c r="L9" s="2">
        <v>8</v>
      </c>
      <c r="M9" s="2">
        <v>8</v>
      </c>
    </row>
    <row r="10" spans="1:13" x14ac:dyDescent="0.25">
      <c r="L10" s="2">
        <v>9</v>
      </c>
      <c r="M10" s="2">
        <v>9</v>
      </c>
    </row>
    <row r="11" spans="1:13" x14ac:dyDescent="0.25">
      <c r="L11" s="2">
        <v>10</v>
      </c>
      <c r="M11" s="2">
        <v>10</v>
      </c>
    </row>
    <row r="12" spans="1:13" x14ac:dyDescent="0.25">
      <c r="L12" s="2">
        <v>11</v>
      </c>
      <c r="M12" s="2">
        <v>11</v>
      </c>
    </row>
    <row r="13" spans="1:13" x14ac:dyDescent="0.25">
      <c r="L13" s="2">
        <v>12</v>
      </c>
      <c r="M13" s="2">
        <v>12</v>
      </c>
    </row>
    <row r="14" spans="1:13" x14ac:dyDescent="0.25">
      <c r="L14" s="2">
        <v>13</v>
      </c>
      <c r="M14" s="2">
        <v>13</v>
      </c>
    </row>
    <row r="15" spans="1:13" x14ac:dyDescent="0.25">
      <c r="L15" s="2">
        <v>14</v>
      </c>
      <c r="M15" s="2">
        <v>14</v>
      </c>
    </row>
    <row r="16" spans="1:13" x14ac:dyDescent="0.25">
      <c r="L16" s="2">
        <v>15</v>
      </c>
      <c r="M16" s="2">
        <v>15</v>
      </c>
    </row>
    <row r="17" spans="12:13" x14ac:dyDescent="0.25">
      <c r="L17" s="2">
        <v>16</v>
      </c>
      <c r="M17" s="2">
        <v>16</v>
      </c>
    </row>
    <row r="18" spans="12:13" x14ac:dyDescent="0.25">
      <c r="L18" s="2">
        <v>17</v>
      </c>
      <c r="M18" s="2">
        <v>17</v>
      </c>
    </row>
    <row r="19" spans="12:13" x14ac:dyDescent="0.25">
      <c r="L19" s="2">
        <v>18</v>
      </c>
      <c r="M19" s="2">
        <v>18</v>
      </c>
    </row>
    <row r="20" spans="12:13" x14ac:dyDescent="0.25">
      <c r="L20" s="2">
        <v>19</v>
      </c>
      <c r="M20" s="2">
        <v>19</v>
      </c>
    </row>
    <row r="21" spans="12:13" x14ac:dyDescent="0.25">
      <c r="L21" s="2">
        <v>20</v>
      </c>
      <c r="M21" s="2">
        <v>20</v>
      </c>
    </row>
    <row r="22" spans="12:13" x14ac:dyDescent="0.25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209550</xdr:colOff>
                    <xdr:row>2</xdr:row>
                    <xdr:rowOff>95250</xdr:rowOff>
                  </from>
                  <to>
                    <xdr:col>9</xdr:col>
                    <xdr:colOff>400050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209550</xdr:colOff>
                    <xdr:row>5</xdr:row>
                    <xdr:rowOff>95250</xdr:rowOff>
                  </from>
                  <to>
                    <xdr:col>9</xdr:col>
                    <xdr:colOff>400050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L68"/>
  <sheetViews>
    <sheetView topLeftCell="A28" workbookViewId="0">
      <selection activeCell="E8" sqref="E8"/>
    </sheetView>
  </sheetViews>
  <sheetFormatPr defaultColWidth="8.7109375" defaultRowHeight="15" x14ac:dyDescent="0.25"/>
  <cols>
    <col min="1" max="1" width="14.140625" style="2" bestFit="1" customWidth="1"/>
    <col min="2" max="2" width="12.42578125" style="2" bestFit="1" customWidth="1"/>
    <col min="3" max="3" width="11.7109375" style="2" bestFit="1" customWidth="1"/>
    <col min="4" max="10" width="8.7109375" style="2"/>
    <col min="11" max="11" width="14.140625" style="71" bestFit="1" customWidth="1"/>
    <col min="12" max="12" width="9.7109375" style="71" bestFit="1" customWidth="1"/>
    <col min="13" max="16384" width="8.7109375" style="2"/>
  </cols>
  <sheetData>
    <row r="1" spans="1:12" x14ac:dyDescent="0.25">
      <c r="A1" s="3" t="s">
        <v>47</v>
      </c>
      <c r="B1" s="2" t="s">
        <v>65</v>
      </c>
      <c r="C1" s="2" t="s">
        <v>185</v>
      </c>
      <c r="K1" s="71" t="s">
        <v>24</v>
      </c>
      <c r="L1" s="71">
        <v>0</v>
      </c>
    </row>
    <row r="2" spans="1:12" x14ac:dyDescent="0.25">
      <c r="A2" s="3" t="s">
        <v>139</v>
      </c>
      <c r="B2" s="2" t="str">
        <f>_xlfn.CONCAT(Connect!$G$1, " ", Connect!$J$1, " ", Connect!$D$1, " ", B1)</f>
        <v>v1 3 COM6 calibrate</v>
      </c>
      <c r="C2" s="2" t="str">
        <f>_xlfn.CONCAT(Connect!$G$1, " ", Connect!$J$1, " ", Connect!$D$1, " ", C1)</f>
        <v>v1 3 COM6 quality</v>
      </c>
      <c r="K2" s="71" t="s">
        <v>25</v>
      </c>
      <c r="L2" s="71">
        <v>3277.145</v>
      </c>
    </row>
    <row r="3" spans="1:12" x14ac:dyDescent="0.25">
      <c r="A3" s="121"/>
      <c r="B3" s="121"/>
      <c r="C3" s="4"/>
      <c r="D3" s="4"/>
      <c r="E3" s="4"/>
      <c r="F3" s="4"/>
      <c r="G3" s="4"/>
      <c r="H3" s="4"/>
      <c r="K3" s="71" t="s">
        <v>26</v>
      </c>
      <c r="L3" s="71">
        <v>3277.145</v>
      </c>
    </row>
    <row r="4" spans="1:12" x14ac:dyDescent="0.25">
      <c r="A4" s="121"/>
      <c r="B4" s="121"/>
      <c r="C4" s="4"/>
      <c r="D4" s="4"/>
      <c r="E4" s="4"/>
      <c r="F4" s="4"/>
      <c r="G4" s="4"/>
      <c r="H4" s="4"/>
      <c r="K4" s="71" t="s">
        <v>27</v>
      </c>
      <c r="L4" s="71">
        <v>-22.121189999999999</v>
      </c>
    </row>
    <row r="5" spans="1:12" x14ac:dyDescent="0.25">
      <c r="A5" s="121"/>
      <c r="B5" s="121"/>
      <c r="C5" s="4"/>
      <c r="D5" s="4"/>
      <c r="E5" s="4"/>
      <c r="F5" s="4"/>
      <c r="G5" s="4"/>
      <c r="H5" s="4"/>
      <c r="K5" s="71" t="s">
        <v>34</v>
      </c>
      <c r="L5" s="71">
        <v>0</v>
      </c>
    </row>
    <row r="6" spans="1:12" x14ac:dyDescent="0.25">
      <c r="K6" s="71" t="s">
        <v>35</v>
      </c>
      <c r="L6" s="71">
        <v>0</v>
      </c>
    </row>
    <row r="7" spans="1:12" x14ac:dyDescent="0.25">
      <c r="A7" s="3" t="s">
        <v>138</v>
      </c>
      <c r="B7" s="3" t="s">
        <v>139</v>
      </c>
      <c r="C7" s="3" t="s">
        <v>170</v>
      </c>
      <c r="K7" s="71" t="s">
        <v>36</v>
      </c>
      <c r="L7" s="71">
        <v>0</v>
      </c>
    </row>
    <row r="8" spans="1:12" x14ac:dyDescent="0.25">
      <c r="A8" s="2" t="s">
        <v>24</v>
      </c>
      <c r="B8" s="2">
        <f>Data!D35</f>
        <v>3482.6170000000002</v>
      </c>
      <c r="C8" s="2">
        <f>L1</f>
        <v>0</v>
      </c>
      <c r="K8" s="71" t="s">
        <v>37</v>
      </c>
      <c r="L8" s="72">
        <v>3.0598579999999999E-4</v>
      </c>
    </row>
    <row r="9" spans="1:12" x14ac:dyDescent="0.25">
      <c r="A9" s="2" t="s">
        <v>25</v>
      </c>
      <c r="B9" s="2">
        <f>Data!D29</f>
        <v>3277.1151158075113</v>
      </c>
      <c r="C9" s="2">
        <f t="shared" ref="C9:C68" si="0">L2</f>
        <v>3277.145</v>
      </c>
      <c r="K9" s="71" t="s">
        <v>38</v>
      </c>
      <c r="L9" s="72">
        <v>3.0598579999999999E-4</v>
      </c>
    </row>
    <row r="10" spans="1:12" x14ac:dyDescent="0.25">
      <c r="A10" s="2" t="s">
        <v>26</v>
      </c>
      <c r="B10" s="2">
        <f>Data!D26</f>
        <v>3277.0376591667009</v>
      </c>
      <c r="C10" s="2">
        <f t="shared" si="0"/>
        <v>3277.145</v>
      </c>
      <c r="K10" s="71" t="s">
        <v>39</v>
      </c>
      <c r="L10" s="72">
        <v>2.7718209999999998E-3</v>
      </c>
    </row>
    <row r="11" spans="1:12" x14ac:dyDescent="0.25">
      <c r="A11" s="2" t="s">
        <v>27</v>
      </c>
      <c r="B11" s="2">
        <f>Data!D32</f>
        <v>-22.28016891116064</v>
      </c>
      <c r="C11" s="2">
        <f t="shared" si="0"/>
        <v>-22.121189999999999</v>
      </c>
      <c r="K11" s="71" t="s">
        <v>40</v>
      </c>
      <c r="L11" s="72">
        <v>3.0595740000000001E-4</v>
      </c>
    </row>
    <row r="12" spans="1:12" x14ac:dyDescent="0.25">
      <c r="A12" s="2" t="s">
        <v>34</v>
      </c>
      <c r="B12" s="2" t="e">
        <f>Data!F29</f>
        <v>#DIV/0!</v>
      </c>
      <c r="C12" s="2">
        <f t="shared" si="0"/>
        <v>0</v>
      </c>
      <c r="K12" s="71" t="s">
        <v>41</v>
      </c>
      <c r="L12" s="72">
        <v>3.0595740000000001E-4</v>
      </c>
    </row>
    <row r="13" spans="1:12" x14ac:dyDescent="0.25">
      <c r="A13" s="2" t="s">
        <v>35</v>
      </c>
      <c r="B13" s="2" t="e">
        <f>Data!F26</f>
        <v>#DIV/0!</v>
      </c>
      <c r="C13" s="2">
        <f t="shared" si="0"/>
        <v>0</v>
      </c>
      <c r="K13" s="71" t="s">
        <v>42</v>
      </c>
      <c r="L13" s="72">
        <v>2.3204279999999998E-3</v>
      </c>
    </row>
    <row r="14" spans="1:12" x14ac:dyDescent="0.25">
      <c r="A14" s="2" t="s">
        <v>36</v>
      </c>
      <c r="B14" s="2" t="e">
        <f>Data!F32</f>
        <v>#DIV/0!</v>
      </c>
      <c r="C14" s="2">
        <f t="shared" si="0"/>
        <v>0</v>
      </c>
      <c r="K14" s="71" t="s">
        <v>92</v>
      </c>
      <c r="L14" s="72">
        <v>3.635849E-3</v>
      </c>
    </row>
    <row r="15" spans="1:12" x14ac:dyDescent="0.25">
      <c r="A15" s="2" t="s">
        <v>37</v>
      </c>
      <c r="B15" s="2">
        <f>Data!H29</f>
        <v>3.0598639503860253E-4</v>
      </c>
      <c r="C15" s="2">
        <f t="shared" si="0"/>
        <v>3.0598579999999999E-4</v>
      </c>
      <c r="K15" s="71" t="s">
        <v>90</v>
      </c>
      <c r="L15" s="72">
        <v>1.8355809999999999E-4</v>
      </c>
    </row>
    <row r="16" spans="1:12" x14ac:dyDescent="0.25">
      <c r="A16" s="2" t="s">
        <v>38</v>
      </c>
      <c r="B16" s="2">
        <f>Data!H26</f>
        <v>3.0598290474755975E-4</v>
      </c>
      <c r="C16" s="2">
        <f t="shared" si="0"/>
        <v>3.0598579999999999E-4</v>
      </c>
      <c r="K16" s="71" t="s">
        <v>91</v>
      </c>
      <c r="L16" s="72">
        <v>8.8851579999999993E-6</v>
      </c>
    </row>
    <row r="17" spans="1:12" x14ac:dyDescent="0.25">
      <c r="A17" s="2" t="s">
        <v>39</v>
      </c>
      <c r="B17" s="2">
        <f>Data!H32</f>
        <v>3.0244733343606097E-3</v>
      </c>
      <c r="C17" s="2">
        <f t="shared" si="0"/>
        <v>2.7718209999999998E-3</v>
      </c>
      <c r="K17" s="71" t="s">
        <v>93</v>
      </c>
      <c r="L17" s="72">
        <v>4.5928000000000002E-7</v>
      </c>
    </row>
    <row r="18" spans="1:12" x14ac:dyDescent="0.25">
      <c r="A18" s="2" t="s">
        <v>40</v>
      </c>
      <c r="B18" s="2">
        <f>Data!L29</f>
        <v>3.0596034435617132E-4</v>
      </c>
      <c r="C18" s="2">
        <f t="shared" si="0"/>
        <v>3.0595740000000001E-4</v>
      </c>
      <c r="K18" s="71" t="s">
        <v>94</v>
      </c>
      <c r="L18" s="72">
        <v>0</v>
      </c>
    </row>
    <row r="19" spans="1:12" x14ac:dyDescent="0.25">
      <c r="A19" s="2" t="s">
        <v>41</v>
      </c>
      <c r="B19" s="2">
        <f>Data!L26</f>
        <v>3.059597394025893E-4</v>
      </c>
      <c r="C19" s="2">
        <f t="shared" si="0"/>
        <v>3.0595740000000001E-4</v>
      </c>
      <c r="K19" s="71" t="s">
        <v>95</v>
      </c>
      <c r="L19" s="72">
        <v>0</v>
      </c>
    </row>
    <row r="20" spans="1:12" x14ac:dyDescent="0.25">
      <c r="A20" s="2" t="s">
        <v>42</v>
      </c>
      <c r="B20" s="2">
        <f>Data!L32</f>
        <v>2.3981658147427471E-3</v>
      </c>
      <c r="C20" s="2">
        <f t="shared" si="0"/>
        <v>2.3204279999999998E-3</v>
      </c>
      <c r="K20" s="71" t="s">
        <v>96</v>
      </c>
      <c r="L20" s="72">
        <v>0</v>
      </c>
    </row>
    <row r="21" spans="1:12" x14ac:dyDescent="0.25">
      <c r="A21" s="2" t="s">
        <v>92</v>
      </c>
      <c r="B21" s="2">
        <f>Data!Q29</f>
        <v>3.638596514231322E-3</v>
      </c>
      <c r="C21" s="2">
        <f t="shared" si="0"/>
        <v>3.635849E-3</v>
      </c>
      <c r="K21" s="71" t="s">
        <v>97</v>
      </c>
      <c r="L21" s="72">
        <v>0</v>
      </c>
    </row>
    <row r="22" spans="1:12" x14ac:dyDescent="0.25">
      <c r="A22" s="2" t="s">
        <v>90</v>
      </c>
      <c r="B22" s="2">
        <f>Data!W29</f>
        <v>1.837230625333435E-4</v>
      </c>
      <c r="C22" s="2">
        <f t="shared" si="0"/>
        <v>1.8355809999999999E-4</v>
      </c>
      <c r="K22" s="71" t="s">
        <v>98</v>
      </c>
      <c r="L22" s="72">
        <v>3.635849E-3</v>
      </c>
    </row>
    <row r="23" spans="1:12" x14ac:dyDescent="0.25">
      <c r="A23" s="2" t="s">
        <v>91</v>
      </c>
      <c r="B23" s="2">
        <f>Data!AB29</f>
        <v>8.894475593013522E-6</v>
      </c>
      <c r="C23" s="2">
        <f t="shared" si="0"/>
        <v>8.8851579999999993E-6</v>
      </c>
      <c r="K23" s="71" t="s">
        <v>99</v>
      </c>
      <c r="L23" s="72">
        <v>1.8355809999999999E-4</v>
      </c>
    </row>
    <row r="24" spans="1:12" x14ac:dyDescent="0.25">
      <c r="A24" s="2" t="s">
        <v>93</v>
      </c>
      <c r="B24" s="2">
        <f>Data!AG29</f>
        <v>4.5978210118734437E-7</v>
      </c>
      <c r="C24" s="2">
        <f t="shared" si="0"/>
        <v>4.5928000000000002E-7</v>
      </c>
      <c r="K24" s="71" t="s">
        <v>100</v>
      </c>
      <c r="L24" s="72">
        <v>8.8851579999999993E-6</v>
      </c>
    </row>
    <row r="25" spans="1:12" x14ac:dyDescent="0.25">
      <c r="A25" s="2" t="s">
        <v>94</v>
      </c>
      <c r="B25" s="2">
        <f>Data!AL29</f>
        <v>-0.24164177443848983</v>
      </c>
      <c r="C25" s="2">
        <f t="shared" si="0"/>
        <v>0</v>
      </c>
      <c r="K25" s="71" t="s">
        <v>101</v>
      </c>
      <c r="L25" s="72">
        <v>4.5928000000000002E-7</v>
      </c>
    </row>
    <row r="26" spans="1:12" x14ac:dyDescent="0.25">
      <c r="A26" s="2" t="s">
        <v>95</v>
      </c>
      <c r="B26" s="2" t="e">
        <f>Data!AP29</f>
        <v>#DIV/0!</v>
      </c>
      <c r="C26" s="2">
        <f t="shared" si="0"/>
        <v>0</v>
      </c>
      <c r="K26" s="71" t="s">
        <v>102</v>
      </c>
      <c r="L26" s="72">
        <v>0</v>
      </c>
    </row>
    <row r="27" spans="1:12" x14ac:dyDescent="0.25">
      <c r="A27" s="2" t="s">
        <v>96</v>
      </c>
      <c r="B27" s="2" t="e">
        <f>Data!AV29</f>
        <v>#DIV/0!</v>
      </c>
      <c r="C27" s="2">
        <f t="shared" si="0"/>
        <v>0</v>
      </c>
      <c r="K27" s="71" t="s">
        <v>103</v>
      </c>
      <c r="L27" s="72">
        <v>0</v>
      </c>
    </row>
    <row r="28" spans="1:12" x14ac:dyDescent="0.25">
      <c r="A28" s="2" t="s">
        <v>97</v>
      </c>
      <c r="B28" s="2" t="e">
        <f>Data!BA29</f>
        <v>#DIV/0!</v>
      </c>
      <c r="C28" s="2">
        <f t="shared" si="0"/>
        <v>0</v>
      </c>
      <c r="K28" s="71" t="s">
        <v>104</v>
      </c>
      <c r="L28" s="72">
        <v>0</v>
      </c>
    </row>
    <row r="29" spans="1:12" x14ac:dyDescent="0.25">
      <c r="A29" s="2" t="s">
        <v>98</v>
      </c>
      <c r="B29" s="2">
        <f>Data!Q26</f>
        <v>3.6320112350483125E-3</v>
      </c>
      <c r="C29" s="2">
        <f t="shared" si="0"/>
        <v>3.635849E-3</v>
      </c>
      <c r="K29" s="71" t="s">
        <v>105</v>
      </c>
      <c r="L29" s="72">
        <v>0</v>
      </c>
    </row>
    <row r="30" spans="1:12" x14ac:dyDescent="0.25">
      <c r="A30" s="2" t="s">
        <v>99</v>
      </c>
      <c r="B30" s="2">
        <f>Data!W26</f>
        <v>1.833468137877912E-4</v>
      </c>
      <c r="C30" s="2">
        <f t="shared" si="0"/>
        <v>1.8355809999999999E-4</v>
      </c>
      <c r="K30" s="71" t="s">
        <v>106</v>
      </c>
      <c r="L30" s="72">
        <v>7.0085129999999995E-2</v>
      </c>
    </row>
    <row r="31" spans="1:12" x14ac:dyDescent="0.25">
      <c r="A31" s="2" t="s">
        <v>100</v>
      </c>
      <c r="B31" s="2">
        <f>Data!AB26</f>
        <v>8.8799711320466855E-6</v>
      </c>
      <c r="C31" s="2">
        <f t="shared" si="0"/>
        <v>8.8851579999999993E-6</v>
      </c>
      <c r="K31" s="71" t="s">
        <v>107</v>
      </c>
      <c r="L31" s="72">
        <v>3.659477E-3</v>
      </c>
    </row>
    <row r="32" spans="1:12" x14ac:dyDescent="0.25">
      <c r="A32" s="2" t="s">
        <v>101</v>
      </c>
      <c r="B32" s="2">
        <f>Data!AG26</f>
        <v>4.5890014051349238E-7</v>
      </c>
      <c r="C32" s="2">
        <f t="shared" si="0"/>
        <v>4.5928000000000002E-7</v>
      </c>
      <c r="K32" s="71" t="s">
        <v>108</v>
      </c>
      <c r="L32" s="72">
        <v>1.7008769999999999E-4</v>
      </c>
    </row>
    <row r="33" spans="1:12" x14ac:dyDescent="0.25">
      <c r="A33" s="2" t="s">
        <v>102</v>
      </c>
      <c r="B33" s="2">
        <f>Data!AL26</f>
        <v>-3.0572389902239347E-6</v>
      </c>
      <c r="C33" s="2">
        <f t="shared" si="0"/>
        <v>0</v>
      </c>
      <c r="K33" s="71" t="s">
        <v>109</v>
      </c>
      <c r="L33" s="72">
        <v>8.5955980000000007E-6</v>
      </c>
    </row>
    <row r="34" spans="1:12" x14ac:dyDescent="0.25">
      <c r="A34" s="2" t="s">
        <v>103</v>
      </c>
      <c r="B34" s="2" t="e">
        <f>Data!AQ26</f>
        <v>#DIV/0!</v>
      </c>
      <c r="C34" s="2">
        <f t="shared" si="0"/>
        <v>0</v>
      </c>
      <c r="K34" s="71" t="s">
        <v>110</v>
      </c>
      <c r="L34" s="71">
        <v>0</v>
      </c>
    </row>
    <row r="35" spans="1:12" x14ac:dyDescent="0.25">
      <c r="A35" s="2" t="s">
        <v>104</v>
      </c>
      <c r="B35" s="2" t="e">
        <f>Data!AV26</f>
        <v>#DIV/0!</v>
      </c>
      <c r="C35" s="2">
        <f t="shared" si="0"/>
        <v>0</v>
      </c>
      <c r="K35" s="71" t="s">
        <v>111</v>
      </c>
      <c r="L35" s="71">
        <v>0</v>
      </c>
    </row>
    <row r="36" spans="1:12" x14ac:dyDescent="0.25">
      <c r="A36" s="2" t="s">
        <v>105</v>
      </c>
      <c r="B36" s="2" t="e">
        <f>Data!BA26</f>
        <v>#DIV/0!</v>
      </c>
      <c r="C36" s="2">
        <f t="shared" si="0"/>
        <v>0</v>
      </c>
      <c r="K36" s="71" t="s">
        <v>112</v>
      </c>
      <c r="L36" s="71">
        <v>0</v>
      </c>
    </row>
    <row r="37" spans="1:12" x14ac:dyDescent="0.25">
      <c r="A37" s="2" t="s">
        <v>106</v>
      </c>
      <c r="B37" s="2">
        <f>Data!Q32</f>
        <v>6.8649662635427822E-2</v>
      </c>
      <c r="C37" s="2">
        <f t="shared" si="0"/>
        <v>7.0085129999999995E-2</v>
      </c>
      <c r="K37" s="71" t="s">
        <v>113</v>
      </c>
      <c r="L37" s="71">
        <v>0</v>
      </c>
    </row>
    <row r="38" spans="1:12" x14ac:dyDescent="0.25">
      <c r="A38" s="2" t="s">
        <v>107</v>
      </c>
      <c r="B38" s="2">
        <f>Data!W32</f>
        <v>3.6623888996629075E-3</v>
      </c>
      <c r="C38" s="2">
        <f t="shared" si="0"/>
        <v>3.659477E-3</v>
      </c>
      <c r="K38" s="71" t="s">
        <v>114</v>
      </c>
      <c r="L38" s="71">
        <v>50.137650000000001</v>
      </c>
    </row>
    <row r="39" spans="1:12" x14ac:dyDescent="0.25">
      <c r="A39" s="2" t="s">
        <v>108</v>
      </c>
      <c r="B39" s="2">
        <f>Data!AB32</f>
        <v>1.6651606029794753E-4</v>
      </c>
      <c r="C39" s="2">
        <f t="shared" si="0"/>
        <v>1.7008769999999999E-4</v>
      </c>
      <c r="K39" s="71" t="s">
        <v>115</v>
      </c>
      <c r="L39" s="71">
        <v>984.64750000000004</v>
      </c>
    </row>
    <row r="40" spans="1:12" x14ac:dyDescent="0.25">
      <c r="A40" s="2" t="s">
        <v>109</v>
      </c>
      <c r="B40" s="2">
        <f>Data!AG32</f>
        <v>8.669260816046865E-6</v>
      </c>
      <c r="C40" s="2">
        <f t="shared" si="0"/>
        <v>8.5955980000000007E-6</v>
      </c>
      <c r="K40" s="71" t="s">
        <v>116</v>
      </c>
      <c r="L40" s="71">
        <v>20330.05</v>
      </c>
    </row>
    <row r="41" spans="1:12" x14ac:dyDescent="0.25">
      <c r="A41" s="2" t="s">
        <v>110</v>
      </c>
      <c r="B41" s="2">
        <f>Data!AL32</f>
        <v>1008.0451356456728</v>
      </c>
      <c r="C41" s="2">
        <f t="shared" si="0"/>
        <v>0</v>
      </c>
      <c r="K41" s="71" t="s">
        <v>117</v>
      </c>
      <c r="L41" s="71">
        <v>393317.9</v>
      </c>
    </row>
    <row r="42" spans="1:12" x14ac:dyDescent="0.25">
      <c r="A42" s="2" t="s">
        <v>111</v>
      </c>
      <c r="B42" s="2" t="e">
        <f>Data!AQ32</f>
        <v>#DIV/0!</v>
      </c>
      <c r="C42" s="2">
        <f t="shared" si="0"/>
        <v>0</v>
      </c>
      <c r="K42" s="71" t="s">
        <v>118</v>
      </c>
      <c r="L42" s="71">
        <v>0</v>
      </c>
    </row>
    <row r="43" spans="1:12" x14ac:dyDescent="0.25">
      <c r="A43" s="2" t="s">
        <v>112</v>
      </c>
      <c r="B43" s="2" t="e">
        <f>Data!AV32</f>
        <v>#DIV/0!</v>
      </c>
      <c r="C43" s="2">
        <f t="shared" si="0"/>
        <v>0</v>
      </c>
      <c r="K43" s="71" t="s">
        <v>119</v>
      </c>
      <c r="L43" s="71">
        <v>0</v>
      </c>
    </row>
    <row r="44" spans="1:12" x14ac:dyDescent="0.25">
      <c r="A44" s="2" t="s">
        <v>113</v>
      </c>
      <c r="B44" s="2" t="e">
        <f>Data!BA32</f>
        <v>#DIV/0!</v>
      </c>
      <c r="C44" s="2">
        <f t="shared" si="0"/>
        <v>0</v>
      </c>
      <c r="K44" s="71" t="s">
        <v>120</v>
      </c>
      <c r="L44" s="72">
        <v>0</v>
      </c>
    </row>
    <row r="45" spans="1:12" x14ac:dyDescent="0.25">
      <c r="A45" s="2" t="s">
        <v>114</v>
      </c>
      <c r="B45" s="2">
        <f>Data!P29</f>
        <v>50.170430830027527</v>
      </c>
      <c r="C45" s="2">
        <f t="shared" si="0"/>
        <v>50.137650000000001</v>
      </c>
      <c r="K45" s="71" t="s">
        <v>121</v>
      </c>
      <c r="L45" s="72">
        <v>0</v>
      </c>
    </row>
    <row r="46" spans="1:12" x14ac:dyDescent="0.25">
      <c r="A46" s="2" t="s">
        <v>115</v>
      </c>
      <c r="B46" s="2">
        <f>Data!V29</f>
        <v>984.85308368615256</v>
      </c>
      <c r="C46" s="2">
        <f t="shared" si="0"/>
        <v>984.64750000000004</v>
      </c>
      <c r="K46" s="71" t="s">
        <v>122</v>
      </c>
      <c r="L46" s="71">
        <v>50.137650000000001</v>
      </c>
    </row>
    <row r="47" spans="1:12" x14ac:dyDescent="0.25">
      <c r="A47" s="2" t="s">
        <v>116</v>
      </c>
      <c r="B47" s="2">
        <f>Data!AA29</f>
        <v>20336.766405499715</v>
      </c>
      <c r="C47" s="2">
        <f t="shared" si="0"/>
        <v>20330.05</v>
      </c>
      <c r="K47" s="71" t="s">
        <v>123</v>
      </c>
      <c r="L47" s="71">
        <v>984.64750000000004</v>
      </c>
    </row>
    <row r="48" spans="1:12" x14ac:dyDescent="0.25">
      <c r="A48" s="2" t="s">
        <v>117</v>
      </c>
      <c r="B48" s="2">
        <f>Data!AF29</f>
        <v>393406.29328668496</v>
      </c>
      <c r="C48" s="2">
        <f t="shared" si="0"/>
        <v>393317.9</v>
      </c>
      <c r="K48" s="71" t="s">
        <v>124</v>
      </c>
      <c r="L48" s="71">
        <v>20330.05</v>
      </c>
    </row>
    <row r="49" spans="1:12" x14ac:dyDescent="0.25">
      <c r="A49" s="2" t="s">
        <v>118</v>
      </c>
      <c r="B49" s="2">
        <f>Data!AK29</f>
        <v>7.7986551900135134E-2</v>
      </c>
      <c r="C49" s="2">
        <f t="shared" si="0"/>
        <v>0</v>
      </c>
      <c r="K49" s="71" t="s">
        <v>125</v>
      </c>
      <c r="L49" s="71">
        <v>393317.9</v>
      </c>
    </row>
    <row r="50" spans="1:12" x14ac:dyDescent="0.25">
      <c r="A50" s="2" t="s">
        <v>119</v>
      </c>
      <c r="B50" s="2" t="e">
        <f>Data!AP29</f>
        <v>#DIV/0!</v>
      </c>
      <c r="C50" s="2">
        <f t="shared" si="0"/>
        <v>0</v>
      </c>
      <c r="K50" s="71" t="s">
        <v>126</v>
      </c>
      <c r="L50" s="71">
        <v>0</v>
      </c>
    </row>
    <row r="51" spans="1:12" x14ac:dyDescent="0.25">
      <c r="A51" s="2" t="s">
        <v>120</v>
      </c>
      <c r="B51" s="2" t="e">
        <f>Data!AU29</f>
        <v>#DIV/0!</v>
      </c>
      <c r="C51" s="2">
        <f t="shared" si="0"/>
        <v>0</v>
      </c>
      <c r="K51" s="71" t="s">
        <v>127</v>
      </c>
      <c r="L51" s="71">
        <v>0</v>
      </c>
    </row>
    <row r="52" spans="1:12" x14ac:dyDescent="0.25">
      <c r="A52" s="2" t="s">
        <v>121</v>
      </c>
      <c r="B52" s="2" t="e">
        <f>Data!AZ29</f>
        <v>#DIV/0!</v>
      </c>
      <c r="C52" s="2">
        <f t="shared" si="0"/>
        <v>0</v>
      </c>
      <c r="K52" s="71" t="s">
        <v>128</v>
      </c>
      <c r="L52" s="72">
        <v>0</v>
      </c>
    </row>
    <row r="53" spans="1:12" x14ac:dyDescent="0.25">
      <c r="A53" s="2" t="s">
        <v>122</v>
      </c>
      <c r="B53" s="2">
        <f>Data!P26</f>
        <v>50.147719784565787</v>
      </c>
      <c r="C53" s="2">
        <f t="shared" si="0"/>
        <v>50.137650000000001</v>
      </c>
      <c r="K53" s="71" t="s">
        <v>129</v>
      </c>
      <c r="L53" s="72">
        <v>0</v>
      </c>
    </row>
    <row r="54" spans="1:12" x14ac:dyDescent="0.25">
      <c r="A54" s="2" t="s">
        <v>123</v>
      </c>
      <c r="B54" s="2">
        <f>Data!V26</f>
        <v>984.53292489872729</v>
      </c>
      <c r="C54" s="2">
        <f t="shared" si="0"/>
        <v>984.64750000000004</v>
      </c>
      <c r="K54" s="71" t="s">
        <v>130</v>
      </c>
      <c r="L54" s="71">
        <v>0</v>
      </c>
    </row>
    <row r="55" spans="1:12" x14ac:dyDescent="0.25">
      <c r="A55" s="2" t="s">
        <v>124</v>
      </c>
      <c r="B55" s="2">
        <f>Data!AA26</f>
        <v>20320.929670428603</v>
      </c>
      <c r="C55" s="2">
        <f t="shared" si="0"/>
        <v>20330.05</v>
      </c>
      <c r="K55" s="71" t="s">
        <v>131</v>
      </c>
      <c r="L55" s="71">
        <v>0</v>
      </c>
    </row>
    <row r="56" spans="1:12" x14ac:dyDescent="0.25">
      <c r="A56" s="2" t="s">
        <v>125</v>
      </c>
      <c r="B56" s="2">
        <f>Data!AF26</f>
        <v>393246.87336821563</v>
      </c>
      <c r="C56" s="2">
        <f t="shared" si="0"/>
        <v>393317.9</v>
      </c>
      <c r="K56" s="71" t="s">
        <v>132</v>
      </c>
      <c r="L56" s="71">
        <v>0</v>
      </c>
    </row>
    <row r="57" spans="1:12" x14ac:dyDescent="0.25">
      <c r="A57" s="2" t="s">
        <v>126</v>
      </c>
      <c r="B57" s="2">
        <f>Data!AK26</f>
        <v>0.14583787819293539</v>
      </c>
      <c r="C57" s="2">
        <f t="shared" si="0"/>
        <v>0</v>
      </c>
      <c r="K57" s="71" t="s">
        <v>133</v>
      </c>
      <c r="L57" s="71">
        <v>0</v>
      </c>
    </row>
    <row r="58" spans="1:12" x14ac:dyDescent="0.25">
      <c r="A58" s="2" t="s">
        <v>127</v>
      </c>
      <c r="B58" s="2" t="e">
        <f>Data!AP26</f>
        <v>#DIV/0!</v>
      </c>
      <c r="C58" s="2">
        <f t="shared" si="0"/>
        <v>0</v>
      </c>
      <c r="K58" s="71" t="s">
        <v>134</v>
      </c>
      <c r="L58" s="71">
        <v>0</v>
      </c>
    </row>
    <row r="59" spans="1:12" x14ac:dyDescent="0.25">
      <c r="A59" s="2" t="s">
        <v>128</v>
      </c>
      <c r="B59" s="2" t="e">
        <f>Data!AU26</f>
        <v>#DIV/0!</v>
      </c>
      <c r="C59" s="2">
        <f t="shared" si="0"/>
        <v>0</v>
      </c>
      <c r="K59" s="71" t="s">
        <v>135</v>
      </c>
      <c r="L59" s="71">
        <v>0</v>
      </c>
    </row>
    <row r="60" spans="1:12" x14ac:dyDescent="0.25">
      <c r="A60" s="2" t="s">
        <v>129</v>
      </c>
      <c r="B60" s="2" t="e">
        <f>Data!AZ26</f>
        <v>#DIV/0!</v>
      </c>
      <c r="C60" s="2">
        <f t="shared" si="0"/>
        <v>0</v>
      </c>
      <c r="K60" s="71" t="s">
        <v>136</v>
      </c>
      <c r="L60" s="71">
        <v>0</v>
      </c>
    </row>
    <row r="61" spans="1:12" x14ac:dyDescent="0.25">
      <c r="A61" s="2" t="s">
        <v>130</v>
      </c>
      <c r="B61" s="2">
        <f>Data!P32</f>
        <v>-17.777210528871397</v>
      </c>
      <c r="C61" s="2">
        <f t="shared" si="0"/>
        <v>0</v>
      </c>
      <c r="K61" s="71" t="s">
        <v>137</v>
      </c>
      <c r="L61" s="71">
        <v>0</v>
      </c>
    </row>
    <row r="62" spans="1:12" x14ac:dyDescent="0.25">
      <c r="A62" s="2" t="s">
        <v>131</v>
      </c>
      <c r="B62" s="2">
        <f>Data!V32</f>
        <v>-14.748645031440319</v>
      </c>
      <c r="C62" s="2">
        <f t="shared" si="0"/>
        <v>0</v>
      </c>
    </row>
    <row r="63" spans="1:12" x14ac:dyDescent="0.25">
      <c r="A63" s="2" t="s">
        <v>132</v>
      </c>
      <c r="B63" s="2">
        <f>Data!AA32</f>
        <v>-14.531201956881581</v>
      </c>
      <c r="C63" s="2">
        <f t="shared" si="0"/>
        <v>0</v>
      </c>
    </row>
    <row r="64" spans="1:12" x14ac:dyDescent="0.25">
      <c r="A64" s="2" t="s">
        <v>133</v>
      </c>
      <c r="B64" s="2">
        <f>Data!AF32</f>
        <v>-11.45162716710864</v>
      </c>
      <c r="C64" s="2">
        <f t="shared" si="0"/>
        <v>0</v>
      </c>
    </row>
    <row r="65" spans="1:3" x14ac:dyDescent="0.25">
      <c r="A65" s="2" t="s">
        <v>134</v>
      </c>
      <c r="B65" s="2">
        <f>Data!AK32</f>
        <v>-251.2200648839094</v>
      </c>
      <c r="C65" s="2">
        <f t="shared" si="0"/>
        <v>0</v>
      </c>
    </row>
    <row r="66" spans="1:3" x14ac:dyDescent="0.25">
      <c r="A66" s="2" t="s">
        <v>135</v>
      </c>
      <c r="B66" s="2" t="e">
        <f>Data!AP32</f>
        <v>#DIV/0!</v>
      </c>
      <c r="C66" s="2">
        <f t="shared" si="0"/>
        <v>0</v>
      </c>
    </row>
    <row r="67" spans="1:3" x14ac:dyDescent="0.25">
      <c r="A67" s="2" t="s">
        <v>136</v>
      </c>
      <c r="B67" s="2" t="e">
        <f>Data!AU32</f>
        <v>#DIV/0!</v>
      </c>
      <c r="C67" s="2">
        <f t="shared" si="0"/>
        <v>0</v>
      </c>
    </row>
    <row r="68" spans="1:3" x14ac:dyDescent="0.25">
      <c r="A68" s="2" t="s">
        <v>137</v>
      </c>
      <c r="B68" s="2" t="e">
        <f>Data!AZ32</f>
        <v>#DIV/0!</v>
      </c>
      <c r="C68" s="2">
        <f t="shared" si="0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alibrate">
                <anchor moveWithCells="1" sizeWithCells="1">
                  <from>
                    <xdr:col>0</xdr:col>
                    <xdr:colOff>209550</xdr:colOff>
                    <xdr:row>2</xdr:row>
                    <xdr:rowOff>95250</xdr:rowOff>
                  </from>
                  <to>
                    <xdr:col>1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ImportCSVFile">
                <anchor moveWithCells="1" sizeWithCells="1">
                  <from>
                    <xdr:col>3</xdr:col>
                    <xdr:colOff>590550</xdr:colOff>
                    <xdr:row>2</xdr:row>
                    <xdr:rowOff>95250</xdr:rowOff>
                  </from>
                  <to>
                    <xdr:col>7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SendCalData">
                <anchor moveWithCells="1" sizeWithCells="1">
                  <from>
                    <xdr:col>2</xdr:col>
                    <xdr:colOff>95250</xdr:colOff>
                    <xdr:row>2</xdr:row>
                    <xdr:rowOff>95250</xdr:rowOff>
                  </from>
                  <to>
                    <xdr:col>3</xdr:col>
                    <xdr:colOff>438150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G9"/>
  <sheetViews>
    <sheetView workbookViewId="0">
      <selection activeCell="B9" sqref="B9"/>
    </sheetView>
  </sheetViews>
  <sheetFormatPr defaultColWidth="8.7109375" defaultRowHeight="15" x14ac:dyDescent="0.25"/>
  <cols>
    <col min="1" max="1" width="22.42578125" style="2" bestFit="1" customWidth="1"/>
    <col min="2" max="2" width="44.28515625" style="2" customWidth="1"/>
    <col min="3" max="3" width="9.5703125" style="2" customWidth="1"/>
    <col min="4" max="16384" width="8.7109375" style="2"/>
  </cols>
  <sheetData>
    <row r="1" spans="1:7" x14ac:dyDescent="0.25">
      <c r="A1" s="3" t="s">
        <v>183</v>
      </c>
      <c r="B1" t="str">
        <f>_xlfn.CONCAT(Connect!$G$1, " ", Connect!$J$1, " ", Connect!$D$1, " ", "save_hw_data")</f>
        <v>v1 3 COM6 save_hw_data</v>
      </c>
    </row>
    <row r="2" spans="1:7" x14ac:dyDescent="0.25">
      <c r="A2" s="3" t="s">
        <v>184</v>
      </c>
      <c r="B2" t="str">
        <f>_xlfn.CONCAT(Connect!$G$1, " ", Connect!$J$1, " ", Connect!$D$1, " ", "send_hw_data")</f>
        <v>v1 3 COM6 send_hw_data</v>
      </c>
    </row>
    <row r="3" spans="1:7" x14ac:dyDescent="0.25">
      <c r="A3" s="121"/>
      <c r="B3" s="121"/>
      <c r="C3" s="4"/>
      <c r="D3" s="4"/>
      <c r="E3" s="4"/>
      <c r="F3" s="4"/>
      <c r="G3" s="4"/>
    </row>
    <row r="4" spans="1:7" x14ac:dyDescent="0.25">
      <c r="A4" s="121"/>
      <c r="B4" s="121"/>
      <c r="C4" s="4"/>
      <c r="D4" s="4"/>
      <c r="E4" s="4"/>
      <c r="F4" s="4"/>
      <c r="G4" s="4"/>
    </row>
    <row r="5" spans="1:7" x14ac:dyDescent="0.25">
      <c r="A5" s="121"/>
      <c r="B5" s="121"/>
      <c r="C5" s="4"/>
      <c r="D5" s="4"/>
      <c r="E5" s="4"/>
      <c r="F5" s="4"/>
      <c r="G5" s="4"/>
    </row>
    <row r="7" spans="1:7" x14ac:dyDescent="0.25">
      <c r="A7" s="3" t="s">
        <v>161</v>
      </c>
      <c r="B7" s="63" t="s">
        <v>162</v>
      </c>
      <c r="C7" s="2">
        <f>VLOOKUP(B7,Internal!M2:N9,2,FALSE)</f>
        <v>0</v>
      </c>
    </row>
    <row r="8" spans="1:7" x14ac:dyDescent="0.25">
      <c r="A8" s="3" t="s">
        <v>163</v>
      </c>
      <c r="B8" s="63" t="s">
        <v>204</v>
      </c>
    </row>
    <row r="9" spans="1:7" ht="75" x14ac:dyDescent="0.25">
      <c r="A9" s="64" t="s">
        <v>164</v>
      </c>
      <c r="B9" s="65" t="s">
        <v>205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SaveHwData">
                <anchor moveWithCells="1" sizeWithCells="1">
                  <from>
                    <xdr:col>0</xdr:col>
                    <xdr:colOff>171450</xdr:colOff>
                    <xdr:row>2</xdr:row>
                    <xdr:rowOff>104775</xdr:rowOff>
                  </from>
                  <to>
                    <xdr:col>1</xdr:col>
                    <xdr:colOff>2847975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RunSquidstatCalibrator">
                <anchor moveWithCells="1" sizeWithCells="1">
                  <from>
                    <xdr:col>2</xdr:col>
                    <xdr:colOff>133350</xdr:colOff>
                    <xdr:row>2</xdr:row>
                    <xdr:rowOff>114300</xdr:rowOff>
                  </from>
                  <to>
                    <xdr:col>6</xdr:col>
                    <xdr:colOff>428625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Internal!$M$2:$M$9</xm:f>
          </x14:formula1>
          <xm:sqref>B7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N41"/>
  <sheetViews>
    <sheetView workbookViewId="0">
      <selection activeCell="M8" sqref="M8"/>
    </sheetView>
  </sheetViews>
  <sheetFormatPr defaultRowHeight="15" x14ac:dyDescent="0.25"/>
  <cols>
    <col min="1" max="1" width="16.28515625" bestFit="1" customWidth="1"/>
    <col min="2" max="2" width="10.28515625" customWidth="1"/>
    <col min="3" max="3" width="6.85546875" bestFit="1" customWidth="1"/>
    <col min="4" max="5" width="8.7109375" bestFit="1" customWidth="1"/>
    <col min="6" max="6" width="11.28515625" bestFit="1" customWidth="1"/>
    <col min="8" max="8" width="18.140625" bestFit="1" customWidth="1"/>
    <col min="9" max="9" width="9.5703125" style="11" bestFit="1" customWidth="1"/>
    <col min="10" max="10" width="8.85546875" style="54" bestFit="1" customWidth="1"/>
    <col min="11" max="11" width="20.42578125" bestFit="1" customWidth="1"/>
    <col min="12" max="12" width="12.5703125" bestFit="1" customWidth="1"/>
  </cols>
  <sheetData>
    <row r="1" spans="1:14" s="1" customFormat="1" ht="15.75" thickBot="1" x14ac:dyDescent="0.3">
      <c r="A1" s="1" t="s">
        <v>4</v>
      </c>
      <c r="B1" s="1" t="s">
        <v>1</v>
      </c>
      <c r="C1" s="1" t="s">
        <v>66</v>
      </c>
      <c r="D1" s="1" t="s">
        <v>155</v>
      </c>
      <c r="E1" s="1" t="s">
        <v>156</v>
      </c>
      <c r="F1" s="1" t="s">
        <v>157</v>
      </c>
      <c r="G1" s="1" t="s">
        <v>64</v>
      </c>
      <c r="H1" s="1" t="s">
        <v>9</v>
      </c>
      <c r="I1" s="57" t="s">
        <v>88</v>
      </c>
      <c r="J1" s="57" t="s">
        <v>87</v>
      </c>
      <c r="K1" s="1" t="s">
        <v>140</v>
      </c>
      <c r="L1" s="1" t="s">
        <v>154</v>
      </c>
      <c r="M1" s="1" t="s">
        <v>196</v>
      </c>
    </row>
    <row r="2" spans="1:14" x14ac:dyDescent="0.25">
      <c r="A2" t="s">
        <v>5</v>
      </c>
      <c r="B2" t="s">
        <v>2</v>
      </c>
      <c r="C2" t="s">
        <v>8</v>
      </c>
      <c r="F2">
        <v>10</v>
      </c>
      <c r="G2">
        <v>0</v>
      </c>
      <c r="H2" t="s">
        <v>67</v>
      </c>
      <c r="I2" s="11">
        <v>-5000</v>
      </c>
      <c r="J2" s="11">
        <v>-32750</v>
      </c>
      <c r="K2" t="s">
        <v>141</v>
      </c>
      <c r="L2">
        <v>32768</v>
      </c>
      <c r="M2" t="s">
        <v>162</v>
      </c>
      <c r="N2">
        <v>0</v>
      </c>
    </row>
    <row r="3" spans="1:14" x14ac:dyDescent="0.25">
      <c r="A3" t="s">
        <v>6</v>
      </c>
      <c r="B3" t="s">
        <v>3</v>
      </c>
      <c r="C3">
        <v>0</v>
      </c>
      <c r="D3" s="62">
        <f>0.1*1000</f>
        <v>100</v>
      </c>
      <c r="E3">
        <v>1000</v>
      </c>
      <c r="F3">
        <f>IF(Connect!G1=Internal!$A$2,Internal!D3,Internal!E3)</f>
        <v>100</v>
      </c>
      <c r="G3">
        <v>1</v>
      </c>
      <c r="H3" t="s">
        <v>68</v>
      </c>
      <c r="I3" s="11">
        <v>-4500</v>
      </c>
      <c r="J3" s="11">
        <v>-29475</v>
      </c>
      <c r="L3">
        <v>32767</v>
      </c>
      <c r="M3" t="s">
        <v>197</v>
      </c>
      <c r="N3">
        <v>1</v>
      </c>
    </row>
    <row r="4" spans="1:14" x14ac:dyDescent="0.25">
      <c r="B4" t="s">
        <v>65</v>
      </c>
      <c r="C4">
        <v>1</v>
      </c>
      <c r="D4" s="98">
        <f>0.005*1000</f>
        <v>5</v>
      </c>
      <c r="E4">
        <v>100</v>
      </c>
      <c r="F4">
        <f>IF(Connect!G2=Internal!$A$2,Internal!D4,Internal!E4)</f>
        <v>100</v>
      </c>
      <c r="G4">
        <v>2</v>
      </c>
      <c r="H4" t="s">
        <v>61</v>
      </c>
      <c r="I4" s="11">
        <v>-4000</v>
      </c>
      <c r="J4" s="11">
        <v>-26200</v>
      </c>
      <c r="M4" t="s">
        <v>198</v>
      </c>
      <c r="N4">
        <v>2</v>
      </c>
    </row>
    <row r="5" spans="1:14" x14ac:dyDescent="0.25">
      <c r="C5">
        <v>2</v>
      </c>
      <c r="D5" s="98">
        <f>0.0002*1000</f>
        <v>0.2</v>
      </c>
      <c r="E5">
        <v>10</v>
      </c>
      <c r="F5">
        <f>IF(Connect!G3=Internal!$A$2,Internal!D5,Internal!E5)</f>
        <v>10</v>
      </c>
      <c r="G5">
        <v>3</v>
      </c>
      <c r="H5" t="s">
        <v>10</v>
      </c>
      <c r="I5" s="11">
        <v>-3500</v>
      </c>
      <c r="J5" s="11">
        <v>-22925</v>
      </c>
      <c r="M5" t="s">
        <v>199</v>
      </c>
      <c r="N5">
        <v>3</v>
      </c>
    </row>
    <row r="6" spans="1:14" x14ac:dyDescent="0.25">
      <c r="C6">
        <v>3</v>
      </c>
      <c r="D6" s="98">
        <f>0.00001*1000</f>
        <v>0.01</v>
      </c>
      <c r="E6">
        <v>1</v>
      </c>
      <c r="F6">
        <f>IF(Connect!G4=Internal!$A$2,Internal!D6,Internal!E6)</f>
        <v>1</v>
      </c>
      <c r="H6" t="s">
        <v>69</v>
      </c>
      <c r="I6" s="11">
        <v>-3000</v>
      </c>
      <c r="J6" s="11">
        <v>-19650</v>
      </c>
      <c r="M6" t="s">
        <v>200</v>
      </c>
      <c r="N6">
        <v>4</v>
      </c>
    </row>
    <row r="7" spans="1:14" x14ac:dyDescent="0.25">
      <c r="C7">
        <v>4</v>
      </c>
      <c r="E7" s="62">
        <v>0.1</v>
      </c>
      <c r="F7">
        <f>IF(Connect!G5=Internal!$A$2,Internal!D7,Internal!E7)</f>
        <v>0.1</v>
      </c>
      <c r="H7" t="s">
        <v>0</v>
      </c>
      <c r="I7" s="11">
        <v>-2500</v>
      </c>
      <c r="J7" s="11">
        <v>-16375</v>
      </c>
      <c r="M7" t="s">
        <v>201</v>
      </c>
      <c r="N7">
        <v>5</v>
      </c>
    </row>
    <row r="8" spans="1:14" x14ac:dyDescent="0.25">
      <c r="C8">
        <v>5</v>
      </c>
      <c r="E8" s="62">
        <v>0.01</v>
      </c>
      <c r="F8">
        <f>IF(Connect!G6=Internal!$A$2,Internal!D8,Internal!E8)</f>
        <v>0.01</v>
      </c>
      <c r="H8" t="s">
        <v>70</v>
      </c>
      <c r="I8" s="11">
        <v>-2000</v>
      </c>
      <c r="J8" s="11">
        <v>-13100</v>
      </c>
      <c r="M8" t="s">
        <v>202</v>
      </c>
      <c r="N8">
        <v>6</v>
      </c>
    </row>
    <row r="9" spans="1:14" x14ac:dyDescent="0.25">
      <c r="C9">
        <v>6</v>
      </c>
      <c r="E9" s="62">
        <v>1E-3</v>
      </c>
      <c r="F9">
        <f>IF(Connect!G7=Internal!$A$2,Internal!D9,Internal!E9)</f>
        <v>1E-3</v>
      </c>
      <c r="H9" t="s">
        <v>71</v>
      </c>
      <c r="I9" s="11">
        <v>-1500</v>
      </c>
      <c r="J9" s="11">
        <v>-9825</v>
      </c>
      <c r="M9" t="s">
        <v>203</v>
      </c>
      <c r="N9">
        <v>7</v>
      </c>
    </row>
    <row r="10" spans="1:14" x14ac:dyDescent="0.25">
      <c r="C10">
        <v>7</v>
      </c>
      <c r="E10" s="62">
        <v>1E-4</v>
      </c>
      <c r="F10">
        <f>IF(Connect!G8=Internal!$A$2,Internal!D10,Internal!E10)</f>
        <v>1E-4</v>
      </c>
      <c r="H10" t="s">
        <v>72</v>
      </c>
      <c r="I10" s="11">
        <v>-1000</v>
      </c>
      <c r="J10" s="11">
        <v>-6550</v>
      </c>
    </row>
    <row r="11" spans="1:14" x14ac:dyDescent="0.25">
      <c r="H11" t="s">
        <v>73</v>
      </c>
      <c r="I11" s="11">
        <v>-500</v>
      </c>
      <c r="J11" s="11">
        <v>-3275</v>
      </c>
    </row>
    <row r="12" spans="1:14" x14ac:dyDescent="0.25">
      <c r="H12" t="s">
        <v>74</v>
      </c>
      <c r="I12" s="17">
        <v>0</v>
      </c>
      <c r="J12" s="17">
        <v>0</v>
      </c>
    </row>
    <row r="13" spans="1:14" x14ac:dyDescent="0.25">
      <c r="H13" t="s">
        <v>75</v>
      </c>
      <c r="I13" s="11">
        <v>500</v>
      </c>
      <c r="J13" s="11">
        <v>3275</v>
      </c>
    </row>
    <row r="14" spans="1:14" x14ac:dyDescent="0.25">
      <c r="H14" t="s">
        <v>76</v>
      </c>
      <c r="I14" s="11">
        <v>1000</v>
      </c>
      <c r="J14" s="11">
        <v>6550</v>
      </c>
    </row>
    <row r="15" spans="1:14" x14ac:dyDescent="0.25">
      <c r="H15" t="s">
        <v>77</v>
      </c>
      <c r="I15" s="11">
        <v>1500</v>
      </c>
      <c r="J15" s="11">
        <v>9825</v>
      </c>
    </row>
    <row r="16" spans="1:14" x14ac:dyDescent="0.25">
      <c r="H16" t="s">
        <v>78</v>
      </c>
      <c r="I16" s="11">
        <v>2000</v>
      </c>
      <c r="J16" s="11">
        <v>13100</v>
      </c>
    </row>
    <row r="17" spans="8:10" x14ac:dyDescent="0.25">
      <c r="H17" t="s">
        <v>79</v>
      </c>
      <c r="I17" s="11">
        <v>2500</v>
      </c>
      <c r="J17" s="11">
        <v>16375</v>
      </c>
    </row>
    <row r="18" spans="8:10" x14ac:dyDescent="0.25">
      <c r="H18" t="s">
        <v>80</v>
      </c>
      <c r="I18" s="11">
        <v>3000</v>
      </c>
      <c r="J18" s="11">
        <v>19650</v>
      </c>
    </row>
    <row r="19" spans="8:10" x14ac:dyDescent="0.25">
      <c r="H19" t="s">
        <v>81</v>
      </c>
      <c r="I19" s="11">
        <v>3500</v>
      </c>
      <c r="J19" s="11">
        <v>22925</v>
      </c>
    </row>
    <row r="20" spans="8:10" x14ac:dyDescent="0.25">
      <c r="H20" t="s">
        <v>82</v>
      </c>
      <c r="I20" s="11">
        <v>4000</v>
      </c>
      <c r="J20" s="11">
        <v>26200</v>
      </c>
    </row>
    <row r="21" spans="8:10" x14ac:dyDescent="0.25">
      <c r="H21" t="s">
        <v>83</v>
      </c>
      <c r="I21" s="11">
        <v>4500</v>
      </c>
      <c r="J21" s="11">
        <v>29475</v>
      </c>
    </row>
    <row r="22" spans="8:10" x14ac:dyDescent="0.25">
      <c r="H22" t="s">
        <v>84</v>
      </c>
      <c r="I22" s="22">
        <v>5000</v>
      </c>
      <c r="J22" s="22">
        <v>32750</v>
      </c>
    </row>
    <row r="23" spans="8:10" x14ac:dyDescent="0.25">
      <c r="H23" t="s">
        <v>85</v>
      </c>
    </row>
    <row r="24" spans="8:10" x14ac:dyDescent="0.25">
      <c r="H24" t="s">
        <v>144</v>
      </c>
      <c r="I24" s="31"/>
      <c r="J24" s="55"/>
    </row>
    <row r="25" spans="8:10" x14ac:dyDescent="0.25">
      <c r="H25" t="s">
        <v>145</v>
      </c>
    </row>
    <row r="26" spans="8:10" x14ac:dyDescent="0.25">
      <c r="H26" t="s">
        <v>146</v>
      </c>
    </row>
    <row r="27" spans="8:10" x14ac:dyDescent="0.25">
      <c r="H27" t="s">
        <v>147</v>
      </c>
      <c r="I27" s="31"/>
      <c r="J27" s="55"/>
    </row>
    <row r="28" spans="8:10" x14ac:dyDescent="0.25">
      <c r="H28" t="s">
        <v>148</v>
      </c>
    </row>
    <row r="29" spans="8:10" x14ac:dyDescent="0.25">
      <c r="H29" t="s">
        <v>149</v>
      </c>
    </row>
    <row r="30" spans="8:10" x14ac:dyDescent="0.25">
      <c r="H30" t="s">
        <v>150</v>
      </c>
      <c r="I30" s="31"/>
      <c r="J30" s="55"/>
    </row>
    <row r="31" spans="8:10" x14ac:dyDescent="0.25">
      <c r="H31" t="s">
        <v>151</v>
      </c>
    </row>
    <row r="32" spans="8:10" x14ac:dyDescent="0.25">
      <c r="H32" t="s">
        <v>186</v>
      </c>
    </row>
    <row r="33" spans="8:10" x14ac:dyDescent="0.25">
      <c r="H33" t="s">
        <v>187</v>
      </c>
      <c r="I33" s="36"/>
      <c r="J33" s="56"/>
    </row>
    <row r="34" spans="8:10" x14ac:dyDescent="0.25">
      <c r="H34" t="s">
        <v>188</v>
      </c>
    </row>
    <row r="35" spans="8:10" x14ac:dyDescent="0.25">
      <c r="H35" t="s">
        <v>189</v>
      </c>
    </row>
    <row r="36" spans="8:10" x14ac:dyDescent="0.25">
      <c r="H36" t="s">
        <v>190</v>
      </c>
    </row>
    <row r="37" spans="8:10" x14ac:dyDescent="0.25">
      <c r="H37" t="s">
        <v>191</v>
      </c>
    </row>
    <row r="38" spans="8:10" x14ac:dyDescent="0.25">
      <c r="H38" t="s">
        <v>192</v>
      </c>
    </row>
    <row r="39" spans="8:10" x14ac:dyDescent="0.25">
      <c r="H39" t="s">
        <v>193</v>
      </c>
    </row>
    <row r="40" spans="8:10" x14ac:dyDescent="0.25">
      <c r="H40" t="s">
        <v>194</v>
      </c>
    </row>
    <row r="41" spans="8:10" x14ac:dyDescent="0.25">
      <c r="H41" t="s">
        <v>195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C3F1C1-674C-46A2-91EB-68C5DCD98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432</vt:i4>
      </vt:variant>
    </vt:vector>
  </HeadingPairs>
  <TitlesOfParts>
    <vt:vector size="446" baseType="lpstr">
      <vt:lpstr>Connect</vt:lpstr>
      <vt:lpstr>Data</vt:lpstr>
      <vt:lpstr>Voltage</vt:lpstr>
      <vt:lpstr>Range 0</vt:lpstr>
      <vt:lpstr>Range 1</vt:lpstr>
      <vt:lpstr>Range 2</vt:lpstr>
      <vt:lpstr>Range 3</vt:lpstr>
      <vt:lpstr>Range 4</vt:lpstr>
      <vt:lpstr>Range 5</vt:lpstr>
      <vt:lpstr>Range 6</vt:lpstr>
      <vt:lpstr>Range 7</vt:lpstr>
      <vt:lpstr>Calibrate</vt:lpstr>
      <vt:lpstr>Hardware Data</vt:lpstr>
      <vt:lpstr>Internal</vt:lpstr>
      <vt:lpstr>CUR_RNG_R0</vt:lpstr>
      <vt:lpstr>CUR_RNG_R1</vt:lpstr>
      <vt:lpstr>CUR_RNG_R2</vt:lpstr>
      <vt:lpstr>CUR_RNG_R3</vt:lpstr>
      <vt:lpstr>CUR_RNG_R4</vt:lpstr>
      <vt:lpstr>CUR_RNG_R5</vt:lpstr>
      <vt:lpstr>CUR_RNG_R6</vt:lpstr>
      <vt:lpstr>CUR_RNG_R7</vt:lpstr>
      <vt:lpstr>Calibrate!ExternalData_1</vt:lpstr>
      <vt:lpstr>'Range 1'!ExternalData_1</vt:lpstr>
      <vt:lpstr>'Range 2'!ExternalData_1</vt:lpstr>
      <vt:lpstr>'Range 3'!ExternalData_1</vt:lpstr>
      <vt:lpstr>'Range 4'!ExternalData_1</vt:lpstr>
      <vt:lpstr>Voltage!ExternalData_1</vt:lpstr>
      <vt:lpstr>Calibrate!ExternalData_10</vt:lpstr>
      <vt:lpstr>'Range 0'!ExternalData_10</vt:lpstr>
      <vt:lpstr>'Range 1'!ExternalData_10</vt:lpstr>
      <vt:lpstr>'Range 2'!ExternalData_10</vt:lpstr>
      <vt:lpstr>Voltage!ExternalData_100</vt:lpstr>
      <vt:lpstr>Voltage!ExternalData_101</vt:lpstr>
      <vt:lpstr>Voltage!ExternalData_102</vt:lpstr>
      <vt:lpstr>Voltage!ExternalData_103</vt:lpstr>
      <vt:lpstr>Voltage!ExternalData_104</vt:lpstr>
      <vt:lpstr>Voltage!ExternalData_105</vt:lpstr>
      <vt:lpstr>Voltage!ExternalData_106</vt:lpstr>
      <vt:lpstr>Voltage!ExternalData_107</vt:lpstr>
      <vt:lpstr>Voltage!ExternalData_108</vt:lpstr>
      <vt:lpstr>Voltage!ExternalData_109</vt:lpstr>
      <vt:lpstr>Calibrate!ExternalData_11</vt:lpstr>
      <vt:lpstr>'Range 0'!ExternalData_11</vt:lpstr>
      <vt:lpstr>'Range 1'!ExternalData_11</vt:lpstr>
      <vt:lpstr>'Range 2'!ExternalData_11</vt:lpstr>
      <vt:lpstr>'Range 3'!ExternalData_11</vt:lpstr>
      <vt:lpstr>Voltage!ExternalData_110</vt:lpstr>
      <vt:lpstr>Voltage!ExternalData_111</vt:lpstr>
      <vt:lpstr>Voltage!ExternalData_112</vt:lpstr>
      <vt:lpstr>Voltage!ExternalData_113</vt:lpstr>
      <vt:lpstr>Voltage!ExternalData_114</vt:lpstr>
      <vt:lpstr>Voltage!ExternalData_115</vt:lpstr>
      <vt:lpstr>Voltage!ExternalData_116</vt:lpstr>
      <vt:lpstr>Voltage!ExternalData_117</vt:lpstr>
      <vt:lpstr>Voltage!ExternalData_118</vt:lpstr>
      <vt:lpstr>Voltage!ExternalData_119</vt:lpstr>
      <vt:lpstr>Calibrate!ExternalData_12</vt:lpstr>
      <vt:lpstr>'Range 0'!ExternalData_12</vt:lpstr>
      <vt:lpstr>'Range 1'!ExternalData_12</vt:lpstr>
      <vt:lpstr>'Range 2'!ExternalData_12</vt:lpstr>
      <vt:lpstr>'Range 3'!ExternalData_12</vt:lpstr>
      <vt:lpstr>Voltage!ExternalData_120</vt:lpstr>
      <vt:lpstr>Voltage!ExternalData_121</vt:lpstr>
      <vt:lpstr>Voltage!ExternalData_122</vt:lpstr>
      <vt:lpstr>Voltage!ExternalData_123</vt:lpstr>
      <vt:lpstr>Voltage!ExternalData_124</vt:lpstr>
      <vt:lpstr>Voltage!ExternalData_125</vt:lpstr>
      <vt:lpstr>Voltage!ExternalData_126</vt:lpstr>
      <vt:lpstr>Voltage!ExternalData_127</vt:lpstr>
      <vt:lpstr>Voltage!ExternalData_128</vt:lpstr>
      <vt:lpstr>Voltage!ExternalData_129</vt:lpstr>
      <vt:lpstr>Calibrate!ExternalData_13</vt:lpstr>
      <vt:lpstr>'Range 0'!ExternalData_13</vt:lpstr>
      <vt:lpstr>'Range 1'!ExternalData_13</vt:lpstr>
      <vt:lpstr>'Range 2'!ExternalData_13</vt:lpstr>
      <vt:lpstr>'Range 3'!ExternalData_13</vt:lpstr>
      <vt:lpstr>Voltage!ExternalData_130</vt:lpstr>
      <vt:lpstr>Voltage!ExternalData_131</vt:lpstr>
      <vt:lpstr>Voltage!ExternalData_132</vt:lpstr>
      <vt:lpstr>Voltage!ExternalData_133</vt:lpstr>
      <vt:lpstr>Voltage!ExternalData_134</vt:lpstr>
      <vt:lpstr>Calibrate!ExternalData_14</vt:lpstr>
      <vt:lpstr>'Range 0'!ExternalData_14</vt:lpstr>
      <vt:lpstr>'Range 1'!ExternalData_14</vt:lpstr>
      <vt:lpstr>'Range 2'!ExternalData_14</vt:lpstr>
      <vt:lpstr>'Range 3'!ExternalData_14</vt:lpstr>
      <vt:lpstr>Calibrate!ExternalData_15</vt:lpstr>
      <vt:lpstr>'Range 0'!ExternalData_15</vt:lpstr>
      <vt:lpstr>'Range 1'!ExternalData_15</vt:lpstr>
      <vt:lpstr>'Range 2'!ExternalData_15</vt:lpstr>
      <vt:lpstr>'Range 3'!ExternalData_15</vt:lpstr>
      <vt:lpstr>Calibrate!ExternalData_16</vt:lpstr>
      <vt:lpstr>'Range 0'!ExternalData_16</vt:lpstr>
      <vt:lpstr>'Range 1'!ExternalData_16</vt:lpstr>
      <vt:lpstr>'Range 2'!ExternalData_16</vt:lpstr>
      <vt:lpstr>'Range 3'!ExternalData_16</vt:lpstr>
      <vt:lpstr>Calibrate!ExternalData_17</vt:lpstr>
      <vt:lpstr>'Range 0'!ExternalData_17</vt:lpstr>
      <vt:lpstr>'Range 1'!ExternalData_17</vt:lpstr>
      <vt:lpstr>'Range 2'!ExternalData_17</vt:lpstr>
      <vt:lpstr>'Range 3'!ExternalData_17</vt:lpstr>
      <vt:lpstr>Voltage!ExternalData_17</vt:lpstr>
      <vt:lpstr>Calibrate!ExternalData_18</vt:lpstr>
      <vt:lpstr>'Range 0'!ExternalData_18</vt:lpstr>
      <vt:lpstr>'Range 1'!ExternalData_18</vt:lpstr>
      <vt:lpstr>'Range 2'!ExternalData_18</vt:lpstr>
      <vt:lpstr>'Range 3'!ExternalData_18</vt:lpstr>
      <vt:lpstr>Voltage!ExternalData_18</vt:lpstr>
      <vt:lpstr>Calibrate!ExternalData_19</vt:lpstr>
      <vt:lpstr>'Range 0'!ExternalData_19</vt:lpstr>
      <vt:lpstr>'Range 1'!ExternalData_19</vt:lpstr>
      <vt:lpstr>'Range 2'!ExternalData_19</vt:lpstr>
      <vt:lpstr>'Range 3'!ExternalData_19</vt:lpstr>
      <vt:lpstr>Voltage!ExternalData_19</vt:lpstr>
      <vt:lpstr>Calibrate!ExternalData_2</vt:lpstr>
      <vt:lpstr>'Range 0'!ExternalData_2</vt:lpstr>
      <vt:lpstr>'Range 1'!ExternalData_2</vt:lpstr>
      <vt:lpstr>'Range 2'!ExternalData_2</vt:lpstr>
      <vt:lpstr>'Range 3'!ExternalData_2</vt:lpstr>
      <vt:lpstr>'Range 4'!ExternalData_2</vt:lpstr>
      <vt:lpstr>Voltage!ExternalData_2</vt:lpstr>
      <vt:lpstr>Calibrate!ExternalData_20</vt:lpstr>
      <vt:lpstr>'Range 0'!ExternalData_20</vt:lpstr>
      <vt:lpstr>'Range 1'!ExternalData_20</vt:lpstr>
      <vt:lpstr>'Range 2'!ExternalData_20</vt:lpstr>
      <vt:lpstr>'Range 3'!ExternalData_20</vt:lpstr>
      <vt:lpstr>Voltage!ExternalData_20</vt:lpstr>
      <vt:lpstr>Calibrate!ExternalData_21</vt:lpstr>
      <vt:lpstr>'Range 0'!ExternalData_21</vt:lpstr>
      <vt:lpstr>'Range 1'!ExternalData_21</vt:lpstr>
      <vt:lpstr>'Range 2'!ExternalData_21</vt:lpstr>
      <vt:lpstr>'Range 3'!ExternalData_21</vt:lpstr>
      <vt:lpstr>Voltage!ExternalData_21</vt:lpstr>
      <vt:lpstr>Calibrate!ExternalData_22</vt:lpstr>
      <vt:lpstr>'Range 0'!ExternalData_22</vt:lpstr>
      <vt:lpstr>'Range 1'!ExternalData_22</vt:lpstr>
      <vt:lpstr>'Range 2'!ExternalData_22</vt:lpstr>
      <vt:lpstr>'Range 3'!ExternalData_22</vt:lpstr>
      <vt:lpstr>Voltage!ExternalData_22</vt:lpstr>
      <vt:lpstr>Calibrate!ExternalData_23</vt:lpstr>
      <vt:lpstr>'Range 0'!ExternalData_23</vt:lpstr>
      <vt:lpstr>'Range 1'!ExternalData_23</vt:lpstr>
      <vt:lpstr>'Range 2'!ExternalData_23</vt:lpstr>
      <vt:lpstr>'Range 3'!ExternalData_23</vt:lpstr>
      <vt:lpstr>Voltage!ExternalData_23</vt:lpstr>
      <vt:lpstr>Calibrate!ExternalData_24</vt:lpstr>
      <vt:lpstr>'Range 0'!ExternalData_24</vt:lpstr>
      <vt:lpstr>'Range 1'!ExternalData_24</vt:lpstr>
      <vt:lpstr>'Range 2'!ExternalData_24</vt:lpstr>
      <vt:lpstr>'Range 3'!ExternalData_24</vt:lpstr>
      <vt:lpstr>Voltage!ExternalData_24</vt:lpstr>
      <vt:lpstr>Calibrate!ExternalData_25</vt:lpstr>
      <vt:lpstr>'Range 0'!ExternalData_25</vt:lpstr>
      <vt:lpstr>'Range 1'!ExternalData_25</vt:lpstr>
      <vt:lpstr>'Range 2'!ExternalData_25</vt:lpstr>
      <vt:lpstr>'Range 3'!ExternalData_25</vt:lpstr>
      <vt:lpstr>Voltage!ExternalData_25</vt:lpstr>
      <vt:lpstr>Calibrate!ExternalData_26</vt:lpstr>
      <vt:lpstr>'Range 0'!ExternalData_26</vt:lpstr>
      <vt:lpstr>'Range 1'!ExternalData_26</vt:lpstr>
      <vt:lpstr>'Range 2'!ExternalData_26</vt:lpstr>
      <vt:lpstr>'Range 3'!ExternalData_26</vt:lpstr>
      <vt:lpstr>Voltage!ExternalData_26</vt:lpstr>
      <vt:lpstr>Calibrate!ExternalData_27</vt:lpstr>
      <vt:lpstr>'Range 0'!ExternalData_27</vt:lpstr>
      <vt:lpstr>'Range 1'!ExternalData_27</vt:lpstr>
      <vt:lpstr>'Range 2'!ExternalData_27</vt:lpstr>
      <vt:lpstr>'Range 3'!ExternalData_27</vt:lpstr>
      <vt:lpstr>Voltage!ExternalData_27</vt:lpstr>
      <vt:lpstr>Calibrate!ExternalData_28</vt:lpstr>
      <vt:lpstr>'Range 0'!ExternalData_28</vt:lpstr>
      <vt:lpstr>'Range 1'!ExternalData_28</vt:lpstr>
      <vt:lpstr>'Range 2'!ExternalData_28</vt:lpstr>
      <vt:lpstr>'Range 3'!ExternalData_28</vt:lpstr>
      <vt:lpstr>Voltage!ExternalData_28</vt:lpstr>
      <vt:lpstr>Calibrate!ExternalData_29</vt:lpstr>
      <vt:lpstr>'Range 0'!ExternalData_29</vt:lpstr>
      <vt:lpstr>'Range 1'!ExternalData_29</vt:lpstr>
      <vt:lpstr>'Range 2'!ExternalData_29</vt:lpstr>
      <vt:lpstr>'Range 3'!ExternalData_29</vt:lpstr>
      <vt:lpstr>Voltage!ExternalData_29</vt:lpstr>
      <vt:lpstr>Calibrate!ExternalData_3</vt:lpstr>
      <vt:lpstr>'Range 0'!ExternalData_3</vt:lpstr>
      <vt:lpstr>'Range 1'!ExternalData_3</vt:lpstr>
      <vt:lpstr>'Range 2'!ExternalData_3</vt:lpstr>
      <vt:lpstr>'Range 3'!ExternalData_3</vt:lpstr>
      <vt:lpstr>Voltage!ExternalData_3</vt:lpstr>
      <vt:lpstr>'Range 0'!ExternalData_30</vt:lpstr>
      <vt:lpstr>'Range 1'!ExternalData_30</vt:lpstr>
      <vt:lpstr>'Range 2'!ExternalData_30</vt:lpstr>
      <vt:lpstr>'Range 3'!ExternalData_30</vt:lpstr>
      <vt:lpstr>Voltage!ExternalData_30</vt:lpstr>
      <vt:lpstr>'Range 0'!ExternalData_31</vt:lpstr>
      <vt:lpstr>'Range 1'!ExternalData_31</vt:lpstr>
      <vt:lpstr>'Range 2'!ExternalData_31</vt:lpstr>
      <vt:lpstr>'Range 3'!ExternalData_31</vt:lpstr>
      <vt:lpstr>Voltage!ExternalData_31</vt:lpstr>
      <vt:lpstr>'Range 0'!ExternalData_32</vt:lpstr>
      <vt:lpstr>'Range 1'!ExternalData_32</vt:lpstr>
      <vt:lpstr>'Range 2'!ExternalData_32</vt:lpstr>
      <vt:lpstr>'Range 3'!ExternalData_32</vt:lpstr>
      <vt:lpstr>Voltage!ExternalData_32</vt:lpstr>
      <vt:lpstr>'Range 0'!ExternalData_33</vt:lpstr>
      <vt:lpstr>'Range 1'!ExternalData_33</vt:lpstr>
      <vt:lpstr>'Range 2'!ExternalData_33</vt:lpstr>
      <vt:lpstr>'Range 3'!ExternalData_33</vt:lpstr>
      <vt:lpstr>Voltage!ExternalData_33</vt:lpstr>
      <vt:lpstr>'Range 0'!ExternalData_34</vt:lpstr>
      <vt:lpstr>'Range 1'!ExternalData_34</vt:lpstr>
      <vt:lpstr>'Range 2'!ExternalData_34</vt:lpstr>
      <vt:lpstr>'Range 3'!ExternalData_34</vt:lpstr>
      <vt:lpstr>Voltage!ExternalData_34</vt:lpstr>
      <vt:lpstr>'Range 0'!ExternalData_35</vt:lpstr>
      <vt:lpstr>'Range 1'!ExternalData_35</vt:lpstr>
      <vt:lpstr>'Range 2'!ExternalData_35</vt:lpstr>
      <vt:lpstr>'Range 3'!ExternalData_35</vt:lpstr>
      <vt:lpstr>Voltage!ExternalData_35</vt:lpstr>
      <vt:lpstr>'Range 0'!ExternalData_36</vt:lpstr>
      <vt:lpstr>'Range 1'!ExternalData_36</vt:lpstr>
      <vt:lpstr>'Range 2'!ExternalData_36</vt:lpstr>
      <vt:lpstr>'Range 3'!ExternalData_36</vt:lpstr>
      <vt:lpstr>Voltage!ExternalData_36</vt:lpstr>
      <vt:lpstr>'Range 0'!ExternalData_37</vt:lpstr>
      <vt:lpstr>'Range 1'!ExternalData_37</vt:lpstr>
      <vt:lpstr>'Range 2'!ExternalData_37</vt:lpstr>
      <vt:lpstr>'Range 3'!ExternalData_37</vt:lpstr>
      <vt:lpstr>Voltage!ExternalData_37</vt:lpstr>
      <vt:lpstr>'Range 0'!ExternalData_38</vt:lpstr>
      <vt:lpstr>'Range 1'!ExternalData_38</vt:lpstr>
      <vt:lpstr>'Range 2'!ExternalData_38</vt:lpstr>
      <vt:lpstr>'Range 3'!ExternalData_38</vt:lpstr>
      <vt:lpstr>Voltage!ExternalData_38</vt:lpstr>
      <vt:lpstr>'Range 0'!ExternalData_39</vt:lpstr>
      <vt:lpstr>'Range 1'!ExternalData_39</vt:lpstr>
      <vt:lpstr>'Range 2'!ExternalData_39</vt:lpstr>
      <vt:lpstr>'Range 3'!ExternalData_39</vt:lpstr>
      <vt:lpstr>Voltage!ExternalData_39</vt:lpstr>
      <vt:lpstr>Calibrate!ExternalData_4</vt:lpstr>
      <vt:lpstr>'Range 0'!ExternalData_4</vt:lpstr>
      <vt:lpstr>'Range 1'!ExternalData_4</vt:lpstr>
      <vt:lpstr>'Range 2'!ExternalData_4</vt:lpstr>
      <vt:lpstr>'Range 3'!ExternalData_4</vt:lpstr>
      <vt:lpstr>Voltage!ExternalData_4</vt:lpstr>
      <vt:lpstr>'Range 0'!ExternalData_40</vt:lpstr>
      <vt:lpstr>'Range 1'!ExternalData_40</vt:lpstr>
      <vt:lpstr>'Range 2'!ExternalData_40</vt:lpstr>
      <vt:lpstr>'Range 3'!ExternalData_40</vt:lpstr>
      <vt:lpstr>Voltage!ExternalData_40</vt:lpstr>
      <vt:lpstr>'Range 0'!ExternalData_41</vt:lpstr>
      <vt:lpstr>'Range 1'!ExternalData_41</vt:lpstr>
      <vt:lpstr>'Range 2'!ExternalData_41</vt:lpstr>
      <vt:lpstr>'Range 3'!ExternalData_41</vt:lpstr>
      <vt:lpstr>Voltage!ExternalData_41</vt:lpstr>
      <vt:lpstr>'Range 0'!ExternalData_42</vt:lpstr>
      <vt:lpstr>'Range 1'!ExternalData_42</vt:lpstr>
      <vt:lpstr>'Range 2'!ExternalData_42</vt:lpstr>
      <vt:lpstr>'Range 3'!ExternalData_42</vt:lpstr>
      <vt:lpstr>Voltage!ExternalData_42</vt:lpstr>
      <vt:lpstr>'Range 0'!ExternalData_43</vt:lpstr>
      <vt:lpstr>'Range 1'!ExternalData_43</vt:lpstr>
      <vt:lpstr>'Range 2'!ExternalData_43</vt:lpstr>
      <vt:lpstr>'Range 3'!ExternalData_43</vt:lpstr>
      <vt:lpstr>Voltage!ExternalData_43</vt:lpstr>
      <vt:lpstr>'Range 0'!ExternalData_44</vt:lpstr>
      <vt:lpstr>'Range 1'!ExternalData_44</vt:lpstr>
      <vt:lpstr>'Range 2'!ExternalData_44</vt:lpstr>
      <vt:lpstr>'Range 3'!ExternalData_44</vt:lpstr>
      <vt:lpstr>Voltage!ExternalData_44</vt:lpstr>
      <vt:lpstr>'Range 0'!ExternalData_45</vt:lpstr>
      <vt:lpstr>'Range 1'!ExternalData_45</vt:lpstr>
      <vt:lpstr>'Range 2'!ExternalData_45</vt:lpstr>
      <vt:lpstr>'Range 3'!ExternalData_45</vt:lpstr>
      <vt:lpstr>Voltage!ExternalData_45</vt:lpstr>
      <vt:lpstr>'Range 0'!ExternalData_46</vt:lpstr>
      <vt:lpstr>'Range 1'!ExternalData_46</vt:lpstr>
      <vt:lpstr>'Range 2'!ExternalData_46</vt:lpstr>
      <vt:lpstr>'Range 3'!ExternalData_46</vt:lpstr>
      <vt:lpstr>Voltage!ExternalData_46</vt:lpstr>
      <vt:lpstr>'Range 0'!ExternalData_47</vt:lpstr>
      <vt:lpstr>'Range 1'!ExternalData_47</vt:lpstr>
      <vt:lpstr>'Range 2'!ExternalData_47</vt:lpstr>
      <vt:lpstr>'Range 3'!ExternalData_47</vt:lpstr>
      <vt:lpstr>Voltage!ExternalData_47</vt:lpstr>
      <vt:lpstr>'Range 0'!ExternalData_48</vt:lpstr>
      <vt:lpstr>'Range 1'!ExternalData_48</vt:lpstr>
      <vt:lpstr>'Range 2'!ExternalData_48</vt:lpstr>
      <vt:lpstr>'Range 3'!ExternalData_48</vt:lpstr>
      <vt:lpstr>Voltage!ExternalData_48</vt:lpstr>
      <vt:lpstr>'Range 0'!ExternalData_49</vt:lpstr>
      <vt:lpstr>'Range 1'!ExternalData_49</vt:lpstr>
      <vt:lpstr>'Range 2'!ExternalData_49</vt:lpstr>
      <vt:lpstr>'Range 3'!ExternalData_49</vt:lpstr>
      <vt:lpstr>Voltage!ExternalData_49</vt:lpstr>
      <vt:lpstr>Calibrate!ExternalData_5</vt:lpstr>
      <vt:lpstr>'Range 0'!ExternalData_5</vt:lpstr>
      <vt:lpstr>'Range 1'!ExternalData_5</vt:lpstr>
      <vt:lpstr>'Range 2'!ExternalData_5</vt:lpstr>
      <vt:lpstr>'Range 3'!ExternalData_5</vt:lpstr>
      <vt:lpstr>Voltage!ExternalData_5</vt:lpstr>
      <vt:lpstr>'Range 0'!ExternalData_50</vt:lpstr>
      <vt:lpstr>'Range 1'!ExternalData_50</vt:lpstr>
      <vt:lpstr>'Range 2'!ExternalData_50</vt:lpstr>
      <vt:lpstr>'Range 3'!ExternalData_50</vt:lpstr>
      <vt:lpstr>Voltage!ExternalData_50</vt:lpstr>
      <vt:lpstr>'Range 0'!ExternalData_51</vt:lpstr>
      <vt:lpstr>'Range 1'!ExternalData_51</vt:lpstr>
      <vt:lpstr>'Range 2'!ExternalData_51</vt:lpstr>
      <vt:lpstr>'Range 3'!ExternalData_51</vt:lpstr>
      <vt:lpstr>Voltage!ExternalData_51</vt:lpstr>
      <vt:lpstr>'Range 0'!ExternalData_52</vt:lpstr>
      <vt:lpstr>'Range 1'!ExternalData_52</vt:lpstr>
      <vt:lpstr>'Range 2'!ExternalData_52</vt:lpstr>
      <vt:lpstr>'Range 3'!ExternalData_52</vt:lpstr>
      <vt:lpstr>Voltage!ExternalData_52</vt:lpstr>
      <vt:lpstr>'Range 0'!ExternalData_53</vt:lpstr>
      <vt:lpstr>'Range 1'!ExternalData_53</vt:lpstr>
      <vt:lpstr>'Range 2'!ExternalData_53</vt:lpstr>
      <vt:lpstr>'Range 3'!ExternalData_53</vt:lpstr>
      <vt:lpstr>Voltage!ExternalData_53</vt:lpstr>
      <vt:lpstr>'Range 0'!ExternalData_54</vt:lpstr>
      <vt:lpstr>'Range 2'!ExternalData_54</vt:lpstr>
      <vt:lpstr>'Range 3'!ExternalData_54</vt:lpstr>
      <vt:lpstr>Voltage!ExternalData_54</vt:lpstr>
      <vt:lpstr>'Range 0'!ExternalData_55</vt:lpstr>
      <vt:lpstr>'Range 2'!ExternalData_55</vt:lpstr>
      <vt:lpstr>'Range 3'!ExternalData_55</vt:lpstr>
      <vt:lpstr>Voltage!ExternalData_55</vt:lpstr>
      <vt:lpstr>'Range 0'!ExternalData_56</vt:lpstr>
      <vt:lpstr>'Range 2'!ExternalData_56</vt:lpstr>
      <vt:lpstr>'Range 3'!ExternalData_56</vt:lpstr>
      <vt:lpstr>Voltage!ExternalData_56</vt:lpstr>
      <vt:lpstr>'Range 0'!ExternalData_57</vt:lpstr>
      <vt:lpstr>'Range 2'!ExternalData_57</vt:lpstr>
      <vt:lpstr>'Range 3'!ExternalData_57</vt:lpstr>
      <vt:lpstr>Voltage!ExternalData_57</vt:lpstr>
      <vt:lpstr>'Range 0'!ExternalData_58</vt:lpstr>
      <vt:lpstr>'Range 2'!ExternalData_58</vt:lpstr>
      <vt:lpstr>'Range 3'!ExternalData_58</vt:lpstr>
      <vt:lpstr>Voltage!ExternalData_58</vt:lpstr>
      <vt:lpstr>'Range 0'!ExternalData_59</vt:lpstr>
      <vt:lpstr>'Range 2'!ExternalData_59</vt:lpstr>
      <vt:lpstr>'Range 3'!ExternalData_59</vt:lpstr>
      <vt:lpstr>Voltage!ExternalData_59</vt:lpstr>
      <vt:lpstr>Calibrate!ExternalData_6</vt:lpstr>
      <vt:lpstr>'Range 0'!ExternalData_6</vt:lpstr>
      <vt:lpstr>'Range 1'!ExternalData_6</vt:lpstr>
      <vt:lpstr>'Range 2'!ExternalData_6</vt:lpstr>
      <vt:lpstr>'Range 3'!ExternalData_6</vt:lpstr>
      <vt:lpstr>Voltage!ExternalData_6</vt:lpstr>
      <vt:lpstr>'Range 0'!ExternalData_60</vt:lpstr>
      <vt:lpstr>'Range 3'!ExternalData_60</vt:lpstr>
      <vt:lpstr>Voltage!ExternalData_60</vt:lpstr>
      <vt:lpstr>'Range 0'!ExternalData_61</vt:lpstr>
      <vt:lpstr>'Range 3'!ExternalData_61</vt:lpstr>
      <vt:lpstr>Voltage!ExternalData_61</vt:lpstr>
      <vt:lpstr>'Range 0'!ExternalData_62</vt:lpstr>
      <vt:lpstr>'Range 3'!ExternalData_62</vt:lpstr>
      <vt:lpstr>Voltage!ExternalData_62</vt:lpstr>
      <vt:lpstr>'Range 0'!ExternalData_63</vt:lpstr>
      <vt:lpstr>'Range 3'!ExternalData_63</vt:lpstr>
      <vt:lpstr>Voltage!ExternalData_63</vt:lpstr>
      <vt:lpstr>'Range 0'!ExternalData_64</vt:lpstr>
      <vt:lpstr>'Range 3'!ExternalData_64</vt:lpstr>
      <vt:lpstr>Voltage!ExternalData_64</vt:lpstr>
      <vt:lpstr>'Range 0'!ExternalData_65</vt:lpstr>
      <vt:lpstr>'Range 3'!ExternalData_65</vt:lpstr>
      <vt:lpstr>Voltage!ExternalData_65</vt:lpstr>
      <vt:lpstr>'Range 0'!ExternalData_66</vt:lpstr>
      <vt:lpstr>'Range 3'!ExternalData_66</vt:lpstr>
      <vt:lpstr>Voltage!ExternalData_66</vt:lpstr>
      <vt:lpstr>'Range 0'!ExternalData_67</vt:lpstr>
      <vt:lpstr>'Range 3'!ExternalData_67</vt:lpstr>
      <vt:lpstr>Voltage!ExternalData_67</vt:lpstr>
      <vt:lpstr>'Range 0'!ExternalData_68</vt:lpstr>
      <vt:lpstr>'Range 3'!ExternalData_68</vt:lpstr>
      <vt:lpstr>Voltage!ExternalData_68</vt:lpstr>
      <vt:lpstr>'Range 0'!ExternalData_69</vt:lpstr>
      <vt:lpstr>'Range 3'!ExternalData_69</vt:lpstr>
      <vt:lpstr>Voltage!ExternalData_69</vt:lpstr>
      <vt:lpstr>Calibrate!ExternalData_7</vt:lpstr>
      <vt:lpstr>'Range 0'!ExternalData_7</vt:lpstr>
      <vt:lpstr>'Range 1'!ExternalData_7</vt:lpstr>
      <vt:lpstr>'Range 2'!ExternalData_7</vt:lpstr>
      <vt:lpstr>'Range 3'!ExternalData_7</vt:lpstr>
      <vt:lpstr>Voltage!ExternalData_7</vt:lpstr>
      <vt:lpstr>'Range 0'!ExternalData_70</vt:lpstr>
      <vt:lpstr>'Range 3'!ExternalData_70</vt:lpstr>
      <vt:lpstr>Voltage!ExternalData_70</vt:lpstr>
      <vt:lpstr>'Range 0'!ExternalData_71</vt:lpstr>
      <vt:lpstr>'Range 3'!ExternalData_71</vt:lpstr>
      <vt:lpstr>Voltage!ExternalData_71</vt:lpstr>
      <vt:lpstr>'Range 0'!ExternalData_72</vt:lpstr>
      <vt:lpstr>'Range 3'!ExternalData_72</vt:lpstr>
      <vt:lpstr>Voltage!ExternalData_72</vt:lpstr>
      <vt:lpstr>'Range 0'!ExternalData_73</vt:lpstr>
      <vt:lpstr>'Range 3'!ExternalData_73</vt:lpstr>
      <vt:lpstr>Voltage!ExternalData_73</vt:lpstr>
      <vt:lpstr>'Range 0'!ExternalData_74</vt:lpstr>
      <vt:lpstr>'Range 3'!ExternalData_74</vt:lpstr>
      <vt:lpstr>Voltage!ExternalData_74</vt:lpstr>
      <vt:lpstr>'Range 0'!ExternalData_75</vt:lpstr>
      <vt:lpstr>Voltage!ExternalData_75</vt:lpstr>
      <vt:lpstr>'Range 0'!ExternalData_76</vt:lpstr>
      <vt:lpstr>Voltage!ExternalData_76</vt:lpstr>
      <vt:lpstr>'Range 0'!ExternalData_77</vt:lpstr>
      <vt:lpstr>Voltage!ExternalData_77</vt:lpstr>
      <vt:lpstr>'Range 0'!ExternalData_78</vt:lpstr>
      <vt:lpstr>Voltage!ExternalData_78</vt:lpstr>
      <vt:lpstr>'Range 0'!ExternalData_79</vt:lpstr>
      <vt:lpstr>Voltage!ExternalData_79</vt:lpstr>
      <vt:lpstr>Calibrate!ExternalData_8</vt:lpstr>
      <vt:lpstr>'Range 0'!ExternalData_8</vt:lpstr>
      <vt:lpstr>'Range 1'!ExternalData_8</vt:lpstr>
      <vt:lpstr>'Range 2'!ExternalData_8</vt:lpstr>
      <vt:lpstr>'Range 3'!ExternalData_8</vt:lpstr>
      <vt:lpstr>Voltage!ExternalData_8</vt:lpstr>
      <vt:lpstr>'Range 0'!ExternalData_80</vt:lpstr>
      <vt:lpstr>Voltage!ExternalData_80</vt:lpstr>
      <vt:lpstr>Voltage!ExternalData_81</vt:lpstr>
      <vt:lpstr>Voltage!ExternalData_82</vt:lpstr>
      <vt:lpstr>Voltage!ExternalData_83</vt:lpstr>
      <vt:lpstr>Voltage!ExternalData_84</vt:lpstr>
      <vt:lpstr>Voltage!ExternalData_85</vt:lpstr>
      <vt:lpstr>Voltage!ExternalData_86</vt:lpstr>
      <vt:lpstr>Voltage!ExternalData_87</vt:lpstr>
      <vt:lpstr>Voltage!ExternalData_88</vt:lpstr>
      <vt:lpstr>Voltage!ExternalData_89</vt:lpstr>
      <vt:lpstr>Calibrate!ExternalData_9</vt:lpstr>
      <vt:lpstr>'Range 0'!ExternalData_9</vt:lpstr>
      <vt:lpstr>'Range 1'!ExternalData_9</vt:lpstr>
      <vt:lpstr>'Range 2'!ExternalData_9</vt:lpstr>
      <vt:lpstr>'Range 3'!ExternalData_9</vt:lpstr>
      <vt:lpstr>Voltage!ExternalData_90</vt:lpstr>
      <vt:lpstr>Voltage!ExternalData_91</vt:lpstr>
      <vt:lpstr>Voltage!ExternalData_92</vt:lpstr>
      <vt:lpstr>Voltage!ExternalData_93</vt:lpstr>
      <vt:lpstr>Voltage!ExternalData_94</vt:lpstr>
      <vt:lpstr>Voltage!ExternalData_95</vt:lpstr>
      <vt:lpstr>Voltage!ExternalData_96</vt:lpstr>
      <vt:lpstr>Voltage!ExternalData_97</vt:lpstr>
      <vt:lpstr>Voltage!ExternalData_98</vt:lpstr>
      <vt:lpstr>Voltage!ExternalData_99</vt:lpstr>
      <vt:lpstr>INT16_MAX</vt:lpstr>
      <vt:lpstr>INT16_MIN</vt:lpstr>
      <vt:lpstr>VOLT_RNG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Sclafani</dc:creator>
  <cp:lastModifiedBy>Matt Dion</cp:lastModifiedBy>
  <dcterms:created xsi:type="dcterms:W3CDTF">2017-10-17T17:25:27Z</dcterms:created>
  <dcterms:modified xsi:type="dcterms:W3CDTF">2017-12-12T22:03:43Z</dcterms:modified>
</cp:coreProperties>
</file>