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2" tabRatio="898" activeTab="1" xr2:uid="{2094D447-8632-4827-8F34-41D135BAA0DE}"/>
  </bookViews>
  <sheets>
    <sheet name="Connect" sheetId="10" r:id="rId1"/>
    <sheet name="Calibrate" sheetId="21" r:id="rId2"/>
    <sheet name="Data" sheetId="1" r:id="rId3"/>
    <sheet name="Voltage" sheetId="2" r:id="rId4"/>
    <sheet name="Range 0" sheetId="12" r:id="rId5"/>
    <sheet name="Range 1" sheetId="13" r:id="rId6"/>
    <sheet name="Range 2" sheetId="14" r:id="rId7"/>
    <sheet name="Range 3" sheetId="15" r:id="rId8"/>
    <sheet name="Range 4" sheetId="16" r:id="rId9"/>
    <sheet name="Range 5" sheetId="17" r:id="rId10"/>
    <sheet name="Range 6" sheetId="18" r:id="rId11"/>
    <sheet name="Range 7" sheetId="19" r:id="rId12"/>
    <sheet name="Internal" sheetId="11" r:id="rId13"/>
  </sheets>
  <definedNames>
    <definedName name="ExternalData_1" localSheetId="4">'Range 0'!#REF!</definedName>
    <definedName name="ExternalData_1" localSheetId="5">'Range 1'!$L$1:$M$22</definedName>
    <definedName name="ExternalData_1" localSheetId="6">'Range 2'!$L$1:$M$22</definedName>
    <definedName name="ExternalData_1" localSheetId="7">'Range 3'!$L$1:$M$22</definedName>
    <definedName name="ExternalData_1" localSheetId="3">Voltage!$L$1:$O$22</definedName>
    <definedName name="ExternalData_10" localSheetId="4">'Range 0'!$L$1:$M$22</definedName>
    <definedName name="ExternalData_10" localSheetId="5">'Range 1'!$L$1:$M$22</definedName>
    <definedName name="ExternalData_10" localSheetId="6">'Range 2'!$L$1:$M$23</definedName>
    <definedName name="ExternalData_11" localSheetId="4">'Range 0'!$L$1:$M$22</definedName>
    <definedName name="ExternalData_11" localSheetId="5">'Range 1'!$L$1:$M$22</definedName>
    <definedName name="ExternalData_11" localSheetId="6">'Range 2'!$L$1:$M$23</definedName>
    <definedName name="ExternalData_11" localSheetId="7">'Range 3'!$L$1:$M$22</definedName>
    <definedName name="ExternalData_12" localSheetId="4">'Range 0'!$L$1:$M$22</definedName>
    <definedName name="ExternalData_12" localSheetId="5">'Range 1'!$L$1:$M$22</definedName>
    <definedName name="ExternalData_12" localSheetId="6">'Range 2'!$L$1:$M$23</definedName>
    <definedName name="ExternalData_12" localSheetId="7">'Range 3'!$L$1:$M$22</definedName>
    <definedName name="ExternalData_13" localSheetId="4">'Range 0'!$L$1:$M$22</definedName>
    <definedName name="ExternalData_13" localSheetId="5">'Range 1'!$L$1:$M$22</definedName>
    <definedName name="ExternalData_13" localSheetId="6">'Range 2'!$L$1:$M$23</definedName>
    <definedName name="ExternalData_13" localSheetId="7">'Range 3'!$L$1:$M$22</definedName>
    <definedName name="ExternalData_14" localSheetId="4">'Range 0'!$L$1:$M$22</definedName>
    <definedName name="ExternalData_14" localSheetId="5">'Range 1'!$L$1:$M$22</definedName>
    <definedName name="ExternalData_14" localSheetId="6">'Range 2'!$L$1:$M$22</definedName>
    <definedName name="ExternalData_14" localSheetId="7">'Range 3'!$L$1:$M$22</definedName>
    <definedName name="ExternalData_15" localSheetId="4">'Range 0'!$L$1:$M$22</definedName>
    <definedName name="ExternalData_15" localSheetId="5">'Range 1'!$L$1:$M$22</definedName>
    <definedName name="ExternalData_15" localSheetId="6">'Range 2'!$L$1:$M$22</definedName>
    <definedName name="ExternalData_15" localSheetId="7">'Range 3'!$L$1:$M$22</definedName>
    <definedName name="ExternalData_16" localSheetId="4">'Range 0'!$L$1:$M$22</definedName>
    <definedName name="ExternalData_16" localSheetId="5">'Range 1'!$L$1:$M$22</definedName>
    <definedName name="ExternalData_16" localSheetId="6">'Range 2'!$L$1:$M$22</definedName>
    <definedName name="ExternalData_16" localSheetId="7">'Range 3'!$L$1:$M$22</definedName>
    <definedName name="ExternalData_17" localSheetId="4">'Range 0'!$L$1:$M$22</definedName>
    <definedName name="ExternalData_17" localSheetId="5">'Range 1'!$L$1:$M$22</definedName>
    <definedName name="ExternalData_17" localSheetId="6">'Range 2'!$L$1:$M$22</definedName>
    <definedName name="ExternalData_17" localSheetId="7">'Range 3'!$L$1:$M$22</definedName>
    <definedName name="ExternalData_17" localSheetId="3">Voltage!$L$1:$O$22</definedName>
    <definedName name="ExternalData_18" localSheetId="4">'Range 0'!$L$1:$M$22</definedName>
    <definedName name="ExternalData_18" localSheetId="6">'Range 2'!$L$1:$M$23</definedName>
    <definedName name="ExternalData_18" localSheetId="7">'Range 3'!$L$1:$M$22</definedName>
    <definedName name="ExternalData_18" localSheetId="3">Voltage!$L$1:$O$22</definedName>
    <definedName name="ExternalData_19" localSheetId="4">'Range 0'!$L$1:$M$22</definedName>
    <definedName name="ExternalData_19" localSheetId="6">'Range 2'!$L$1:$M$22</definedName>
    <definedName name="ExternalData_19" localSheetId="7">'Range 3'!$L$1:$M$22</definedName>
    <definedName name="ExternalData_19" localSheetId="3">Voltage!$L$1:$O$22</definedName>
    <definedName name="ExternalData_2" localSheetId="4">'Range 0'!$L$2:$M$22</definedName>
    <definedName name="ExternalData_2" localSheetId="5">'Range 1'!$L$1:$M$22</definedName>
    <definedName name="ExternalData_2" localSheetId="6">'Range 2'!$L$1:$M$22</definedName>
    <definedName name="ExternalData_2" localSheetId="7">'Range 3'!$L$1:$M$22</definedName>
    <definedName name="ExternalData_2" localSheetId="3">Voltage!$L$1:$O$22</definedName>
    <definedName name="ExternalData_20" localSheetId="4">'Range 0'!$L$1:$M$22</definedName>
    <definedName name="ExternalData_20" localSheetId="6">'Range 2'!$L$1:$M$22</definedName>
    <definedName name="ExternalData_20" localSheetId="7">'Range 3'!$L$1:$M$22</definedName>
    <definedName name="ExternalData_20" localSheetId="3">Voltage!$L$1:$O$22</definedName>
    <definedName name="ExternalData_21" localSheetId="4">'Range 0'!$L$1:$M$22</definedName>
    <definedName name="ExternalData_21" localSheetId="6">'Range 2'!$L$1:$M$22</definedName>
    <definedName name="ExternalData_21" localSheetId="7">'Range 3'!$L$1:$M$22</definedName>
    <definedName name="ExternalData_21" localSheetId="3">Voltage!$L$1:$O$22</definedName>
    <definedName name="ExternalData_22" localSheetId="4">'Range 0'!$L$1:$M$22</definedName>
    <definedName name="ExternalData_22" localSheetId="6">'Range 2'!$L$1:$M$22</definedName>
    <definedName name="ExternalData_22" localSheetId="7">'Range 3'!$L$1:$M$22</definedName>
    <definedName name="ExternalData_22" localSheetId="3">Voltage!$L$1:$O$22</definedName>
    <definedName name="ExternalData_23" localSheetId="4">'Range 0'!$L$1:$M$22</definedName>
    <definedName name="ExternalData_23" localSheetId="7">'Range 3'!$L$1:$M$22</definedName>
    <definedName name="ExternalData_23" localSheetId="3">Voltage!$L$1:$O$22</definedName>
    <definedName name="ExternalData_24" localSheetId="4">'Range 0'!$L$1:$M$22</definedName>
    <definedName name="ExternalData_24" localSheetId="7">'Range 3'!$L$1:$M$22</definedName>
    <definedName name="ExternalData_24" localSheetId="3">Voltage!$L$1:$O$22</definedName>
    <definedName name="ExternalData_25" localSheetId="7">'Range 3'!$L$1:$M$22</definedName>
    <definedName name="ExternalData_25" localSheetId="3">Voltage!$L$1:$O$22</definedName>
    <definedName name="ExternalData_26" localSheetId="7">'Range 3'!$L$1:$M$22</definedName>
    <definedName name="ExternalData_26" localSheetId="3">Voltage!$L$1:$O$22</definedName>
    <definedName name="ExternalData_27" localSheetId="7">'Range 3'!$L$1:$M$22</definedName>
    <definedName name="ExternalData_27" localSheetId="3">Voltage!$L$2:$O$23</definedName>
    <definedName name="ExternalData_28" localSheetId="7">'Range 3'!$L$1:$M$22</definedName>
    <definedName name="ExternalData_28" localSheetId="3">Voltage!$L$1:$O$22</definedName>
    <definedName name="ExternalData_29" localSheetId="7">'Range 3'!$L$1:$M$22</definedName>
    <definedName name="ExternalData_29" localSheetId="3">Voltage!$L$1:$O$22</definedName>
    <definedName name="ExternalData_3" localSheetId="4">'Range 0'!$L$2:$M$22</definedName>
    <definedName name="ExternalData_3" localSheetId="5">'Range 1'!$L$1:$M$22</definedName>
    <definedName name="ExternalData_3" localSheetId="6">'Range 2'!$L$1:$M$22</definedName>
    <definedName name="ExternalData_3" localSheetId="7">'Range 3'!$L$1:$M$22</definedName>
    <definedName name="ExternalData_3" localSheetId="3">Voltage!$L$1:$O$22</definedName>
    <definedName name="ExternalData_30" localSheetId="7">'Range 3'!$L$1:$M$22</definedName>
    <definedName name="ExternalData_30" localSheetId="3">Voltage!$L$1:$O$22</definedName>
    <definedName name="ExternalData_31" localSheetId="7">'Range 3'!$L$1:$M$23</definedName>
    <definedName name="ExternalData_31" localSheetId="3">Voltage!$L$1:$O$22</definedName>
    <definedName name="ExternalData_32" localSheetId="7">'Range 3'!$L$1:$M$23</definedName>
    <definedName name="ExternalData_32" localSheetId="3">Voltage!$L$1:$M$22</definedName>
    <definedName name="ExternalData_33" localSheetId="7">'Range 3'!$L$1:$M$23</definedName>
    <definedName name="ExternalData_33" localSheetId="3">Voltage!$L$1:$O$22</definedName>
    <definedName name="ExternalData_34" localSheetId="7">'Range 3'!$L$1:$M$23</definedName>
    <definedName name="ExternalData_34" localSheetId="3">Voltage!$L$1:$O$22</definedName>
    <definedName name="ExternalData_35" localSheetId="7">'Range 3'!$L$1:$M$22</definedName>
    <definedName name="ExternalData_35" localSheetId="3">Voltage!$L$1:$O$22</definedName>
    <definedName name="ExternalData_36" localSheetId="7">'Range 3'!$L$1:$M$22</definedName>
    <definedName name="ExternalData_36" localSheetId="3">Voltage!$L$1:$O$22</definedName>
    <definedName name="ExternalData_37" localSheetId="7">'Range 3'!$L$1:$M$22</definedName>
    <definedName name="ExternalData_37" localSheetId="3">Voltage!$L$1:$O$22</definedName>
    <definedName name="ExternalData_38" localSheetId="7">'Range 3'!$L$1:$M$22</definedName>
    <definedName name="ExternalData_38" localSheetId="3">Voltage!$L$1:$O$22</definedName>
    <definedName name="ExternalData_39" localSheetId="7">'Range 3'!$L$1:$M$22</definedName>
    <definedName name="ExternalData_39" localSheetId="3">Voltage!$L$1:$O$22</definedName>
    <definedName name="ExternalData_4" localSheetId="4">'Range 0'!$L$1:$M$22</definedName>
    <definedName name="ExternalData_4" localSheetId="5">'Range 1'!$L$1:$M$22</definedName>
    <definedName name="ExternalData_4" localSheetId="6">'Range 2'!$L$1:$M$22</definedName>
    <definedName name="ExternalData_4" localSheetId="7">'Range 3'!$L$1:$M$22</definedName>
    <definedName name="ExternalData_4" localSheetId="3">Voltage!$L$1:$O$22</definedName>
    <definedName name="ExternalData_40" localSheetId="7">'Range 3'!$L$1:$M$22</definedName>
    <definedName name="ExternalData_40" localSheetId="3">Voltage!$L$1:$O$22</definedName>
    <definedName name="ExternalData_41" localSheetId="7">'Range 3'!$L$1:$M$22</definedName>
    <definedName name="ExternalData_41" localSheetId="3">Voltage!$L$1:$O$22</definedName>
    <definedName name="ExternalData_42" localSheetId="7">'Range 3'!$L$1:$M$22</definedName>
    <definedName name="ExternalData_42" localSheetId="3">Voltage!$L$1:$O$22</definedName>
    <definedName name="ExternalData_43" localSheetId="7">'Range 3'!$L$1:$M$22</definedName>
    <definedName name="ExternalData_43" localSheetId="3">Voltage!$L$1:$O$22</definedName>
    <definedName name="ExternalData_44" localSheetId="3">Voltage!$L$1:$M$22</definedName>
    <definedName name="ExternalData_45" localSheetId="3">Voltage!$L$1:$O$22</definedName>
    <definedName name="ExternalData_46" localSheetId="3">Voltage!$L$1:$O$22</definedName>
    <definedName name="ExternalData_47" localSheetId="3">Voltage!$L$1:$O$22</definedName>
    <definedName name="ExternalData_48" localSheetId="3">Voltage!$L$1:$O$22</definedName>
    <definedName name="ExternalData_49" localSheetId="3">Voltage!$L$1:$O$22</definedName>
    <definedName name="ExternalData_5" localSheetId="4">'Range 0'!$L$1:$M$22</definedName>
    <definedName name="ExternalData_5" localSheetId="5">'Range 1'!$L$1:$M$22</definedName>
    <definedName name="ExternalData_5" localSheetId="6">'Range 2'!$L$1:$M$22</definedName>
    <definedName name="ExternalData_5" localSheetId="7">'Range 3'!$L$1:$M$22</definedName>
    <definedName name="ExternalData_5" localSheetId="3">Voltage!$L$1:$O$22</definedName>
    <definedName name="ExternalData_50" localSheetId="3">Voltage!$L$1:$O$22</definedName>
    <definedName name="ExternalData_51" localSheetId="3">Voltage!$L$1:$O$22</definedName>
    <definedName name="ExternalData_52" localSheetId="3">Voltage!$L$1:$O$22</definedName>
    <definedName name="ExternalData_53" localSheetId="3">Voltage!$L$1:$O$22</definedName>
    <definedName name="ExternalData_54" localSheetId="3">Voltage!$L$1:$O$22</definedName>
    <definedName name="ExternalData_55" localSheetId="3">Voltage!$L$1:$O$22</definedName>
    <definedName name="ExternalData_56" localSheetId="3">Voltage!$L$1:$O$22</definedName>
    <definedName name="ExternalData_57" localSheetId="3">Voltage!$L$1:$O$22</definedName>
    <definedName name="ExternalData_58" localSheetId="3">Voltage!$L$1:$O$22</definedName>
    <definedName name="ExternalData_59" localSheetId="3">Voltage!$L$1:$O$22</definedName>
    <definedName name="ExternalData_6" localSheetId="4">'Range 0'!$L$1:$M$22</definedName>
    <definedName name="ExternalData_6" localSheetId="5">'Range 1'!$L$1:$M$22</definedName>
    <definedName name="ExternalData_6" localSheetId="6">'Range 2'!$L$1:$M$22</definedName>
    <definedName name="ExternalData_6" localSheetId="7">'Range 3'!$L$1:$M$22</definedName>
    <definedName name="ExternalData_6" localSheetId="3">Voltage!$L$1:$O$22</definedName>
    <definedName name="ExternalData_60" localSheetId="3">Voltage!$L$1:$O$22</definedName>
    <definedName name="ExternalData_61" localSheetId="3">Voltage!$L$1:$O$22</definedName>
    <definedName name="ExternalData_62" localSheetId="3">Voltage!$L$1:$O$22</definedName>
    <definedName name="ExternalData_63" localSheetId="3">Voltage!$L$1:$O$22</definedName>
    <definedName name="ExternalData_7" localSheetId="4">'Range 0'!$L$1:$M$22</definedName>
    <definedName name="ExternalData_7" localSheetId="5">'Range 1'!$L$1:$M$22</definedName>
    <definedName name="ExternalData_7" localSheetId="6">'Range 2'!$L$1:$M$23</definedName>
    <definedName name="ExternalData_7" localSheetId="7">'Range 3'!$L$1:$M$2</definedName>
    <definedName name="ExternalData_7" localSheetId="3">Voltage!$L$1:$O$22</definedName>
    <definedName name="ExternalData_8" localSheetId="4">'Range 0'!$L$1:$M$22</definedName>
    <definedName name="ExternalData_8" localSheetId="5">'Range 1'!$L$1:$M$22</definedName>
    <definedName name="ExternalData_8" localSheetId="6">'Range 2'!$L$1:$M$23</definedName>
    <definedName name="ExternalData_8" localSheetId="7">'Range 3'!$L$1:$M$2</definedName>
    <definedName name="ExternalData_8" localSheetId="3">Voltage!$L$1:$O$22</definedName>
    <definedName name="ExternalData_9" localSheetId="4">'Range 0'!$L$1:$M$22</definedName>
    <definedName name="ExternalData_9" localSheetId="5">'Range 1'!$L$1:$M$22</definedName>
    <definedName name="ExternalData_9" localSheetId="6">'Range 2'!$L$1:$M$23</definedName>
    <definedName name="ExternalData_9" localSheetId="7">'Range 3'!$L$1:$M$2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1" l="1"/>
  <c r="U2" i="2" l="1"/>
  <c r="T2" i="2"/>
  <c r="S2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I26" i="1" l="1"/>
  <c r="K29" i="1"/>
  <c r="K32" i="1"/>
  <c r="K26" i="1"/>
  <c r="O26" i="1"/>
  <c r="M32" i="1"/>
  <c r="M29" i="1"/>
  <c r="M26" i="1"/>
  <c r="O29" i="1"/>
  <c r="O32" i="1"/>
  <c r="I32" i="1"/>
  <c r="I29" i="1"/>
  <c r="P3" i="2"/>
  <c r="P22" i="2"/>
  <c r="P18" i="2"/>
  <c r="P14" i="2"/>
  <c r="P10" i="2"/>
  <c r="P6" i="2"/>
  <c r="P5" i="2"/>
  <c r="P20" i="2"/>
  <c r="P16" i="2"/>
  <c r="P12" i="2"/>
  <c r="P8" i="2"/>
  <c r="P4" i="2"/>
  <c r="P21" i="2"/>
  <c r="P17" i="2"/>
  <c r="P13" i="2"/>
  <c r="P9" i="2"/>
  <c r="P2" i="2"/>
  <c r="P19" i="2"/>
  <c r="P15" i="2"/>
  <c r="P11" i="2"/>
  <c r="P7" i="2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V23" i="1" l="1"/>
  <c r="T23" i="1"/>
  <c r="R23" i="1"/>
  <c r="P23" i="1"/>
  <c r="N23" i="1"/>
  <c r="L23" i="1"/>
  <c r="J23" i="1"/>
  <c r="H23" i="1"/>
  <c r="D23" i="1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D2" i="1"/>
  <c r="K3" i="1"/>
  <c r="M3" i="1"/>
  <c r="K4" i="1"/>
  <c r="M4" i="1"/>
  <c r="K5" i="1"/>
  <c r="M5" i="1"/>
  <c r="K6" i="1"/>
  <c r="M6" i="1"/>
  <c r="K7" i="1"/>
  <c r="M7" i="1"/>
  <c r="K8" i="1"/>
  <c r="M8" i="1"/>
  <c r="K9" i="1"/>
  <c r="M9" i="1"/>
  <c r="K10" i="1"/>
  <c r="M10" i="1"/>
  <c r="K11" i="1"/>
  <c r="M11" i="1"/>
  <c r="K12" i="1"/>
  <c r="M12" i="1"/>
  <c r="K13" i="1"/>
  <c r="M13" i="1"/>
  <c r="K14" i="1"/>
  <c r="M14" i="1"/>
  <c r="K15" i="1"/>
  <c r="M15" i="1"/>
  <c r="K16" i="1"/>
  <c r="M16" i="1"/>
  <c r="K17" i="1"/>
  <c r="M17" i="1"/>
  <c r="K18" i="1"/>
  <c r="M18" i="1"/>
  <c r="K19" i="1"/>
  <c r="M19" i="1"/>
  <c r="K20" i="1"/>
  <c r="M20" i="1"/>
  <c r="K21" i="1"/>
  <c r="M21" i="1"/>
  <c r="K22" i="1"/>
  <c r="M22" i="1"/>
  <c r="U32" i="1"/>
  <c r="B67" i="21" s="1"/>
  <c r="Q32" i="1"/>
  <c r="B65" i="21" s="1"/>
  <c r="M2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" i="1"/>
  <c r="D3" i="1"/>
  <c r="E3" i="1"/>
  <c r="F3" i="1"/>
  <c r="G3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E2" i="1"/>
  <c r="F2" i="1"/>
  <c r="G2" i="1"/>
  <c r="F29" i="1" l="1"/>
  <c r="F26" i="1"/>
  <c r="B16" i="21" s="1"/>
  <c r="H29" i="1"/>
  <c r="B21" i="21" s="1"/>
  <c r="F36" i="1"/>
  <c r="D26" i="1"/>
  <c r="P32" i="1"/>
  <c r="B41" i="21" s="1"/>
  <c r="P26" i="1"/>
  <c r="B33" i="21" s="1"/>
  <c r="T32" i="1"/>
  <c r="B43" i="21" s="1"/>
  <c r="T26" i="1"/>
  <c r="B35" i="21" s="1"/>
  <c r="P29" i="1"/>
  <c r="B25" i="21" s="1"/>
  <c r="V29" i="1"/>
  <c r="B28" i="21" s="1"/>
  <c r="R29" i="1"/>
  <c r="B26" i="21" s="1"/>
  <c r="L29" i="1"/>
  <c r="B23" i="21" s="1"/>
  <c r="N29" i="1"/>
  <c r="B24" i="21" s="1"/>
  <c r="T29" i="1"/>
  <c r="B27" i="21" s="1"/>
  <c r="L32" i="1"/>
  <c r="B39" i="21" s="1"/>
  <c r="L26" i="1"/>
  <c r="B31" i="21" s="1"/>
  <c r="R26" i="1"/>
  <c r="B34" i="21" s="1"/>
  <c r="R32" i="1"/>
  <c r="B42" i="21" s="1"/>
  <c r="V32" i="1"/>
  <c r="B44" i="21" s="1"/>
  <c r="V26" i="1"/>
  <c r="B36" i="21" s="1"/>
  <c r="N26" i="1"/>
  <c r="B32" i="21" s="1"/>
  <c r="N32" i="1"/>
  <c r="B40" i="21" s="1"/>
  <c r="J29" i="1"/>
  <c r="B22" i="21" s="1"/>
  <c r="J32" i="1"/>
  <c r="B38" i="21" s="1"/>
  <c r="J26" i="1"/>
  <c r="B30" i="21" s="1"/>
  <c r="H32" i="1"/>
  <c r="B37" i="21" s="1"/>
  <c r="H26" i="1"/>
  <c r="B29" i="21" s="1"/>
  <c r="D32" i="1"/>
  <c r="B11" i="21" s="1"/>
  <c r="D29" i="1"/>
  <c r="B9" i="21" s="1"/>
  <c r="W29" i="1"/>
  <c r="B52" i="21" s="1"/>
  <c r="W26" i="1"/>
  <c r="B60" i="21" s="1"/>
  <c r="U26" i="1"/>
  <c r="B59" i="21" s="1"/>
  <c r="S29" i="1"/>
  <c r="B50" i="21" s="1"/>
  <c r="Q26" i="1"/>
  <c r="B57" i="21" s="1"/>
  <c r="Q29" i="1"/>
  <c r="B49" i="21" s="1"/>
  <c r="B47" i="21"/>
  <c r="B48" i="21"/>
  <c r="G29" i="1"/>
  <c r="B18" i="21" s="1"/>
  <c r="F32" i="1"/>
  <c r="B17" i="21" s="1"/>
  <c r="G26" i="1"/>
  <c r="B19" i="21" s="1"/>
  <c r="E32" i="1"/>
  <c r="B14" i="21" s="1"/>
  <c r="E29" i="1"/>
  <c r="B12" i="21" s="1"/>
  <c r="G32" i="1"/>
  <c r="B20" i="21" s="1"/>
  <c r="E26" i="1"/>
  <c r="B13" i="21" s="1"/>
  <c r="B45" i="21"/>
  <c r="B61" i="21"/>
  <c r="B53" i="21"/>
  <c r="U29" i="1"/>
  <c r="B51" i="21" s="1"/>
  <c r="S26" i="1"/>
  <c r="B58" i="21" s="1"/>
  <c r="S32" i="1"/>
  <c r="B66" i="21" s="1"/>
  <c r="B64" i="21"/>
  <c r="B46" i="21"/>
  <c r="W32" i="1"/>
  <c r="B68" i="21" s="1"/>
  <c r="B56" i="21"/>
  <c r="B55" i="21"/>
  <c r="B63" i="21"/>
  <c r="B62" i="21"/>
  <c r="B54" i="21"/>
  <c r="B15" i="21" l="1"/>
  <c r="B10" i="21"/>
  <c r="D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E1" authorId="0" shapeId="0" xr:uid="{2AE3F6F0-5B0E-45D1-8376-AE33FCF77509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  <comment ref="D35" authorId="0" shapeId="0" xr:uid="{D0E0E225-6061-4646-A423-AA2449384CDF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TODO: Add special value.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2" xr16:uid="{00000000-0015-0000-FFFF-FFFF01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3" xr16:uid="{00000000-0015-0000-FFFF-FFFF02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4" xr16:uid="{00000000-0015-0000-FFFF-FFFF03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5" xr16:uid="{00000000-0015-0000-FFFF-FFFF04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" xr16:uid="{00000000-0015-0000-FFFF-FFFF05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" xr16:uid="{00000000-0015-0000-FFFF-FFFF06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" xr16:uid="{00000000-0015-0000-FFFF-FFFF07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" xr16:uid="{00000000-0015-0000-FFFF-FFFF08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" xr16:uid="{00000000-0015-0000-FFFF-FFFF09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" xr16:uid="{00000000-0015-0000-FFFF-FFFF0A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" xr16:uid="{00000000-0015-0000-FFFF-FFFF0B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" xr16:uid="{00000000-0015-0000-FFFF-FFFF0C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" xr16:uid="{00000000-0015-0000-FFFF-FFFF0D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15" xr16:uid="{00000000-0015-0000-FFFF-FFFF0E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16" xr16:uid="{00000000-0015-0000-FFFF-FFFF0F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17" xr16:uid="{00000000-0015-0000-FFFF-FFFF10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18" xr16:uid="{00000000-0015-0000-FFFF-FFFF11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19" xr16:uid="{68E928FF-228B-489F-8D13-890EDEF5A60D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20" xr16:uid="{00000000-0015-0000-FFFF-FFFF12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21" xr16:uid="{00000000-0015-0000-FFFF-FFFF13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22" xr16:uid="{00000000-0015-0000-FFFF-FFFF14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23" xr16:uid="{00000000-0015-0000-FFFF-FFFF15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24" xr16:uid="{00000000-0015-0000-FFFF-FFFF16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5" xr16:uid="{00000000-0015-0000-FFFF-FFFF17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6" xr16:uid="{00000000-0015-0000-FFFF-FFFF18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7" xr16:uid="{00000000-0015-0000-FFFF-FFFF19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8" xr16:uid="{00000000-0015-0000-FFFF-FFFF1A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9" xr16:uid="{00000000-0015-0000-FFFF-FFFF1B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30" xr16:uid="{00000000-0015-0000-FFFF-FFFF1C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31" xr16:uid="{00000000-0015-0000-FFFF-FFFF1D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32" xr16:uid="{00000000-0015-0000-FFFF-FFFF1E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33" xr16:uid="{00000000-0015-0000-FFFF-FFFF1F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34" xr16:uid="{00000000-0015-0000-FFFF-FFFF20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35" xr16:uid="{E0ACD5CD-AA73-41E4-90AC-64F9FE355FB6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36" xr16:uid="{00000000-0015-0000-FFFF-FFFF21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37" xr16:uid="{00000000-0015-0000-FFFF-FFFF22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38" xr16:uid="{00000000-0015-0000-FFFF-FFFF23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39" xr16:uid="{00000000-0015-0000-FFFF-FFFF24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40" xr16:uid="{00000000-0015-0000-FFFF-FFFF25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41" xr16:uid="{00000000-0015-0000-FFFF-FFFF26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42" xr16:uid="{00000000-0015-0000-FFFF-FFFF2700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43" xr16:uid="{00000000-0015-0000-FFFF-FFFF2800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44" xr16:uid="{00000000-0015-0000-FFFF-FFFF2900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45" xr16:uid="{00000000-0015-0000-FFFF-FFFF2A00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46" xr16:uid="{00000000-0015-0000-FFFF-FFFF2B00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47" xr16:uid="{00000000-0015-0000-FFFF-FFFF2C00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48" xr16:uid="{00000000-0015-0000-FFFF-FFFF2D00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49" xr16:uid="{00000000-0015-0000-FFFF-FFFF2E00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50" xr16:uid="{00000000-0015-0000-FFFF-FFFF2F00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51" xr16:uid="{00000000-0015-0000-FFFF-FFFF3000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52" xr16:uid="{00000000-0015-0000-FFFF-FFFF3100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53" xr16:uid="{00000000-0015-0000-FFFF-FFFF3200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54" xr16:uid="{00000000-0015-0000-FFFF-FFFF3300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55" xr16:uid="{00000000-0015-0000-FFFF-FFFF3400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56" xr16:uid="{C8BAAA30-FF05-4377-AB08-B75A97B9AFC3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57" xr16:uid="{00000000-0015-0000-FFFF-FFFF3500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58" xr16:uid="{00000000-0015-0000-FFFF-FFFF3600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59" xr16:uid="{00000000-0015-0000-FFFF-FFFF3700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0" xr16:uid="{00000000-0015-0000-FFFF-FFFF3800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1" xr16:uid="{00000000-0015-0000-FFFF-FFFF3900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2" xr16:uid="{00000000-0015-0000-FFFF-FFFF3A00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3" xr16:uid="{00000000-0015-0000-FFFF-FFFF3B00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4" xr16:uid="{00000000-0015-0000-FFFF-FFFF3C00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65" xr16:uid="{00000000-0015-0000-FFFF-FFFF3D00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66" xr16:uid="{00000000-0015-0000-FFFF-FFFF3E00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67" xr16:uid="{00000000-0015-0000-FFFF-FFFF3F00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68" xr16:uid="{00000000-0015-0000-FFFF-FFFF4000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69" xr16:uid="{00000000-0015-0000-FFFF-FFFF4100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0" xr16:uid="{00000000-0015-0000-FFFF-FFFF4200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1" xr16:uid="{00000000-0015-0000-FFFF-FFFF4300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2" xr16:uid="{00000000-0015-0000-FFFF-FFFF4400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3" xr16:uid="{00000000-0015-0000-FFFF-FFFF4500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4" xr16:uid="{00000000-0015-0000-FFFF-FFFF4600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5" xr16:uid="{00000000-0015-0000-FFFF-FFFF4700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6" xr16:uid="{00000000-0015-0000-FFFF-FFFF4800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7" xr16:uid="{00000000-0015-0000-FFFF-FFFF4900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8" xr16:uid="{00000000-0015-0000-FFFF-FFFF4A00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79" xr16:uid="{00000000-0015-0000-FFFF-FFFF4B00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0" xr16:uid="{00000000-0015-0000-FFFF-FFFF4C00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1" xr16:uid="{00000000-0015-0000-FFFF-FFFF4D00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2" xr16:uid="{00000000-0015-0000-FFFF-FFFF4E00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3" xr16:uid="{00000000-0015-0000-FFFF-FFFF4F00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4" xr16:uid="{00000000-0015-0000-FFFF-FFFF5000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5" xr16:uid="{00000000-0015-0000-FFFF-FFFF5100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86" xr16:uid="{00000000-0015-0000-FFFF-FFFF5200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87" xr16:uid="{00000000-0015-0000-FFFF-FFFF5300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88" xr16:uid="{00000000-0015-0000-FFFF-FFFF5400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89" xr16:uid="{00000000-0015-0000-FFFF-FFFF5500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90" xr16:uid="{00000000-0015-0000-FFFF-FFFF5600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91" xr16:uid="{00000000-0015-0000-FFFF-FFFF5700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92" xr16:uid="{00000000-0015-0000-FFFF-FFFF5800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93" xr16:uid="{00000000-0015-0000-FFFF-FFFF5900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94" xr16:uid="{00000000-0015-0000-FFFF-FFFF5A00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95" xr16:uid="{00000000-0015-0000-FFFF-FFFF5B00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96" xr16:uid="{00000000-0015-0000-FFFF-FFFF5C00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97" xr16:uid="{00000000-0015-0000-FFFF-FFFF5D00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98" xr16:uid="{00000000-0015-0000-FFFF-FFFF5E00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99" xr16:uid="{00000000-0015-0000-FFFF-FFFF5F00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100" xr16:uid="{00000000-0015-0000-FFFF-FFFF6000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1" xr16:uid="{4CA2CC0A-A132-4F1C-92CA-B52175883DB8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102" xr16:uid="{00000000-0015-0000-FFFF-FFFF6100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3" xr16:uid="{00000000-0015-0000-FFFF-FFFF6200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4" xr16:uid="{00000000-0015-0000-FFFF-FFFF6300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5" xr16:uid="{00000000-0015-0000-FFFF-FFFF6400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6" xr16:uid="{00000000-0015-0000-FFFF-FFFF6500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7" xr16:uid="{00000000-0015-0000-FFFF-FFFF6600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08" xr16:uid="{00000000-0015-0000-FFFF-FFFF6700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09" xr16:uid="{00000000-0015-0000-FFFF-FFFF6800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10" xr16:uid="{00000000-0015-0000-FFFF-FFFF6900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11" xr16:uid="{00000000-0015-0000-FFFF-FFFF6A00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12" xr16:uid="{00000000-0015-0000-FFFF-FFFF6B00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13" xr16:uid="{00000000-0015-0000-FFFF-FFFF6C00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14" xr16:uid="{00000000-0015-0000-FFFF-FFFF6D00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15" xr16:uid="{00000000-0015-0000-FFFF-FFFF6E00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16" xr16:uid="{00000000-0015-0000-FFFF-FFFF6F00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17" xr16:uid="{00000000-0015-0000-FFFF-FFFF7000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118" xr16:uid="{00000000-0015-0000-FFFF-FFFF7100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119" xr16:uid="{00000000-0015-0000-FFFF-FFFF7200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0" xr16:uid="{00000000-0015-0000-FFFF-FFFF7300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21" xr16:uid="{00000000-0015-0000-FFFF-FFFF7400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2" xr16:uid="{00000000-0015-0000-FFFF-FFFF7500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3" xr16:uid="{00000000-0015-0000-FFFF-FFFF7600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24" xr16:uid="{00000000-0015-0000-FFFF-FFFF7700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5" xr16:uid="{00000000-0015-0000-FFFF-FFFF7800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6" xr16:uid="{00000000-0015-0000-FFFF-FFFF7900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7" xr16:uid="{00000000-0015-0000-FFFF-FFFF7A00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8" xr16:uid="{00000000-0015-0000-FFFF-FFFF7B00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29" xr16:uid="{00000000-0015-0000-FFFF-FFFF7C00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0" xr16:uid="{00000000-0015-0000-FFFF-FFFF7D00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1" xr16:uid="{00000000-0015-0000-FFFF-FFFF7E00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32" xr16:uid="{00000000-0015-0000-FFFF-FFFF7F00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3" xr16:uid="{00000000-0015-0000-FFFF-FFFF8000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4" xr16:uid="{00000000-0015-0000-FFFF-FFFF8100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35" xr16:uid="{00000000-0015-0000-FFFF-FFFF8200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6" xr16:uid="{00000000-0015-0000-FFFF-FFFF8300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7" xr16:uid="{00000000-0015-0000-FFFF-FFFF8400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8" xr16:uid="{00000000-0015-0000-FFFF-FFFF8500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39" xr16:uid="{00000000-0015-0000-FFFF-FFFF8600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0" xr16:uid="{00000000-0015-0000-FFFF-FFFF8700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1" xr16:uid="{00000000-0015-0000-FFFF-FFFF8800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2" xr16:uid="{00000000-0015-0000-FFFF-FFFF8900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43" xr16:uid="{00000000-0015-0000-FFFF-FFFF8A00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4" xr16:uid="{00000000-0015-0000-FFFF-FFFF8B00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5" xr16:uid="{00000000-0015-0000-FFFF-FFFF8C00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46" xr16:uid="{00000000-0015-0000-FFFF-FFFF8D00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47" xr16:uid="{00000000-0015-0000-FFFF-FFFF8E00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148" xr16:uid="{00000000-0015-0000-FFFF-FFFF8F00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149" xr16:uid="{00000000-0015-0000-FFFF-FFFF9000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150" xr16:uid="{00000000-0015-0000-FFFF-FFFF9100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151" xr16:uid="{00000000-0015-0000-FFFF-FFFF9200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152" xr16:uid="{249A0F47-D4FC-4B94-BF81-546490CFAC55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153" xr16:uid="{00000000-0015-0000-FFFF-FFFF9300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54" xr16:uid="{00000000-0015-0000-FFFF-FFFF9400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55" xr16:uid="{00000000-0015-0000-FFFF-FFFF9500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56" xr16:uid="{00000000-0015-0000-FFFF-FFFF9600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57" xr16:uid="{00000000-0015-0000-FFFF-FFFF9700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58" xr16:uid="{00000000-0015-0000-FFFF-FFFF9800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59" xr16:uid="{00000000-0015-0000-FFFF-FFFF9900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60" xr16:uid="{00000000-0015-0000-FFFF-FFFF9A00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<sst xmlns="http://schemas.openxmlformats.org/spreadsheetml/2006/main" count="271" uniqueCount="155">
  <si>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</si>
  <si>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</si>
  <si>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</si>
  <si>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</si>
  <si>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</si>
  <si>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</si>
  <si>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</si>
  <si>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</si>
  <si>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</si>
  <si>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</si>
  <si>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</si>
  <si>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</si>
  <si>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</si>
  <si>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</si>
  <si>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</si>
  <si>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</si>
  <si>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</si>
  <si>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</si>
  <si>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</si>
  <si>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</si>
  <si>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</si>
  <si>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</si>
  <si>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</si>
  <si>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</si>
  <si>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</si>
  <si>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</si>
  <si>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</si>
  <si>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</si>
  <si>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</si>
  <si>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</si>
  <si>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</si>
  <si>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</si>
  <si>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</si>
  <si>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</si>
  <si>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</si>
  <si>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</si>
  <si>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</si>
  <si>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</si>
  <si>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</si>
  <si>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</si>
  <si>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</si>
  <si>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</si>
  <si>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</si>
  <si>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</si>
  <si>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</si>
  <si>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</si>
  <si>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</si>
  <si>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</si>
  <si>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</si>
  <si>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</si>
  <si>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</si>
  <si>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</si>
  <si>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Received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</si>
  <si>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</si>
  <si>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</si>
  <si>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</si>
  <si>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</si>
  <si>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</si>
  <si>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</si>
  <si>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</si>
  <si>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</si>
  <si>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</si>
  <si>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</si>
  <si>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</si>
  <si>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</si>
  <si>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</si>
  <si>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</si>
  <si>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</si>
  <si>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</si>
  <si>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</si>
  <si>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</si>
  <si>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</si>
  <si>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</si>
  <si>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</si>
  <si>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</si>
  <si>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</si>
  <si>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</si>
  <si>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</si>
  <si>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</si>
  <si>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</si>
  <si>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</si>
  <si>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</si>
  <si>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</si>
  <si>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</si>
  <si>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</si>
  <si>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</si>
  <si>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</si>
  <si>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</si>
  <si>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</si>
  <si>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</si>
  <si>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Calibrate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</si>
  <si>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</si>
  <si>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</si>
  <si>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</si>
  <si>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</si>
  <si>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</si>
  <si>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</si>
  <si>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</si>
  <si>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</si>
  <si>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</si>
  <si>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</si>
  <si>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</si>
  <si>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</si>
  <si>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</si>
  <si>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</si>
  <si>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</si>
  <si>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</si>
  <si>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</si>
  <si>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</si>
  <si>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</si>
  <si>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</si>
  <si>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</si>
  <si>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</si>
  <si>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</si>
  <si>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</si>
  <si>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</si>
  <si>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</si>
  <si>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</si>
  <si>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</si>
  <si>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</si>
  <si>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</si>
  <si>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</si>
  <si>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</si>
  <si>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</si>
  <si>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</si>
  <si>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</si>
  <si>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</si>
  <si>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</si>
  <si>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</si>
  <si>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</si>
  <si>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</si>
  <si>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</si>
  <si>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</si>
  <si>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</si>
  <si>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</si>
  <si>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</si>
  <si>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</si>
  <si>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</si>
  <si>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</si>
  <si>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</si>
  <si>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</si>
  <si>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</si>
  <si>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</si>
  <si>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</si>
  <si>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</si>
  <si>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</si>
  <si>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</si>
  <si>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</si>
  <si>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</si>
  <si>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</si>
  <si>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</si>
  <si>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</si>
  <si>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</si>
  <si>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err ewe (mV)</t>
  </si>
  <si>
    <t>err ece (mV)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</si>
</sst>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0" fillId="0" borderId="0" xfId="0" applyFill="1"/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Data!$D$2:$D$12</c:f>
              <c:numCache>
                <c:formatCode>General</c:formatCode>
                <c:ptCount val="11"/>
                <c:pt idx="0">
                  <c:v>-8.9915848</c:v>
                </c:pt>
                <c:pt idx="1">
                  <c:v>-7.9914358999999999</c:v>
                </c:pt>
                <c:pt idx="2">
                  <c:v>-6.9915829</c:v>
                </c:pt>
                <c:pt idx="3">
                  <c:v>-5.9925682</c:v>
                </c:pt>
                <c:pt idx="4">
                  <c:v>-4.9928583</c:v>
                </c:pt>
                <c:pt idx="5">
                  <c:v>-3.9929657999999999</c:v>
                </c:pt>
                <c:pt idx="6">
                  <c:v>-2.9927697000000002</c:v>
                </c:pt>
                <c:pt idx="7">
                  <c:v>-1.9932061000000001</c:v>
                </c:pt>
                <c:pt idx="8">
                  <c:v>-0.99367035000000004</c:v>
                </c:pt>
                <c:pt idx="9">
                  <c:v>-0.45188149999999999</c:v>
                </c:pt>
                <c:pt idx="10">
                  <c:v>5.7891210000000004E-3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-29475</c:v>
                </c:pt>
                <c:pt idx="1">
                  <c:v>-26200</c:v>
                </c:pt>
                <c:pt idx="2">
                  <c:v>-22925</c:v>
                </c:pt>
                <c:pt idx="3">
                  <c:v>-19650</c:v>
                </c:pt>
                <c:pt idx="4">
                  <c:v>-16375</c:v>
                </c:pt>
                <c:pt idx="5">
                  <c:v>-13100</c:v>
                </c:pt>
                <c:pt idx="6">
                  <c:v>-9825</c:v>
                </c:pt>
                <c:pt idx="7">
                  <c:v>-6550</c:v>
                </c:pt>
                <c:pt idx="8">
                  <c:v>-3275</c:v>
                </c:pt>
                <c:pt idx="9">
                  <c:v>-1500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Data!$D$12:$D$22</c:f>
              <c:numCache>
                <c:formatCode>General</c:formatCode>
                <c:ptCount val="11"/>
                <c:pt idx="0">
                  <c:v>5.7891210000000004E-3</c:v>
                </c:pt>
                <c:pt idx="1">
                  <c:v>0.46346092</c:v>
                </c:pt>
                <c:pt idx="2">
                  <c:v>1.0053319999999999</c:v>
                </c:pt>
                <c:pt idx="3">
                  <c:v>2.0046689999999998</c:v>
                </c:pt>
                <c:pt idx="4">
                  <c:v>3.0047796999999998</c:v>
                </c:pt>
                <c:pt idx="5">
                  <c:v>4.0049283999999998</c:v>
                </c:pt>
                <c:pt idx="6">
                  <c:v>5.0049982000000002</c:v>
                </c:pt>
                <c:pt idx="7">
                  <c:v>6.0044651</c:v>
                </c:pt>
                <c:pt idx="8">
                  <c:v>7.0041000000000002</c:v>
                </c:pt>
                <c:pt idx="9">
                  <c:v>8.0039417000000004</c:v>
                </c:pt>
                <c:pt idx="10">
                  <c:v>9.0035120000000006</c:v>
                </c:pt>
              </c:numCache>
            </c:numRef>
          </c:xVal>
          <c:yVal>
            <c:numRef>
              <c:f>Data!$C$12:$C$22</c:f>
              <c:numCache>
                <c:formatCode>General</c:formatCode>
                <c:ptCount val="11"/>
                <c:pt idx="0">
                  <c:v>0</c:v>
                </c:pt>
                <c:pt idx="1">
                  <c:v>1500</c:v>
                </c:pt>
                <c:pt idx="2">
                  <c:v>3275</c:v>
                </c:pt>
                <c:pt idx="3">
                  <c:v>6550</c:v>
                </c:pt>
                <c:pt idx="4">
                  <c:v>9825</c:v>
                </c:pt>
                <c:pt idx="5">
                  <c:v>13100</c:v>
                </c:pt>
                <c:pt idx="6">
                  <c:v>16375</c:v>
                </c:pt>
                <c:pt idx="7">
                  <c:v>19650</c:v>
                </c:pt>
                <c:pt idx="8">
                  <c:v>22925</c:v>
                </c:pt>
                <c:pt idx="9">
                  <c:v>26200</c:v>
                </c:pt>
                <c:pt idx="10">
                  <c:v>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-8.9915848</c:v>
                </c:pt>
                <c:pt idx="1">
                  <c:v>-7.9914358999999999</c:v>
                </c:pt>
                <c:pt idx="2">
                  <c:v>-6.9915829</c:v>
                </c:pt>
                <c:pt idx="3">
                  <c:v>-5.9925682</c:v>
                </c:pt>
                <c:pt idx="4">
                  <c:v>-4.9928583</c:v>
                </c:pt>
                <c:pt idx="5">
                  <c:v>-3.9929657999999999</c:v>
                </c:pt>
                <c:pt idx="6">
                  <c:v>-2.9927697000000002</c:v>
                </c:pt>
                <c:pt idx="7">
                  <c:v>-1.9932061000000001</c:v>
                </c:pt>
                <c:pt idx="8">
                  <c:v>-0.99367035000000004</c:v>
                </c:pt>
                <c:pt idx="9">
                  <c:v>-0.45188149999999999</c:v>
                </c:pt>
                <c:pt idx="10">
                  <c:v>5.7891210000000004E-3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5.7891210000000004E-3</c:v>
                </c:pt>
                <c:pt idx="1">
                  <c:v>0.46346092</c:v>
                </c:pt>
                <c:pt idx="2">
                  <c:v>1.0053319999999999</c:v>
                </c:pt>
                <c:pt idx="3">
                  <c:v>2.0046689999999998</c:v>
                </c:pt>
                <c:pt idx="4">
                  <c:v>3.0047796999999998</c:v>
                </c:pt>
                <c:pt idx="5">
                  <c:v>4.0049283999999998</c:v>
                </c:pt>
                <c:pt idx="6">
                  <c:v>5.0049982000000002</c:v>
                </c:pt>
                <c:pt idx="7">
                  <c:v>6.0044651</c:v>
                </c:pt>
                <c:pt idx="8">
                  <c:v>7.0041000000000002</c:v>
                </c:pt>
                <c:pt idx="9">
                  <c:v>8.0039417000000004</c:v>
                </c:pt>
                <c:pt idx="10">
                  <c:v>9.0035120000000006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264520805192238"/>
                  <c:y val="0.15416456647364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Data!$F$2:$F$12</c:f>
              <c:numCache>
                <c:formatCode>General</c:formatCode>
                <c:ptCount val="11"/>
                <c:pt idx="0">
                  <c:v>-29463</c:v>
                </c:pt>
                <c:pt idx="1">
                  <c:v>-26187</c:v>
                </c:pt>
                <c:pt idx="2">
                  <c:v>-22912</c:v>
                </c:pt>
                <c:pt idx="3">
                  <c:v>-19640</c:v>
                </c:pt>
                <c:pt idx="4">
                  <c:v>-16365</c:v>
                </c:pt>
                <c:pt idx="5">
                  <c:v>-13089</c:v>
                </c:pt>
                <c:pt idx="6">
                  <c:v>-9813</c:v>
                </c:pt>
                <c:pt idx="7">
                  <c:v>-6539</c:v>
                </c:pt>
                <c:pt idx="8">
                  <c:v>-3264</c:v>
                </c:pt>
                <c:pt idx="9">
                  <c:v>-1490</c:v>
                </c:pt>
                <c:pt idx="10">
                  <c:v>10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-8.9915848</c:v>
                </c:pt>
                <c:pt idx="1">
                  <c:v>-7.9914358999999999</c:v>
                </c:pt>
                <c:pt idx="2">
                  <c:v>-6.9915829</c:v>
                </c:pt>
                <c:pt idx="3">
                  <c:v>-5.9925682</c:v>
                </c:pt>
                <c:pt idx="4">
                  <c:v>-4.9928583</c:v>
                </c:pt>
                <c:pt idx="5">
                  <c:v>-3.9929657999999999</c:v>
                </c:pt>
                <c:pt idx="6">
                  <c:v>-2.9927697000000002</c:v>
                </c:pt>
                <c:pt idx="7">
                  <c:v>-1.9932061000000001</c:v>
                </c:pt>
                <c:pt idx="8">
                  <c:v>-0.99367035000000004</c:v>
                </c:pt>
                <c:pt idx="9">
                  <c:v>-0.45188149999999999</c:v>
                </c:pt>
                <c:pt idx="10">
                  <c:v>5.7891210000000004E-3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209336803610843"/>
                  <c:y val="-7.62297553706108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Data!$F$12:$F$22</c:f>
              <c:numCache>
                <c:formatCode>General</c:formatCode>
                <c:ptCount val="11"/>
                <c:pt idx="0">
                  <c:v>10</c:v>
                </c:pt>
                <c:pt idx="1">
                  <c:v>1509</c:v>
                </c:pt>
                <c:pt idx="2">
                  <c:v>3285</c:v>
                </c:pt>
                <c:pt idx="3">
                  <c:v>6558</c:v>
                </c:pt>
                <c:pt idx="4">
                  <c:v>9834</c:v>
                </c:pt>
                <c:pt idx="5">
                  <c:v>13110</c:v>
                </c:pt>
                <c:pt idx="6">
                  <c:v>16386</c:v>
                </c:pt>
                <c:pt idx="7">
                  <c:v>19660</c:v>
                </c:pt>
                <c:pt idx="8">
                  <c:v>22935</c:v>
                </c:pt>
                <c:pt idx="9">
                  <c:v>26209</c:v>
                </c:pt>
                <c:pt idx="10">
                  <c:v>29484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5.7891210000000004E-3</c:v>
                </c:pt>
                <c:pt idx="1">
                  <c:v>0.46346092</c:v>
                </c:pt>
                <c:pt idx="2">
                  <c:v>1.0053319999999999</c:v>
                </c:pt>
                <c:pt idx="3">
                  <c:v>2.0046689999999998</c:v>
                </c:pt>
                <c:pt idx="4">
                  <c:v>3.0047796999999998</c:v>
                </c:pt>
                <c:pt idx="5">
                  <c:v>4.0049283999999998</c:v>
                </c:pt>
                <c:pt idx="6">
                  <c:v>5.0049982000000002</c:v>
                </c:pt>
                <c:pt idx="7">
                  <c:v>6.0044651</c:v>
                </c:pt>
                <c:pt idx="8">
                  <c:v>7.0041000000000002</c:v>
                </c:pt>
                <c:pt idx="9">
                  <c:v>8.0039417000000004</c:v>
                </c:pt>
                <c:pt idx="10">
                  <c:v>9.0035120000000006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Data!$G$2:$G$12</c:f>
              <c:numCache>
                <c:formatCode>General</c:formatCode>
                <c:ptCount val="11"/>
                <c:pt idx="0">
                  <c:v>-29459</c:v>
                </c:pt>
                <c:pt idx="1">
                  <c:v>-26182</c:v>
                </c:pt>
                <c:pt idx="2">
                  <c:v>-22907</c:v>
                </c:pt>
                <c:pt idx="3">
                  <c:v>-19634</c:v>
                </c:pt>
                <c:pt idx="4">
                  <c:v>-16359</c:v>
                </c:pt>
                <c:pt idx="5">
                  <c:v>-13083</c:v>
                </c:pt>
                <c:pt idx="6">
                  <c:v>-9806</c:v>
                </c:pt>
                <c:pt idx="7">
                  <c:v>-6533</c:v>
                </c:pt>
                <c:pt idx="8">
                  <c:v>-3258</c:v>
                </c:pt>
                <c:pt idx="9">
                  <c:v>-1483</c:v>
                </c:pt>
                <c:pt idx="10">
                  <c:v>16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-8.9915848</c:v>
                </c:pt>
                <c:pt idx="1">
                  <c:v>-7.9914358999999999</c:v>
                </c:pt>
                <c:pt idx="2">
                  <c:v>-6.9915829</c:v>
                </c:pt>
                <c:pt idx="3">
                  <c:v>-5.9925682</c:v>
                </c:pt>
                <c:pt idx="4">
                  <c:v>-4.9928583</c:v>
                </c:pt>
                <c:pt idx="5">
                  <c:v>-3.9929657999999999</c:v>
                </c:pt>
                <c:pt idx="6">
                  <c:v>-2.9927697000000002</c:v>
                </c:pt>
                <c:pt idx="7">
                  <c:v>-1.9932061000000001</c:v>
                </c:pt>
                <c:pt idx="8">
                  <c:v>-0.99367035000000004</c:v>
                </c:pt>
                <c:pt idx="9">
                  <c:v>-0.45188149999999999</c:v>
                </c:pt>
                <c:pt idx="10">
                  <c:v>5.7891210000000004E-3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Data!$G$12:$G$22</c:f>
              <c:numCache>
                <c:formatCode>General</c:formatCode>
                <c:ptCount val="11"/>
                <c:pt idx="0">
                  <c:v>16</c:v>
                </c:pt>
                <c:pt idx="1">
                  <c:v>1515</c:v>
                </c:pt>
                <c:pt idx="2">
                  <c:v>3291</c:v>
                </c:pt>
                <c:pt idx="3">
                  <c:v>6565</c:v>
                </c:pt>
                <c:pt idx="4">
                  <c:v>9840</c:v>
                </c:pt>
                <c:pt idx="5">
                  <c:v>13117</c:v>
                </c:pt>
                <c:pt idx="6">
                  <c:v>16393</c:v>
                </c:pt>
                <c:pt idx="7">
                  <c:v>19667</c:v>
                </c:pt>
                <c:pt idx="8">
                  <c:v>22942</c:v>
                </c:pt>
                <c:pt idx="9">
                  <c:v>26217</c:v>
                </c:pt>
                <c:pt idx="10">
                  <c:v>29492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5.7891210000000004E-3</c:v>
                </c:pt>
                <c:pt idx="1">
                  <c:v>0.46346092</c:v>
                </c:pt>
                <c:pt idx="2">
                  <c:v>1.0053319999999999</c:v>
                </c:pt>
                <c:pt idx="3">
                  <c:v>2.0046689999999998</c:v>
                </c:pt>
                <c:pt idx="4">
                  <c:v>3.0047796999999998</c:v>
                </c:pt>
                <c:pt idx="5">
                  <c:v>4.0049283999999998</c:v>
                </c:pt>
                <c:pt idx="6">
                  <c:v>5.0049982000000002</c:v>
                </c:pt>
                <c:pt idx="7">
                  <c:v>6.0044651</c:v>
                </c:pt>
                <c:pt idx="8">
                  <c:v>7.0041000000000002</c:v>
                </c:pt>
                <c:pt idx="9">
                  <c:v>8.0039417000000004</c:v>
                </c:pt>
                <c:pt idx="10">
                  <c:v>9.0035120000000006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3823658287483941"/>
                  <c:y val="-5.71742320134543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Data!$H$2:$H$12</c:f>
              <c:numCache>
                <c:formatCode>General</c:formatCode>
                <c:ptCount val="11"/>
                <c:pt idx="0" formatCode="0.00E+00">
                  <c:v>-99.855026999999993</c:v>
                </c:pt>
                <c:pt idx="1">
                  <c:v>-89.847321999999991</c:v>
                </c:pt>
                <c:pt idx="2">
                  <c:v>-79.825468999999998</c:v>
                </c:pt>
                <c:pt idx="3">
                  <c:v>-69.816164000000001</c:v>
                </c:pt>
                <c:pt idx="4">
                  <c:v>-59.796496999999995</c:v>
                </c:pt>
                <c:pt idx="5">
                  <c:v>-49.789608000000001</c:v>
                </c:pt>
                <c:pt idx="6">
                  <c:v>-39.768527999999996</c:v>
                </c:pt>
                <c:pt idx="7">
                  <c:v>-29.745282000000003</c:v>
                </c:pt>
                <c:pt idx="8">
                  <c:v>-19.727074999999999</c:v>
                </c:pt>
                <c:pt idx="9">
                  <c:v>-9.7281293000000009</c:v>
                </c:pt>
                <c:pt idx="10">
                  <c:v>0.29340300000000002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9195137218726314E-2"/>
                  <c:y val="-0.243023665002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Data!$H$12:$H$22</c:f>
              <c:numCache>
                <c:formatCode>General</c:formatCode>
                <c:ptCount val="11"/>
                <c:pt idx="0">
                  <c:v>0.29340300000000002</c:v>
                </c:pt>
                <c:pt idx="1">
                  <c:v>10.3027</c:v>
                </c:pt>
                <c:pt idx="2">
                  <c:v>20.303523000000002</c:v>
                </c:pt>
                <c:pt idx="3">
                  <c:v>30.333552999999998</c:v>
                </c:pt>
                <c:pt idx="4">
                  <c:v>40.352425999999994</c:v>
                </c:pt>
                <c:pt idx="5">
                  <c:v>50.364049000000001</c:v>
                </c:pt>
                <c:pt idx="6">
                  <c:v>60.385565</c:v>
                </c:pt>
                <c:pt idx="7">
                  <c:v>70.414341000000007</c:v>
                </c:pt>
                <c:pt idx="8">
                  <c:v>80.422214000000011</c:v>
                </c:pt>
                <c:pt idx="9">
                  <c:v>90.441097999999997</c:v>
                </c:pt>
                <c:pt idx="10">
                  <c:v>100.41625999999999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188515138536553"/>
                  <c:y val="-1.33235698301182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Data!$I$2:$I$12</c:f>
              <c:numCache>
                <c:formatCode>General</c:formatCode>
                <c:ptCount val="11"/>
                <c:pt idx="0">
                  <c:v>-27369</c:v>
                </c:pt>
                <c:pt idx="1">
                  <c:v>-24663</c:v>
                </c:pt>
                <c:pt idx="2">
                  <c:v>-21917</c:v>
                </c:pt>
                <c:pt idx="3">
                  <c:v>-19170</c:v>
                </c:pt>
                <c:pt idx="4">
                  <c:v>-16418</c:v>
                </c:pt>
                <c:pt idx="5">
                  <c:v>-13671</c:v>
                </c:pt>
                <c:pt idx="6">
                  <c:v>-10920</c:v>
                </c:pt>
                <c:pt idx="7">
                  <c:v>-8169</c:v>
                </c:pt>
                <c:pt idx="8">
                  <c:v>-5420</c:v>
                </c:pt>
                <c:pt idx="9">
                  <c:v>-2675</c:v>
                </c:pt>
                <c:pt idx="10">
                  <c:v>80</c:v>
                </c:pt>
              </c:numCache>
            </c:numRef>
          </c:xVal>
          <c:yVal>
            <c:numRef>
              <c:f>Data!$H$2:$H$12</c:f>
              <c:numCache>
                <c:formatCode>General</c:formatCode>
                <c:ptCount val="11"/>
                <c:pt idx="0" formatCode="0.00E+00">
                  <c:v>-99.855026999999993</c:v>
                </c:pt>
                <c:pt idx="1">
                  <c:v>-89.847321999999991</c:v>
                </c:pt>
                <c:pt idx="2">
                  <c:v>-79.825468999999998</c:v>
                </c:pt>
                <c:pt idx="3">
                  <c:v>-69.816164000000001</c:v>
                </c:pt>
                <c:pt idx="4">
                  <c:v>-59.796496999999995</c:v>
                </c:pt>
                <c:pt idx="5">
                  <c:v>-49.789608000000001</c:v>
                </c:pt>
                <c:pt idx="6">
                  <c:v>-39.768527999999996</c:v>
                </c:pt>
                <c:pt idx="7">
                  <c:v>-29.745282000000003</c:v>
                </c:pt>
                <c:pt idx="8">
                  <c:v>-19.727074999999999</c:v>
                </c:pt>
                <c:pt idx="9">
                  <c:v>-9.7281293000000009</c:v>
                </c:pt>
                <c:pt idx="10">
                  <c:v>0.29340300000000002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4209139129576"/>
                  <c:y val="-0.2700147711295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Data!$I$12:$I$22</c:f>
              <c:numCache>
                <c:formatCode>General</c:formatCode>
                <c:ptCount val="11"/>
                <c:pt idx="0">
                  <c:v>80</c:v>
                </c:pt>
                <c:pt idx="1">
                  <c:v>2826</c:v>
                </c:pt>
                <c:pt idx="2">
                  <c:v>5572</c:v>
                </c:pt>
                <c:pt idx="3">
                  <c:v>8325</c:v>
                </c:pt>
                <c:pt idx="4">
                  <c:v>11075</c:v>
                </c:pt>
                <c:pt idx="5">
                  <c:v>13823</c:v>
                </c:pt>
                <c:pt idx="6">
                  <c:v>16571</c:v>
                </c:pt>
                <c:pt idx="7">
                  <c:v>19323</c:v>
                </c:pt>
                <c:pt idx="8">
                  <c:v>22068</c:v>
                </c:pt>
                <c:pt idx="9">
                  <c:v>24810</c:v>
                </c:pt>
                <c:pt idx="10">
                  <c:v>27509</c:v>
                </c:pt>
              </c:numCache>
            </c:numRef>
          </c:xVal>
          <c:yVal>
            <c:numRef>
              <c:f>Data!$H$12:$H$22</c:f>
              <c:numCache>
                <c:formatCode>General</c:formatCode>
                <c:ptCount val="11"/>
                <c:pt idx="0">
                  <c:v>0.29340300000000002</c:v>
                </c:pt>
                <c:pt idx="1">
                  <c:v>10.3027</c:v>
                </c:pt>
                <c:pt idx="2">
                  <c:v>20.303523000000002</c:v>
                </c:pt>
                <c:pt idx="3">
                  <c:v>30.333552999999998</c:v>
                </c:pt>
                <c:pt idx="4">
                  <c:v>40.352425999999994</c:v>
                </c:pt>
                <c:pt idx="5">
                  <c:v>50.364049000000001</c:v>
                </c:pt>
                <c:pt idx="6">
                  <c:v>60.385565</c:v>
                </c:pt>
                <c:pt idx="7">
                  <c:v>70.414341000000007</c:v>
                </c:pt>
                <c:pt idx="8">
                  <c:v>80.422214000000011</c:v>
                </c:pt>
                <c:pt idx="9">
                  <c:v>90.441097999999997</c:v>
                </c:pt>
                <c:pt idx="10">
                  <c:v>100.41625999999999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Data!$J$2:$J$12</c:f>
              <c:numCache>
                <c:formatCode>General</c:formatCode>
                <c:ptCount val="11"/>
                <c:pt idx="0" formatCode="0.00E+00">
                  <c:v>-5.0696787999999993</c:v>
                </c:pt>
                <c:pt idx="1">
                  <c:v>-4.5618784000000003</c:v>
                </c:pt>
                <c:pt idx="2">
                  <c:v>-4.0534508000000002</c:v>
                </c:pt>
                <c:pt idx="3">
                  <c:v>-3.5454569</c:v>
                </c:pt>
                <c:pt idx="4">
                  <c:v>-3.0369171000000001</c:v>
                </c:pt>
                <c:pt idx="5">
                  <c:v>-2.5291690999999998</c:v>
                </c:pt>
                <c:pt idx="6">
                  <c:v>-2.0207077</c:v>
                </c:pt>
                <c:pt idx="7">
                  <c:v>-1.5119666</c:v>
                </c:pt>
                <c:pt idx="8">
                  <c:v>-1.0037052</c:v>
                </c:pt>
                <c:pt idx="9">
                  <c:v>-0.4963398</c:v>
                </c:pt>
                <c:pt idx="10">
                  <c:v>1.2282299999999999E-2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Data!$J$12:$J$22</c:f>
              <c:numCache>
                <c:formatCode>General</c:formatCode>
                <c:ptCount val="11"/>
                <c:pt idx="0">
                  <c:v>1.2282299999999999E-2</c:v>
                </c:pt>
                <c:pt idx="1">
                  <c:v>0.52005919999999994</c:v>
                </c:pt>
                <c:pt idx="2">
                  <c:v>1.0275569999999998</c:v>
                </c:pt>
                <c:pt idx="3">
                  <c:v>1.5365400999999999</c:v>
                </c:pt>
                <c:pt idx="4">
                  <c:v>2.0449318000000001</c:v>
                </c:pt>
                <c:pt idx="5">
                  <c:v>2.5528845999999996</c:v>
                </c:pt>
                <c:pt idx="6">
                  <c:v>3.0614796000000002</c:v>
                </c:pt>
                <c:pt idx="7">
                  <c:v>3.5703665999999998</c:v>
                </c:pt>
                <c:pt idx="8">
                  <c:v>4.0783141999999994</c:v>
                </c:pt>
                <c:pt idx="9">
                  <c:v>4.5866175</c:v>
                </c:pt>
                <c:pt idx="10">
                  <c:v>5.0945961999999998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Data!$K$2:$K$12</c:f>
              <c:numCache>
                <c:formatCode>General</c:formatCode>
                <c:ptCount val="11"/>
                <c:pt idx="0">
                  <c:v>-27587</c:v>
                </c:pt>
                <c:pt idx="1">
                  <c:v>-24870</c:v>
                </c:pt>
                <c:pt idx="2">
                  <c:v>-22104</c:v>
                </c:pt>
                <c:pt idx="3">
                  <c:v>-19336</c:v>
                </c:pt>
                <c:pt idx="4">
                  <c:v>-16562</c:v>
                </c:pt>
                <c:pt idx="5">
                  <c:v>-13793</c:v>
                </c:pt>
                <c:pt idx="6">
                  <c:v>-11021</c:v>
                </c:pt>
                <c:pt idx="7">
                  <c:v>-8248</c:v>
                </c:pt>
                <c:pt idx="8">
                  <c:v>-5476</c:v>
                </c:pt>
                <c:pt idx="9">
                  <c:v>-2711</c:v>
                </c:pt>
                <c:pt idx="10">
                  <c:v>66</c:v>
                </c:pt>
              </c:numCache>
            </c:numRef>
          </c:xVal>
          <c:yVal>
            <c:numRef>
              <c:f>Data!$J$2:$J$12</c:f>
              <c:numCache>
                <c:formatCode>General</c:formatCode>
                <c:ptCount val="11"/>
                <c:pt idx="0" formatCode="0.00E+00">
                  <c:v>-5.0696787999999993</c:v>
                </c:pt>
                <c:pt idx="1">
                  <c:v>-4.5618784000000003</c:v>
                </c:pt>
                <c:pt idx="2">
                  <c:v>-4.0534508000000002</c:v>
                </c:pt>
                <c:pt idx="3">
                  <c:v>-3.5454569</c:v>
                </c:pt>
                <c:pt idx="4">
                  <c:v>-3.0369171000000001</c:v>
                </c:pt>
                <c:pt idx="5">
                  <c:v>-2.5291690999999998</c:v>
                </c:pt>
                <c:pt idx="6">
                  <c:v>-2.0207077</c:v>
                </c:pt>
                <c:pt idx="7">
                  <c:v>-1.5119666</c:v>
                </c:pt>
                <c:pt idx="8">
                  <c:v>-1.0037052</c:v>
                </c:pt>
                <c:pt idx="9">
                  <c:v>-0.4963398</c:v>
                </c:pt>
                <c:pt idx="10">
                  <c:v>1.2282299999999999E-2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Data!$K$12:$K$22</c:f>
              <c:numCache>
                <c:formatCode>General</c:formatCode>
                <c:ptCount val="11"/>
                <c:pt idx="0">
                  <c:v>66</c:v>
                </c:pt>
                <c:pt idx="1">
                  <c:v>2834</c:v>
                </c:pt>
                <c:pt idx="2">
                  <c:v>5600</c:v>
                </c:pt>
                <c:pt idx="3">
                  <c:v>8375</c:v>
                </c:pt>
                <c:pt idx="4">
                  <c:v>11147</c:v>
                </c:pt>
                <c:pt idx="5">
                  <c:v>13915</c:v>
                </c:pt>
                <c:pt idx="6">
                  <c:v>16685</c:v>
                </c:pt>
                <c:pt idx="7">
                  <c:v>19458</c:v>
                </c:pt>
                <c:pt idx="8">
                  <c:v>22225</c:v>
                </c:pt>
                <c:pt idx="9">
                  <c:v>24987</c:v>
                </c:pt>
                <c:pt idx="10">
                  <c:v>27697</c:v>
                </c:pt>
              </c:numCache>
            </c:numRef>
          </c:xVal>
          <c:yVal>
            <c:numRef>
              <c:f>Data!$J$12:$J$22</c:f>
              <c:numCache>
                <c:formatCode>General</c:formatCode>
                <c:ptCount val="11"/>
                <c:pt idx="0">
                  <c:v>1.2282299999999999E-2</c:v>
                </c:pt>
                <c:pt idx="1">
                  <c:v>0.52005919999999994</c:v>
                </c:pt>
                <c:pt idx="2">
                  <c:v>1.0275569999999998</c:v>
                </c:pt>
                <c:pt idx="3">
                  <c:v>1.5365400999999999</c:v>
                </c:pt>
                <c:pt idx="4">
                  <c:v>2.0449318000000001</c:v>
                </c:pt>
                <c:pt idx="5">
                  <c:v>2.5528845999999996</c:v>
                </c:pt>
                <c:pt idx="6">
                  <c:v>3.0614796000000002</c:v>
                </c:pt>
                <c:pt idx="7">
                  <c:v>3.5703665999999998</c:v>
                </c:pt>
                <c:pt idx="8">
                  <c:v>4.0783141999999994</c:v>
                </c:pt>
                <c:pt idx="9">
                  <c:v>4.5866175</c:v>
                </c:pt>
                <c:pt idx="10">
                  <c:v>5.0945961999999998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Data!$M$2:$M$12</c:f>
              <c:numCache>
                <c:formatCode>General</c:formatCode>
                <c:ptCount val="11"/>
                <c:pt idx="0">
                  <c:v>-27606</c:v>
                </c:pt>
                <c:pt idx="1">
                  <c:v>-24882</c:v>
                </c:pt>
                <c:pt idx="2">
                  <c:v>-22114</c:v>
                </c:pt>
                <c:pt idx="3">
                  <c:v>-19344</c:v>
                </c:pt>
                <c:pt idx="4">
                  <c:v>-16570</c:v>
                </c:pt>
                <c:pt idx="5">
                  <c:v>-13799</c:v>
                </c:pt>
                <c:pt idx="6">
                  <c:v>-11026</c:v>
                </c:pt>
                <c:pt idx="7">
                  <c:v>-8251</c:v>
                </c:pt>
                <c:pt idx="8">
                  <c:v>-5479</c:v>
                </c:pt>
                <c:pt idx="9">
                  <c:v>-2713</c:v>
                </c:pt>
                <c:pt idx="10">
                  <c:v>65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Data!$M$12:$M$22</c:f>
              <c:numCache>
                <c:formatCode>General</c:formatCode>
                <c:ptCount val="11"/>
                <c:pt idx="0">
                  <c:v>65</c:v>
                </c:pt>
                <c:pt idx="1">
                  <c:v>2835</c:v>
                </c:pt>
                <c:pt idx="2">
                  <c:v>5602</c:v>
                </c:pt>
                <c:pt idx="3">
                  <c:v>8378</c:v>
                </c:pt>
                <c:pt idx="4">
                  <c:v>11150</c:v>
                </c:pt>
                <c:pt idx="5">
                  <c:v>13920</c:v>
                </c:pt>
                <c:pt idx="6">
                  <c:v>16691</c:v>
                </c:pt>
                <c:pt idx="7">
                  <c:v>19465</c:v>
                </c:pt>
                <c:pt idx="8">
                  <c:v>22233</c:v>
                </c:pt>
                <c:pt idx="9">
                  <c:v>24997</c:v>
                </c:pt>
                <c:pt idx="10">
                  <c:v>27712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</a:t>
                </a:r>
                <a:r>
                  <a:rPr lang="en-US" b="1"/>
                  <a:t>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Data!$M$2:$M$12</c:f>
              <c:numCache>
                <c:formatCode>General</c:formatCode>
                <c:ptCount val="11"/>
                <c:pt idx="0">
                  <c:v>-27606</c:v>
                </c:pt>
                <c:pt idx="1">
                  <c:v>-24882</c:v>
                </c:pt>
                <c:pt idx="2">
                  <c:v>-22114</c:v>
                </c:pt>
                <c:pt idx="3">
                  <c:v>-19344</c:v>
                </c:pt>
                <c:pt idx="4">
                  <c:v>-16570</c:v>
                </c:pt>
                <c:pt idx="5">
                  <c:v>-13799</c:v>
                </c:pt>
                <c:pt idx="6">
                  <c:v>-11026</c:v>
                </c:pt>
                <c:pt idx="7">
                  <c:v>-8251</c:v>
                </c:pt>
                <c:pt idx="8">
                  <c:v>-5479</c:v>
                </c:pt>
                <c:pt idx="9">
                  <c:v>-2713</c:v>
                </c:pt>
                <c:pt idx="10">
                  <c:v>65</c:v>
                </c:pt>
              </c:numCache>
            </c:numRef>
          </c:xVal>
          <c:yVal>
            <c:numRef>
              <c:f>Data!$L$2:$L$12</c:f>
              <c:numCache>
                <c:formatCode>General</c:formatCode>
                <c:ptCount val="11"/>
                <c:pt idx="0" formatCode="0.00E+00">
                  <c:v>-0.24560000000000001</c:v>
                </c:pt>
                <c:pt idx="1">
                  <c:v>-0.221</c:v>
                </c:pt>
                <c:pt idx="2">
                  <c:v>-0.1963</c:v>
                </c:pt>
                <c:pt idx="3">
                  <c:v>-0.17169000000000001</c:v>
                </c:pt>
                <c:pt idx="4">
                  <c:v>-0.14710999999999999</c:v>
                </c:pt>
                <c:pt idx="5">
                  <c:v>-0.12252000000000002</c:v>
                </c:pt>
                <c:pt idx="6">
                  <c:v>-9.7880000000000009E-2</c:v>
                </c:pt>
                <c:pt idx="7">
                  <c:v>-7.325000000000001E-2</c:v>
                </c:pt>
                <c:pt idx="8">
                  <c:v>-4.863E-2</c:v>
                </c:pt>
                <c:pt idx="9">
                  <c:v>-2.4039999999999999E-2</c:v>
                </c:pt>
                <c:pt idx="10">
                  <c:v>5.8429999999999995E-4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Data!$M$12:$M$22</c:f>
              <c:numCache>
                <c:formatCode>General</c:formatCode>
                <c:ptCount val="11"/>
                <c:pt idx="0">
                  <c:v>65</c:v>
                </c:pt>
                <c:pt idx="1">
                  <c:v>2835</c:v>
                </c:pt>
                <c:pt idx="2">
                  <c:v>5602</c:v>
                </c:pt>
                <c:pt idx="3">
                  <c:v>8378</c:v>
                </c:pt>
                <c:pt idx="4">
                  <c:v>11150</c:v>
                </c:pt>
                <c:pt idx="5">
                  <c:v>13920</c:v>
                </c:pt>
                <c:pt idx="6">
                  <c:v>16691</c:v>
                </c:pt>
                <c:pt idx="7">
                  <c:v>19465</c:v>
                </c:pt>
                <c:pt idx="8">
                  <c:v>22233</c:v>
                </c:pt>
                <c:pt idx="9">
                  <c:v>24997</c:v>
                </c:pt>
                <c:pt idx="10">
                  <c:v>27712</c:v>
                </c:pt>
              </c:numCache>
            </c:numRef>
          </c:xVal>
          <c:yVal>
            <c:numRef>
              <c:f>Data!$L$12:$L$22</c:f>
              <c:numCache>
                <c:formatCode>General</c:formatCode>
                <c:ptCount val="11"/>
                <c:pt idx="0">
                  <c:v>5.8429999999999995E-4</c:v>
                </c:pt>
                <c:pt idx="1">
                  <c:v>2.5180000000000001E-2</c:v>
                </c:pt>
                <c:pt idx="2">
                  <c:v>4.9770000000000002E-2</c:v>
                </c:pt>
                <c:pt idx="3">
                  <c:v>7.442E-2</c:v>
                </c:pt>
                <c:pt idx="4">
                  <c:v>9.9049999999999999E-2</c:v>
                </c:pt>
                <c:pt idx="5">
                  <c:v>0.12365</c:v>
                </c:pt>
                <c:pt idx="6">
                  <c:v>0.14829000000000001</c:v>
                </c:pt>
                <c:pt idx="7">
                  <c:v>0.17294000000000001</c:v>
                </c:pt>
                <c:pt idx="8">
                  <c:v>0.19755</c:v>
                </c:pt>
                <c:pt idx="9">
                  <c:v>0.22209999999999999</c:v>
                </c:pt>
                <c:pt idx="10">
                  <c:v>0.24659999999999999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Data!$O$2:$O$12</c:f>
              <c:numCache>
                <c:formatCode>General</c:formatCode>
                <c:ptCount val="11"/>
                <c:pt idx="0">
                  <c:v>-27615</c:v>
                </c:pt>
                <c:pt idx="1">
                  <c:v>-24896</c:v>
                </c:pt>
                <c:pt idx="2">
                  <c:v>-22129</c:v>
                </c:pt>
                <c:pt idx="3">
                  <c:v>-19359</c:v>
                </c:pt>
                <c:pt idx="4">
                  <c:v>-16585</c:v>
                </c:pt>
                <c:pt idx="5">
                  <c:v>-13814</c:v>
                </c:pt>
                <c:pt idx="6">
                  <c:v>-11041</c:v>
                </c:pt>
                <c:pt idx="7">
                  <c:v>-8267</c:v>
                </c:pt>
                <c:pt idx="8">
                  <c:v>-5494</c:v>
                </c:pt>
                <c:pt idx="9">
                  <c:v>-2727</c:v>
                </c:pt>
                <c:pt idx="10">
                  <c:v>51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Data!$O$12:$O$22</c:f>
              <c:numCache>
                <c:formatCode>General</c:formatCode>
                <c:ptCount val="11"/>
                <c:pt idx="0">
                  <c:v>51</c:v>
                </c:pt>
                <c:pt idx="1">
                  <c:v>2820</c:v>
                </c:pt>
                <c:pt idx="2">
                  <c:v>5588</c:v>
                </c:pt>
                <c:pt idx="3">
                  <c:v>8363</c:v>
                </c:pt>
                <c:pt idx="4">
                  <c:v>11136</c:v>
                </c:pt>
                <c:pt idx="5">
                  <c:v>13906</c:v>
                </c:pt>
                <c:pt idx="6">
                  <c:v>16677</c:v>
                </c:pt>
                <c:pt idx="7">
                  <c:v>19451</c:v>
                </c:pt>
                <c:pt idx="8">
                  <c:v>22218</c:v>
                </c:pt>
                <c:pt idx="9">
                  <c:v>24982</c:v>
                </c:pt>
                <c:pt idx="10">
                  <c:v>27695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Data!$O$2:$O$12</c:f>
              <c:numCache>
                <c:formatCode>General</c:formatCode>
                <c:ptCount val="11"/>
                <c:pt idx="0">
                  <c:v>-27615</c:v>
                </c:pt>
                <c:pt idx="1">
                  <c:v>-24896</c:v>
                </c:pt>
                <c:pt idx="2">
                  <c:v>-22129</c:v>
                </c:pt>
                <c:pt idx="3">
                  <c:v>-19359</c:v>
                </c:pt>
                <c:pt idx="4">
                  <c:v>-16585</c:v>
                </c:pt>
                <c:pt idx="5">
                  <c:v>-13814</c:v>
                </c:pt>
                <c:pt idx="6">
                  <c:v>-11041</c:v>
                </c:pt>
                <c:pt idx="7">
                  <c:v>-8267</c:v>
                </c:pt>
                <c:pt idx="8">
                  <c:v>-5494</c:v>
                </c:pt>
                <c:pt idx="9">
                  <c:v>-2727</c:v>
                </c:pt>
                <c:pt idx="10">
                  <c:v>51</c:v>
                </c:pt>
              </c:numCache>
            </c:numRef>
          </c:xVal>
          <c:yVal>
            <c:numRef>
              <c:f>Data!$N$2:$N$12</c:f>
              <c:numCache>
                <c:formatCode>General</c:formatCode>
                <c:ptCount val="11"/>
                <c:pt idx="0" formatCode="0.00E+00">
                  <c:v>-1.2696000000000001E-2</c:v>
                </c:pt>
                <c:pt idx="1">
                  <c:v>-1.1424999999999999E-2</c:v>
                </c:pt>
                <c:pt idx="2">
                  <c:v>-1.0152999999999999E-2</c:v>
                </c:pt>
                <c:pt idx="3">
                  <c:v>-8.881E-3</c:v>
                </c:pt>
                <c:pt idx="4">
                  <c:v>-7.6080000000000002E-3</c:v>
                </c:pt>
                <c:pt idx="5">
                  <c:v>-6.3369999999999998E-3</c:v>
                </c:pt>
                <c:pt idx="6">
                  <c:v>-5.0650000000000001E-3</c:v>
                </c:pt>
                <c:pt idx="7">
                  <c:v>-3.7910000000000001E-3</c:v>
                </c:pt>
                <c:pt idx="8">
                  <c:v>-2.519E-3</c:v>
                </c:pt>
                <c:pt idx="9">
                  <c:v>-1.2489000000000001E-3</c:v>
                </c:pt>
                <c:pt idx="10">
                  <c:v>2.3499999999999999E-5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9.9712219549962108E-2"/>
                  <c:y val="-0.33875443092841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Data!$O$12:$O$22</c:f>
              <c:numCache>
                <c:formatCode>General</c:formatCode>
                <c:ptCount val="11"/>
                <c:pt idx="0">
                  <c:v>51</c:v>
                </c:pt>
                <c:pt idx="1">
                  <c:v>2820</c:v>
                </c:pt>
                <c:pt idx="2">
                  <c:v>5588</c:v>
                </c:pt>
                <c:pt idx="3">
                  <c:v>8363</c:v>
                </c:pt>
                <c:pt idx="4">
                  <c:v>11136</c:v>
                </c:pt>
                <c:pt idx="5">
                  <c:v>13906</c:v>
                </c:pt>
                <c:pt idx="6">
                  <c:v>16677</c:v>
                </c:pt>
                <c:pt idx="7">
                  <c:v>19451</c:v>
                </c:pt>
                <c:pt idx="8">
                  <c:v>22218</c:v>
                </c:pt>
                <c:pt idx="9">
                  <c:v>24982</c:v>
                </c:pt>
                <c:pt idx="10">
                  <c:v>27695</c:v>
                </c:pt>
              </c:numCache>
            </c:numRef>
          </c:xVal>
          <c:yVal>
            <c:numRef>
              <c:f>Data!$N$12:$N$22</c:f>
              <c:numCache>
                <c:formatCode>General</c:formatCode>
                <c:ptCount val="11"/>
                <c:pt idx="0">
                  <c:v>2.3499999999999999E-5</c:v>
                </c:pt>
                <c:pt idx="1">
                  <c:v>1.2955E-3</c:v>
                </c:pt>
                <c:pt idx="2">
                  <c:v>2.5629999999999997E-3</c:v>
                </c:pt>
                <c:pt idx="3">
                  <c:v>3.8380000000000003E-3</c:v>
                </c:pt>
                <c:pt idx="4">
                  <c:v>5.11E-3</c:v>
                </c:pt>
                <c:pt idx="5">
                  <c:v>6.3819999999999997E-3</c:v>
                </c:pt>
                <c:pt idx="6">
                  <c:v>7.6550000000000003E-3</c:v>
                </c:pt>
                <c:pt idx="7">
                  <c:v>8.9280000000000002E-3</c:v>
                </c:pt>
                <c:pt idx="8">
                  <c:v>1.0199E-2</c:v>
                </c:pt>
                <c:pt idx="9">
                  <c:v>1.1472E-2</c:v>
                </c:pt>
                <c:pt idx="10">
                  <c:v>1.2744E-2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Data!$Q$2:$Q$12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Data!$Q$12:$Q$22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Data!$Q$2:$Q$12</c:f>
              <c:numCache>
                <c:formatCode>General</c:formatCode>
                <c:ptCount val="11"/>
              </c:numCache>
            </c:numRef>
          </c:xVal>
          <c:yVal>
            <c:numRef>
              <c:f>Data!$P$2:$P$12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Data!$Q$12:$Q$22</c:f>
              <c:numCache>
                <c:formatCode>General</c:formatCode>
                <c:ptCount val="11"/>
              </c:numCache>
            </c:numRef>
          </c:xVal>
          <c:yVal>
            <c:numRef>
              <c:f>Data!$P$12:$P$22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Data!$S$2:$S$12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Data!$S$12:$S$22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Data!$S$2:$S$12</c:f>
              <c:numCache>
                <c:formatCode>General</c:formatCode>
                <c:ptCount val="11"/>
              </c:numCache>
            </c:numRef>
          </c:xVal>
          <c:yVal>
            <c:numRef>
              <c:f>Data!$R$2:$R$12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Data!$S$12:$S$22</c:f>
              <c:numCache>
                <c:formatCode>General</c:formatCode>
                <c:ptCount val="11"/>
              </c:numCache>
            </c:numRef>
          </c:xVal>
          <c:yVal>
            <c:numRef>
              <c:f>Data!$R$12:$R$22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Data!$U$2:$U$12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Data!$U$12:$U$22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Data!$U$2:$U$12</c:f>
              <c:numCache>
                <c:formatCode>General</c:formatCode>
                <c:ptCount val="11"/>
              </c:numCache>
            </c:numRef>
          </c:xVal>
          <c:yVal>
            <c:numRef>
              <c:f>Data!$T$2:$T$12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Data!$U$12:$U$22</c:f>
              <c:numCache>
                <c:formatCode>General</c:formatCode>
                <c:ptCount val="11"/>
              </c:numCache>
            </c:numRef>
          </c:xVal>
          <c:yVal>
            <c:numRef>
              <c:f>Data!$T$12:$T$22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Data!$W$2:$W$12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Data!$W$12:$W$22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Data!$W$2:$W$12</c:f>
              <c:numCache>
                <c:formatCode>General</c:formatCode>
                <c:ptCount val="11"/>
              </c:numCache>
            </c:numRef>
          </c:xVal>
          <c:yVal>
            <c:numRef>
              <c:f>Data!$V$2:$V$12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Data!$W$12:$W$22</c:f>
              <c:numCache>
                <c:formatCode>General</c:formatCode>
                <c:ptCount val="11"/>
              </c:numCache>
            </c:numRef>
          </c:xVal>
          <c:yVal>
            <c:numRef>
              <c:f>Data!$V$12:$V$22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9</xdr:col>
      <xdr:colOff>584200</xdr:colOff>
      <xdr:row>70</xdr:row>
      <xdr:rowOff>155576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72</xdr:row>
      <xdr:rowOff>0</xdr:rowOff>
    </xdr:from>
    <xdr:to>
      <xdr:col>9</xdr:col>
      <xdr:colOff>584200</xdr:colOff>
      <xdr:row>91</xdr:row>
      <xdr:rowOff>155576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152" xr16:uid="{744ED1D2-FA46-4BF4-8D0D-CBCD23B38B8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42" xr16:uid="{00000000-0016-0000-0300-000035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150" xr16:uid="{00000000-0016-0000-0300-000034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14" xr16:uid="{00000000-0016-0000-0300-00003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31" xr16:uid="{00000000-0016-0000-0300-000032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12" xr16:uid="{00000000-0016-0000-0300-000031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20" xr16:uid="{00000000-0016-0000-0300-00003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57" xr16:uid="{00000000-0016-0000-0300-00002F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138" xr16:uid="{00000000-0016-0000-0300-00002E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58" xr16:uid="{00000000-0016-0000-0300-00002D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29" xr16:uid="{00000000-0016-0000-0300-00002C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45" xr16:uid="{00000000-0016-0000-0300-00002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15" xr16:uid="{00000000-0016-0000-0300-00002A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55" xr16:uid="{00000000-0016-0000-0300-000029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149" xr16:uid="{00000000-0016-0000-0300-000028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28" xr16:uid="{00000000-0016-0000-0300-000027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140" xr16:uid="{00000000-0016-0000-0300-000026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08" xr16:uid="{00000000-0016-0000-0300-000025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24" xr16:uid="{00000000-0016-0000-0300-000024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37" xr16:uid="{00000000-0016-0000-0300-000023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54" xr16:uid="{00000000-0016-0000-0300-000022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23" xr16:uid="{00000000-0016-0000-0300-000021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22" xr16:uid="{00000000-0016-0000-0300-000020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148" xr16:uid="{00000000-0016-0000-0300-00001F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30" xr16:uid="{00000000-0016-0000-0300-00001E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34" xr16:uid="{00000000-0016-0000-0300-00001D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143" xr16:uid="{00000000-0016-0000-0300-00001C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16" xr16:uid="{00000000-0016-0000-0300-00001B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39" xr16:uid="{00000000-0016-0000-0300-00001A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10" xr16:uid="{00000000-0016-0000-0300-000019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147" xr16:uid="{00000000-0016-0000-0300-000018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141" xr16:uid="{00000000-0016-0000-0300-000017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21" xr16:uid="{00000000-0016-0000-0300-000016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144" xr16:uid="{00000000-0016-0000-0300-000015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26" xr16:uid="{00000000-0016-0000-0300-000014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19" xr16:uid="{00000000-0016-0000-0300-000013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11" xr16:uid="{00000000-0016-0000-0300-000012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4" xr16:uid="{00000000-0016-0000-0300-000011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17" xr16:uid="{00000000-0016-0000-0300-000010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09" xr16:uid="{00000000-0016-0000-0300-00000F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25" xr16:uid="{00000000-0016-0000-0300-00000E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32" xr16:uid="{00000000-0016-0000-0300-00000D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146" xr16:uid="{00000000-0016-0000-0300-00000C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151" xr16:uid="{00000000-0016-0000-0300-00000B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60" xr16:uid="{00000000-0016-0000-0300-00000A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36" xr16:uid="{00000000-0016-0000-0300-000009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56" xr16:uid="{00000000-0016-0000-0300-000008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33" xr16:uid="{00000000-0016-0000-0300-000007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27" xr16:uid="{00000000-0016-0000-0300-000006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35" xr16:uid="{00000000-0016-0000-0300-000005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53" xr16:uid="{00000000-0016-0000-0300-000004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13" xr16:uid="{00000000-0016-0000-0300-000003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18" xr16:uid="{00000000-0016-0000-0300-000002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59" xr16:uid="{00000000-0016-0000-0300-000001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8" xr16:uid="{00000000-0016-0000-0300-000000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9" xr16:uid="{067A56BE-3EDA-4FA8-B23F-AC54DCCA86BE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3" xr16:uid="{00000000-0016-0000-0400-00004B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400-00004A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2" xr16:uid="{00000000-0016-0000-0400-000049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6" xr16:uid="{00000000-0016-0000-0400-000048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" xr16:uid="{00000000-0016-0000-0400-000047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9" xr16:uid="{00000000-0016-0000-0400-000046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1" xr16:uid="{00000000-0016-0000-0400-000045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" xr16:uid="{00000000-0016-0000-0400-000044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400-000043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400-000042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1" xr16:uid="{00000000-0016-0000-0400-000041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5" xr16:uid="{00000000-0016-0000-0400-000040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6" xr16:uid="{00000000-0016-0000-0400-00003F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2" xr16:uid="{00000000-0016-0000-0400-00003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8" xr16:uid="{00000000-0016-0000-0400-00003D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" xr16:uid="{00000000-0016-0000-0400-00003C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0" xr16:uid="{00000000-0016-0000-0400-00003B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0" xr16:uid="{00000000-0016-0000-0400-00003A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5" xr16:uid="{00000000-0016-0000-0400-00003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3" xr16:uid="{00000000-0016-0000-0400-000038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7" xr16:uid="{00000000-0016-0000-0400-000037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4" xr16:uid="{00000000-0016-0000-0400-000036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5" xr16:uid="{F107E251-4755-4166-A5CA-C45E2B9FF3D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43" xr16:uid="{00000000-0016-0000-0500-00005B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39" xr16:uid="{00000000-0016-0000-0500-00005A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8" xr16:uid="{00000000-0016-0000-0500-000059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9" xr16:uid="{00000000-0016-0000-0500-000058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42" xr16:uid="{00000000-0016-0000-0500-000057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0" xr16:uid="{00000000-0016-0000-0500-000056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4" xr16:uid="{00000000-0016-0000-0500-000055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7" xr16:uid="{00000000-0016-0000-0500-000054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3" xr16:uid="{00000000-0016-0000-0500-000053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6" xr16:uid="{00000000-0016-0000-0500-000052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8" xr16:uid="{00000000-0016-0000-0500-000051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40" xr16:uid="{00000000-0016-0000-0500-000050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41" xr16:uid="{00000000-0016-0000-0500-00004F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32" xr16:uid="{00000000-0016-0000-0500-00004E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37" xr16:uid="{00000000-0016-0000-0500-00004D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31" xr16:uid="{00000000-0016-0000-0500-00004C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56" xr16:uid="{8F7C2AB5-614B-4CBD-BF0C-CCF08EE4C4B9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54" xr16:uid="{00000000-0016-0000-0600-000070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6" xr16:uid="{00000000-0016-0000-0600-00006F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62" xr16:uid="{00000000-0016-0000-0600-00006E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52" xr16:uid="{00000000-0016-0000-0600-00006D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64" xr16:uid="{00000000-0016-0000-0600-00006C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5" xr16:uid="{00000000-0016-0000-0600-00006B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53" xr16:uid="{00000000-0016-0000-0600-00006A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49" xr16:uid="{00000000-0016-0000-0600-000069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50" xr16:uid="{00000000-0016-0000-0600-000068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7" xr16:uid="{00000000-0016-0000-0600-000067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9" xr16:uid="{00000000-0016-0000-0600-000066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57" xr16:uid="{00000000-0016-0000-0600-000065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51" xr16:uid="{00000000-0016-0000-0600-000064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95" xr16:uid="{00000000-0016-0000-0600-000063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87" xr16:uid="{00000000-0016-0000-0600-000062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61" xr16:uid="{00000000-0016-0000-0600-000061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48" xr16:uid="{00000000-0016-0000-0600-000060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8" xr16:uid="{00000000-0016-0000-0600-00005F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55" xr16:uid="{00000000-0016-0000-0600-00005E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63" xr16:uid="{00000000-0016-0000-0600-00005D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4" xr16:uid="{00000000-0016-0000-0600-00005C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01" xr16:uid="{A6CE1ED8-B1B6-4769-A6E2-04B6DEACE80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05" xr16:uid="{00000000-0016-0000-0700-000099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97" xr16:uid="{00000000-0016-0000-0700-000098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88" xr16:uid="{00000000-0016-0000-0700-000097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66" xr16:uid="{00000000-0016-0000-0700-000096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84" xr16:uid="{00000000-0016-0000-0700-000095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70" xr16:uid="{00000000-0016-0000-0700-000094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82" xr16:uid="{00000000-0016-0000-0700-000093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74" xr16:uid="{00000000-0016-0000-0700-000092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78" xr16:uid="{00000000-0016-0000-0700-000091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79" xr16:uid="{00000000-0016-0000-0700-000090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90" xr16:uid="{00000000-0016-0000-0700-00008F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71" xr16:uid="{00000000-0016-0000-0700-00008E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72" xr16:uid="{00000000-0016-0000-0700-00008D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02" xr16:uid="{00000000-0016-0000-0700-00008C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85" xr16:uid="{00000000-0016-0000-0700-00008B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03" xr16:uid="{00000000-0016-0000-0700-00008A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93" xr16:uid="{00000000-0016-0000-0700-000089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06" xr16:uid="{00000000-0016-0000-0700-000088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96" xr16:uid="{00000000-0016-0000-0700-000087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77" xr16:uid="{00000000-0016-0000-0700-000086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76" xr16:uid="{00000000-0016-0000-0700-000085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07" xr16:uid="{00000000-0016-0000-0700-000084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73" xr16:uid="{00000000-0016-0000-0700-000083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91" xr16:uid="{00000000-0016-0000-0700-000082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65" xr16:uid="{00000000-0016-0000-0700-000081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99" xr16:uid="{00000000-0016-0000-0700-000080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83" xr16:uid="{00000000-0016-0000-0700-00007F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04" xr16:uid="{00000000-0016-0000-0700-00007E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94" xr16:uid="{00000000-0016-0000-0700-00007D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00" xr16:uid="{00000000-0016-0000-0700-00007C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67" xr16:uid="{00000000-0016-0000-0700-00007B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69" xr16:uid="{00000000-0016-0000-0700-00007A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98" xr16:uid="{00000000-0016-0000-0700-000079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80" xr16:uid="{00000000-0016-0000-0700-000078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81" xr16:uid="{00000000-0016-0000-0700-000077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8" xr16:uid="{00000000-0016-0000-0700-000076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60" xr16:uid="{00000000-0016-0000-0700-000075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75" xr16:uid="{00000000-0016-0000-0700-000074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89" xr16:uid="{00000000-0016-0000-0700-000073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86" xr16:uid="{00000000-0016-0000-0700-000072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92" xr16:uid="{00000000-0016-0000-0700-00007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29" Type="http://schemas.openxmlformats.org/officeDocument/2006/relationships/queryTable" Target="../queryTables/queryTable24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8.xml"/><Relationship Id="rId13" Type="http://schemas.openxmlformats.org/officeDocument/2006/relationships/queryTable" Target="../queryTables/queryTable63.xml"/><Relationship Id="rId18" Type="http://schemas.openxmlformats.org/officeDocument/2006/relationships/queryTable" Target="../queryTables/queryTable68.xml"/><Relationship Id="rId26" Type="http://schemas.openxmlformats.org/officeDocument/2006/relationships/queryTable" Target="../queryTables/queryTable76.xml"/><Relationship Id="rId3" Type="http://schemas.openxmlformats.org/officeDocument/2006/relationships/vmlDrawing" Target="../drawings/vmlDrawing4.vml"/><Relationship Id="rId21" Type="http://schemas.openxmlformats.org/officeDocument/2006/relationships/queryTable" Target="../queryTables/queryTable71.xml"/><Relationship Id="rId7" Type="http://schemas.openxmlformats.org/officeDocument/2006/relationships/queryTable" Target="../queryTables/queryTable57.xml"/><Relationship Id="rId12" Type="http://schemas.openxmlformats.org/officeDocument/2006/relationships/queryTable" Target="../queryTables/queryTable62.xml"/><Relationship Id="rId17" Type="http://schemas.openxmlformats.org/officeDocument/2006/relationships/queryTable" Target="../queryTables/queryTable67.xml"/><Relationship Id="rId25" Type="http://schemas.openxmlformats.org/officeDocument/2006/relationships/queryTable" Target="../queryTables/queryTable75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66.xml"/><Relationship Id="rId20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6.xml"/><Relationship Id="rId11" Type="http://schemas.openxmlformats.org/officeDocument/2006/relationships/queryTable" Target="../queryTables/queryTable61.xml"/><Relationship Id="rId24" Type="http://schemas.openxmlformats.org/officeDocument/2006/relationships/queryTable" Target="../queryTables/queryTable74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65.xml"/><Relationship Id="rId23" Type="http://schemas.openxmlformats.org/officeDocument/2006/relationships/queryTable" Target="../queryTables/queryTable73.xml"/><Relationship Id="rId28" Type="http://schemas.openxmlformats.org/officeDocument/2006/relationships/queryTable" Target="../queryTables/queryTable78.xml"/><Relationship Id="rId10" Type="http://schemas.openxmlformats.org/officeDocument/2006/relationships/queryTable" Target="../queryTables/queryTable60.xml"/><Relationship Id="rId19" Type="http://schemas.openxmlformats.org/officeDocument/2006/relationships/queryTable" Target="../queryTables/queryTable69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59.xml"/><Relationship Id="rId14" Type="http://schemas.openxmlformats.org/officeDocument/2006/relationships/queryTable" Target="../queryTables/queryTable64.xml"/><Relationship Id="rId22" Type="http://schemas.openxmlformats.org/officeDocument/2006/relationships/queryTable" Target="../queryTables/queryTable72.xml"/><Relationship Id="rId27" Type="http://schemas.openxmlformats.org/officeDocument/2006/relationships/queryTable" Target="../queryTables/queryTable7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2.xml"/><Relationship Id="rId13" Type="http://schemas.openxmlformats.org/officeDocument/2006/relationships/queryTable" Target="../queryTables/queryTable87.xml"/><Relationship Id="rId18" Type="http://schemas.openxmlformats.org/officeDocument/2006/relationships/queryTable" Target="../queryTables/queryTable92.xml"/><Relationship Id="rId3" Type="http://schemas.openxmlformats.org/officeDocument/2006/relationships/ctrlProp" Target="../ctrlProps/ctrlProp6.xml"/><Relationship Id="rId21" Type="http://schemas.openxmlformats.org/officeDocument/2006/relationships/queryTable" Target="../queryTables/queryTable95.xml"/><Relationship Id="rId7" Type="http://schemas.openxmlformats.org/officeDocument/2006/relationships/queryTable" Target="../queryTables/queryTable81.xml"/><Relationship Id="rId12" Type="http://schemas.openxmlformats.org/officeDocument/2006/relationships/queryTable" Target="../queryTables/queryTable86.xml"/><Relationship Id="rId17" Type="http://schemas.openxmlformats.org/officeDocument/2006/relationships/queryTable" Target="../queryTables/queryTable91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90.xml"/><Relationship Id="rId20" Type="http://schemas.openxmlformats.org/officeDocument/2006/relationships/queryTable" Target="../queryTables/queryTable94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80.xml"/><Relationship Id="rId11" Type="http://schemas.openxmlformats.org/officeDocument/2006/relationships/queryTable" Target="../queryTables/queryTable85.xml"/><Relationship Id="rId5" Type="http://schemas.openxmlformats.org/officeDocument/2006/relationships/queryTable" Target="../queryTables/queryTable79.xml"/><Relationship Id="rId15" Type="http://schemas.openxmlformats.org/officeDocument/2006/relationships/queryTable" Target="../queryTables/queryTable89.xml"/><Relationship Id="rId10" Type="http://schemas.openxmlformats.org/officeDocument/2006/relationships/queryTable" Target="../queryTables/queryTable84.xml"/><Relationship Id="rId19" Type="http://schemas.openxmlformats.org/officeDocument/2006/relationships/queryTable" Target="../queryTables/queryTable93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83.xml"/><Relationship Id="rId14" Type="http://schemas.openxmlformats.org/officeDocument/2006/relationships/queryTable" Target="../queryTables/queryTable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9.xml"/><Relationship Id="rId13" Type="http://schemas.openxmlformats.org/officeDocument/2006/relationships/queryTable" Target="../queryTables/queryTable104.xml"/><Relationship Id="rId18" Type="http://schemas.openxmlformats.org/officeDocument/2006/relationships/queryTable" Target="../queryTables/queryTable109.xml"/><Relationship Id="rId26" Type="http://schemas.openxmlformats.org/officeDocument/2006/relationships/queryTable" Target="../queryTables/queryTable117.xml"/><Relationship Id="rId3" Type="http://schemas.openxmlformats.org/officeDocument/2006/relationships/ctrlProp" Target="../ctrlProps/ctrlProp8.xml"/><Relationship Id="rId21" Type="http://schemas.openxmlformats.org/officeDocument/2006/relationships/queryTable" Target="../queryTables/queryTable112.xml"/><Relationship Id="rId7" Type="http://schemas.openxmlformats.org/officeDocument/2006/relationships/queryTable" Target="../queryTables/queryTable98.xml"/><Relationship Id="rId12" Type="http://schemas.openxmlformats.org/officeDocument/2006/relationships/queryTable" Target="../queryTables/queryTable103.xml"/><Relationship Id="rId17" Type="http://schemas.openxmlformats.org/officeDocument/2006/relationships/queryTable" Target="../queryTables/queryTable108.xml"/><Relationship Id="rId25" Type="http://schemas.openxmlformats.org/officeDocument/2006/relationships/queryTable" Target="../queryTables/queryTable11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107.xml"/><Relationship Id="rId20" Type="http://schemas.openxmlformats.org/officeDocument/2006/relationships/queryTable" Target="../queryTables/queryTable111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97.xml"/><Relationship Id="rId11" Type="http://schemas.openxmlformats.org/officeDocument/2006/relationships/queryTable" Target="../queryTables/queryTable102.xml"/><Relationship Id="rId24" Type="http://schemas.openxmlformats.org/officeDocument/2006/relationships/queryTable" Target="../queryTables/queryTable115.xml"/><Relationship Id="rId5" Type="http://schemas.openxmlformats.org/officeDocument/2006/relationships/queryTable" Target="../queryTables/queryTable96.xml"/><Relationship Id="rId15" Type="http://schemas.openxmlformats.org/officeDocument/2006/relationships/queryTable" Target="../queryTables/queryTable106.xml"/><Relationship Id="rId23" Type="http://schemas.openxmlformats.org/officeDocument/2006/relationships/queryTable" Target="../queryTables/queryTable114.xml"/><Relationship Id="rId10" Type="http://schemas.openxmlformats.org/officeDocument/2006/relationships/queryTable" Target="../queryTables/queryTable101.xml"/><Relationship Id="rId19" Type="http://schemas.openxmlformats.org/officeDocument/2006/relationships/queryTable" Target="../queryTables/queryTable110.xml"/><Relationship Id="rId4" Type="http://schemas.openxmlformats.org/officeDocument/2006/relationships/ctrlProp" Target="../ctrlProps/ctrlProp9.xml"/><Relationship Id="rId9" Type="http://schemas.openxmlformats.org/officeDocument/2006/relationships/queryTable" Target="../queryTables/queryTable100.xml"/><Relationship Id="rId14" Type="http://schemas.openxmlformats.org/officeDocument/2006/relationships/queryTable" Target="../queryTables/queryTable105.xml"/><Relationship Id="rId22" Type="http://schemas.openxmlformats.org/officeDocument/2006/relationships/queryTable" Target="../queryTables/queryTable1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1.xml"/><Relationship Id="rId13" Type="http://schemas.openxmlformats.org/officeDocument/2006/relationships/queryTable" Target="../queryTables/queryTable126.xml"/><Relationship Id="rId18" Type="http://schemas.openxmlformats.org/officeDocument/2006/relationships/queryTable" Target="../queryTables/queryTable131.xml"/><Relationship Id="rId26" Type="http://schemas.openxmlformats.org/officeDocument/2006/relationships/queryTable" Target="../queryTables/queryTable139.xml"/><Relationship Id="rId39" Type="http://schemas.openxmlformats.org/officeDocument/2006/relationships/queryTable" Target="../queryTables/queryTable152.xml"/><Relationship Id="rId3" Type="http://schemas.openxmlformats.org/officeDocument/2006/relationships/ctrlProp" Target="../ctrlProps/ctrlProp10.xml"/><Relationship Id="rId21" Type="http://schemas.openxmlformats.org/officeDocument/2006/relationships/queryTable" Target="../queryTables/queryTable134.xml"/><Relationship Id="rId34" Type="http://schemas.openxmlformats.org/officeDocument/2006/relationships/queryTable" Target="../queryTables/queryTable147.xml"/><Relationship Id="rId42" Type="http://schemas.openxmlformats.org/officeDocument/2006/relationships/queryTable" Target="../queryTables/queryTable155.xml"/><Relationship Id="rId7" Type="http://schemas.openxmlformats.org/officeDocument/2006/relationships/queryTable" Target="../queryTables/queryTable120.xml"/><Relationship Id="rId12" Type="http://schemas.openxmlformats.org/officeDocument/2006/relationships/queryTable" Target="../queryTables/queryTable125.xml"/><Relationship Id="rId17" Type="http://schemas.openxmlformats.org/officeDocument/2006/relationships/queryTable" Target="../queryTables/queryTable130.xml"/><Relationship Id="rId25" Type="http://schemas.openxmlformats.org/officeDocument/2006/relationships/queryTable" Target="../queryTables/queryTable138.xml"/><Relationship Id="rId33" Type="http://schemas.openxmlformats.org/officeDocument/2006/relationships/queryTable" Target="../queryTables/queryTable146.xml"/><Relationship Id="rId38" Type="http://schemas.openxmlformats.org/officeDocument/2006/relationships/queryTable" Target="../queryTables/queryTable151.xml"/><Relationship Id="rId46" Type="http://schemas.openxmlformats.org/officeDocument/2006/relationships/queryTable" Target="../queryTables/queryTable159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129.xml"/><Relationship Id="rId20" Type="http://schemas.openxmlformats.org/officeDocument/2006/relationships/queryTable" Target="../queryTables/queryTable133.xml"/><Relationship Id="rId29" Type="http://schemas.openxmlformats.org/officeDocument/2006/relationships/queryTable" Target="../queryTables/queryTable142.xml"/><Relationship Id="rId41" Type="http://schemas.openxmlformats.org/officeDocument/2006/relationships/queryTable" Target="../queryTables/queryTable154.x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119.xml"/><Relationship Id="rId11" Type="http://schemas.openxmlformats.org/officeDocument/2006/relationships/queryTable" Target="../queryTables/queryTable124.xml"/><Relationship Id="rId24" Type="http://schemas.openxmlformats.org/officeDocument/2006/relationships/queryTable" Target="../queryTables/queryTable137.xml"/><Relationship Id="rId32" Type="http://schemas.openxmlformats.org/officeDocument/2006/relationships/queryTable" Target="../queryTables/queryTable145.xml"/><Relationship Id="rId37" Type="http://schemas.openxmlformats.org/officeDocument/2006/relationships/queryTable" Target="../queryTables/queryTable150.xml"/><Relationship Id="rId40" Type="http://schemas.openxmlformats.org/officeDocument/2006/relationships/queryTable" Target="../queryTables/queryTable153.xml"/><Relationship Id="rId45" Type="http://schemas.openxmlformats.org/officeDocument/2006/relationships/queryTable" Target="../queryTables/queryTable158.xml"/><Relationship Id="rId5" Type="http://schemas.openxmlformats.org/officeDocument/2006/relationships/queryTable" Target="../queryTables/queryTable118.xml"/><Relationship Id="rId15" Type="http://schemas.openxmlformats.org/officeDocument/2006/relationships/queryTable" Target="../queryTables/queryTable128.xml"/><Relationship Id="rId23" Type="http://schemas.openxmlformats.org/officeDocument/2006/relationships/queryTable" Target="../queryTables/queryTable136.xml"/><Relationship Id="rId28" Type="http://schemas.openxmlformats.org/officeDocument/2006/relationships/queryTable" Target="../queryTables/queryTable141.xml"/><Relationship Id="rId36" Type="http://schemas.openxmlformats.org/officeDocument/2006/relationships/queryTable" Target="../queryTables/queryTable149.xml"/><Relationship Id="rId10" Type="http://schemas.openxmlformats.org/officeDocument/2006/relationships/queryTable" Target="../queryTables/queryTable123.xml"/><Relationship Id="rId19" Type="http://schemas.openxmlformats.org/officeDocument/2006/relationships/queryTable" Target="../queryTables/queryTable132.xml"/><Relationship Id="rId31" Type="http://schemas.openxmlformats.org/officeDocument/2006/relationships/queryTable" Target="../queryTables/queryTable144.xml"/><Relationship Id="rId44" Type="http://schemas.openxmlformats.org/officeDocument/2006/relationships/queryTable" Target="../queryTables/queryTable157.xml"/><Relationship Id="rId4" Type="http://schemas.openxmlformats.org/officeDocument/2006/relationships/ctrlProp" Target="../ctrlProps/ctrlProp11.xml"/><Relationship Id="rId9" Type="http://schemas.openxmlformats.org/officeDocument/2006/relationships/queryTable" Target="../queryTables/queryTable122.xml"/><Relationship Id="rId14" Type="http://schemas.openxmlformats.org/officeDocument/2006/relationships/queryTable" Target="../queryTables/queryTable127.xml"/><Relationship Id="rId22" Type="http://schemas.openxmlformats.org/officeDocument/2006/relationships/queryTable" Target="../queryTables/queryTable135.xml"/><Relationship Id="rId27" Type="http://schemas.openxmlformats.org/officeDocument/2006/relationships/queryTable" Target="../queryTables/queryTable140.xml"/><Relationship Id="rId30" Type="http://schemas.openxmlformats.org/officeDocument/2006/relationships/queryTable" Target="../queryTables/queryTable143.xml"/><Relationship Id="rId35" Type="http://schemas.openxmlformats.org/officeDocument/2006/relationships/queryTable" Target="../queryTables/queryTable148.xml"/><Relationship Id="rId43" Type="http://schemas.openxmlformats.org/officeDocument/2006/relationships/queryTable" Target="../queryTables/queryTable15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8D5D-418B-4733-B7D6-D554B4E83B67}">
  <sheetPr codeName="Sheet1"/>
  <dimension ref="A1:K3"/>
  <sheetViews>
    <sheetView workbookViewId="0">
      <selection activeCell="J1" sqref="J1"/>
    </sheetView>
  </sheetViews>
  <sheetFormatPr defaultColWidth="8.77734375" defaultRowHeight="14.4" x14ac:dyDescent="0.3"/>
  <cols>
    <col min="1" max="1" width="10.5546875" style="50" bestFit="1" customWidth="1"/>
    <col min="2" max="2" width="1.33203125" style="50" customWidth="1"/>
    <col min="3" max="3" width="4.21875" style="50" bestFit="1" customWidth="1"/>
    <col min="4" max="4" width="6" style="50" bestFit="1" customWidth="1"/>
    <col min="5" max="5" width="1.33203125" style="50" customWidth="1"/>
    <col min="6" max="6" width="8.77734375" style="50"/>
    <col min="7" max="7" width="2.88671875" style="50" bestFit="1" customWidth="1"/>
    <col min="8" max="8" width="1.33203125" style="50" customWidth="1"/>
    <col min="9" max="9" width="18.21875" style="50" bestFit="1" customWidth="1"/>
    <col min="10" max="10" width="2" style="52" bestFit="1" customWidth="1"/>
    <col min="11" max="16384" width="8.77734375" style="50"/>
  </cols>
  <sheetData>
    <row r="1" spans="1:11" x14ac:dyDescent="0.3">
      <c r="A1" s="3" t="s">
        <v>11</v>
      </c>
      <c r="B1" s="3"/>
      <c r="C1" s="50" t="s">
        <v>14</v>
      </c>
      <c r="D1" s="54" t="s">
        <v>149</v>
      </c>
      <c r="E1" s="3"/>
      <c r="F1" s="50" t="s">
        <v>15</v>
      </c>
      <c r="G1" s="54" t="s">
        <v>5</v>
      </c>
      <c r="H1" s="3"/>
      <c r="I1" s="51" t="s">
        <v>86</v>
      </c>
      <c r="J1" s="53">
        <v>3</v>
      </c>
      <c r="K1" s="3" t="s">
        <v>144</v>
      </c>
    </row>
    <row r="2" spans="1:11" x14ac:dyDescent="0.3">
      <c r="A2" s="3" t="s">
        <v>13</v>
      </c>
      <c r="B2" s="3"/>
      <c r="C2" s="50" t="s">
        <v>14</v>
      </c>
      <c r="D2" s="54" t="s">
        <v>148</v>
      </c>
      <c r="E2" s="3"/>
      <c r="H2" s="3"/>
    </row>
    <row r="3" spans="1:11" x14ac:dyDescent="0.3">
      <c r="A3" s="3" t="s">
        <v>12</v>
      </c>
      <c r="B3" s="3"/>
      <c r="C3" s="50" t="s">
        <v>14</v>
      </c>
      <c r="D3" s="54" t="s">
        <v>147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15DD51-81A5-45EA-BAEE-D8B43D72D1B6}">
          <x14:formula1>
            <xm:f>Internal!$A$2:$A$3</xm:f>
          </x14:formula1>
          <xm:sqref>G1</xm:sqref>
        </x14:dataValidation>
        <x14:dataValidation type="list" allowBlank="1" showInputMessage="1" showErrorMessage="1" xr:uid="{C8B68B2F-7C22-4A78-893C-DDCB3D8897DF}">
          <x14:formula1>
            <xm:f>Internal!$D$2:$D$5</xm:f>
          </x14:formula1>
          <xm:sqref>J1</xm:sqref>
        </x14:dataValidation>
        <x14:dataValidation type="list" allowBlank="1" showInputMessage="1" showErrorMessage="1" xr:uid="{D8948F9F-33EB-4889-AA66-8A7E230F36BD}">
          <x14:formula1>
            <xm:f>Internal!$E$2:$E$31</xm:f>
          </x14:formula1>
          <xm:sqref>D3</xm:sqref>
        </x14:dataValidation>
        <x14:dataValidation type="list" allowBlank="1" showInputMessage="1" showErrorMessage="1" xr:uid="{A80E2825-371F-4C1C-A903-FF1BA3DA9949}">
          <x14:formula1>
            <xm:f>Internal!$E$2:$E$31</xm:f>
          </x14:formula1>
          <xm:sqref>D2 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9B0B6-FF98-43A7-9409-444F3A06B6E6}">
  <sheetPr codeName="Sheet13"/>
  <dimension ref="A1:J68"/>
  <sheetViews>
    <sheetView tabSelected="1" workbookViewId="0">
      <selection activeCell="B8" sqref="B8:B68"/>
    </sheetView>
  </sheetViews>
  <sheetFormatPr defaultRowHeight="14.4" x14ac:dyDescent="0.3"/>
  <cols>
    <col min="1" max="1" width="14.109375" bestFit="1" customWidth="1"/>
    <col min="2" max="2" width="12.44140625" bestFit="1" customWidth="1"/>
    <col min="3" max="3" width="11.77734375" bestFit="1" customWidth="1"/>
  </cols>
  <sheetData>
    <row r="1" spans="1:10" x14ac:dyDescent="0.3">
      <c r="A1" s="1" t="s">
        <v>47</v>
      </c>
      <c r="B1" t="s">
        <v>65</v>
      </c>
    </row>
    <row r="2" spans="1:10" x14ac:dyDescent="0.3">
      <c r="A2" s="1" t="s">
        <v>140</v>
      </c>
      <c r="B2" t="str">
        <f>_xlfn.CONCAT(Connect!G1, " ", Connect!J1, " ", Connect!D1, " ", B1)</f>
        <v>v1 3 COM27 calibrate</v>
      </c>
    </row>
    <row r="3" spans="1:10" x14ac:dyDescent="0.3">
      <c r="A3" s="4"/>
      <c r="B3" s="4"/>
      <c r="C3" s="4"/>
      <c r="D3" s="4"/>
      <c r="E3" s="4"/>
      <c r="F3" s="4"/>
      <c r="G3" s="4"/>
      <c r="H3" s="4"/>
      <c r="I3" s="4"/>
      <c r="J3" s="4"/>
    </row>
    <row r="4" spans="1:10" x14ac:dyDescent="0.3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3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s="59" customFormat="1" x14ac:dyDescent="0.3"/>
    <row r="7" spans="1:10" x14ac:dyDescent="0.3">
      <c r="A7" s="1" t="s">
        <v>139</v>
      </c>
      <c r="B7" s="1" t="s">
        <v>90</v>
      </c>
    </row>
    <row r="8" spans="1:10" x14ac:dyDescent="0.3">
      <c r="A8" t="s">
        <v>24</v>
      </c>
      <c r="B8">
        <f>Data!D35</f>
        <v>0</v>
      </c>
    </row>
    <row r="9" spans="1:10" x14ac:dyDescent="0.3">
      <c r="A9" t="s">
        <v>25</v>
      </c>
      <c r="B9">
        <f>Data!D29</f>
        <v>3275.6692507214188</v>
      </c>
    </row>
    <row r="10" spans="1:10" x14ac:dyDescent="0.3">
      <c r="A10" t="s">
        <v>26</v>
      </c>
      <c r="B10">
        <f>Data!D26</f>
        <v>3275.9553593593982</v>
      </c>
    </row>
    <row r="11" spans="1:10" x14ac:dyDescent="0.3">
      <c r="A11" t="s">
        <v>27</v>
      </c>
      <c r="B11">
        <f>Data!D32</f>
        <v>-19.57016012004221</v>
      </c>
    </row>
    <row r="12" spans="1:10" x14ac:dyDescent="0.3">
      <c r="A12" t="s">
        <v>34</v>
      </c>
      <c r="B12" t="e">
        <f>Data!E29</f>
        <v>#DIV/0!</v>
      </c>
    </row>
    <row r="13" spans="1:10" x14ac:dyDescent="0.3">
      <c r="A13" t="s">
        <v>35</v>
      </c>
      <c r="B13" t="e">
        <f>Data!E26</f>
        <v>#DIV/0!</v>
      </c>
    </row>
    <row r="14" spans="1:10" x14ac:dyDescent="0.3">
      <c r="A14" t="s">
        <v>36</v>
      </c>
      <c r="B14" t="e">
        <f>Data!E32</f>
        <v>#DIV/0!</v>
      </c>
    </row>
    <row r="15" spans="1:10" x14ac:dyDescent="0.3">
      <c r="A15" t="s">
        <v>37</v>
      </c>
      <c r="B15">
        <f>Data!F29</f>
        <v>3.0527997116873315E-4</v>
      </c>
    </row>
    <row r="16" spans="1:10" x14ac:dyDescent="0.3">
      <c r="A16" t="s">
        <v>38</v>
      </c>
      <c r="B16">
        <f>Data!F26</f>
        <v>3.0527579222606527E-4</v>
      </c>
    </row>
    <row r="17" spans="1:2" x14ac:dyDescent="0.3">
      <c r="A17" t="s">
        <v>39</v>
      </c>
      <c r="B17">
        <f>Data!F32</f>
        <v>2.8049101967666181E-3</v>
      </c>
    </row>
    <row r="18" spans="1:2" x14ac:dyDescent="0.3">
      <c r="A18" t="s">
        <v>40</v>
      </c>
      <c r="B18">
        <f>Data!G29</f>
        <v>3.0526004984356256E-4</v>
      </c>
    </row>
    <row r="19" spans="1:2" x14ac:dyDescent="0.3">
      <c r="A19" t="s">
        <v>41</v>
      </c>
      <c r="B19">
        <f>Data!G26</f>
        <v>3.0525541948566104E-4</v>
      </c>
    </row>
    <row r="20" spans="1:2" x14ac:dyDescent="0.3">
      <c r="A20" t="s">
        <v>42</v>
      </c>
      <c r="B20">
        <f>Data!G32</f>
        <v>8.7175471496196439E-4</v>
      </c>
    </row>
    <row r="21" spans="1:2" x14ac:dyDescent="0.3">
      <c r="A21" t="s">
        <v>93</v>
      </c>
      <c r="B21">
        <f>Data!H29</f>
        <v>3.6473308538140636E-3</v>
      </c>
    </row>
    <row r="22" spans="1:2" x14ac:dyDescent="0.3">
      <c r="A22" t="s">
        <v>91</v>
      </c>
      <c r="B22">
        <f>Data!J29</f>
        <v>1.8371878819895056E-4</v>
      </c>
    </row>
    <row r="23" spans="1:2" x14ac:dyDescent="0.3">
      <c r="A23" t="s">
        <v>92</v>
      </c>
      <c r="B23">
        <f>Data!L29</f>
        <v>8.8914701889327613E-6</v>
      </c>
    </row>
    <row r="24" spans="1:2" x14ac:dyDescent="0.3">
      <c r="A24" t="s">
        <v>94</v>
      </c>
      <c r="B24">
        <f>Data!N29</f>
        <v>4.5961415538366972E-7</v>
      </c>
    </row>
    <row r="25" spans="1:2" x14ac:dyDescent="0.3">
      <c r="A25" t="s">
        <v>95</v>
      </c>
      <c r="B25" t="e">
        <f>Data!P29</f>
        <v>#DIV/0!</v>
      </c>
    </row>
    <row r="26" spans="1:2" x14ac:dyDescent="0.3">
      <c r="A26" t="s">
        <v>96</v>
      </c>
      <c r="B26" t="e">
        <f>Data!R29</f>
        <v>#DIV/0!</v>
      </c>
    </row>
    <row r="27" spans="1:2" x14ac:dyDescent="0.3">
      <c r="A27" t="s">
        <v>97</v>
      </c>
      <c r="B27" t="e">
        <f>Data!T29</f>
        <v>#DIV/0!</v>
      </c>
    </row>
    <row r="28" spans="1:2" x14ac:dyDescent="0.3">
      <c r="A28" t="s">
        <v>98</v>
      </c>
      <c r="B28" t="e">
        <f>Data!V29</f>
        <v>#DIV/0!</v>
      </c>
    </row>
    <row r="29" spans="1:2" x14ac:dyDescent="0.3">
      <c r="A29" t="s">
        <v>99</v>
      </c>
      <c r="B29">
        <f>Data!H26</f>
        <v>3.6456839110547874E-3</v>
      </c>
    </row>
    <row r="30" spans="1:2" x14ac:dyDescent="0.3">
      <c r="A30" t="s">
        <v>100</v>
      </c>
      <c r="B30">
        <f>Data!J26</f>
        <v>1.8359234514095922E-4</v>
      </c>
    </row>
    <row r="31" spans="1:2" x14ac:dyDescent="0.3">
      <c r="A31" t="s">
        <v>101</v>
      </c>
      <c r="B31">
        <f>Data!L26</f>
        <v>8.8880121707401376E-6</v>
      </c>
    </row>
    <row r="32" spans="1:2" x14ac:dyDescent="0.3">
      <c r="A32" t="s">
        <v>102</v>
      </c>
      <c r="B32">
        <f>Data!N26</f>
        <v>4.5931917913562384E-7</v>
      </c>
    </row>
    <row r="33" spans="1:2" x14ac:dyDescent="0.3">
      <c r="A33" t="s">
        <v>103</v>
      </c>
      <c r="B33" t="e">
        <f>Data!P26</f>
        <v>#DIV/0!</v>
      </c>
    </row>
    <row r="34" spans="1:2" x14ac:dyDescent="0.3">
      <c r="A34" t="s">
        <v>104</v>
      </c>
      <c r="B34" t="e">
        <f>Data!R26</f>
        <v>#DIV/0!</v>
      </c>
    </row>
    <row r="35" spans="1:2" x14ac:dyDescent="0.3">
      <c r="A35" t="s">
        <v>105</v>
      </c>
      <c r="B35" t="e">
        <f>Data!T26</f>
        <v>#DIV/0!</v>
      </c>
    </row>
    <row r="36" spans="1:2" x14ac:dyDescent="0.3">
      <c r="A36" t="s">
        <v>106</v>
      </c>
      <c r="B36" t="e">
        <f>Data!V26</f>
        <v>#DIV/0!</v>
      </c>
    </row>
    <row r="37" spans="1:2" x14ac:dyDescent="0.3">
      <c r="A37" t="s">
        <v>107</v>
      </c>
      <c r="B37">
        <f>Data!H32</f>
        <v>1.593566486016107E-2</v>
      </c>
    </row>
    <row r="38" spans="1:2" x14ac:dyDescent="0.3">
      <c r="A38" t="s">
        <v>108</v>
      </c>
      <c r="B38">
        <f>Data!J32</f>
        <v>1.0109442395915443E-3</v>
      </c>
    </row>
    <row r="39" spans="1:2" x14ac:dyDescent="0.3">
      <c r="A39" t="s">
        <v>109</v>
      </c>
      <c r="B39">
        <f>Data!L32</f>
        <v>4.2037789450532375E-5</v>
      </c>
    </row>
    <row r="40" spans="1:2" x14ac:dyDescent="0.3">
      <c r="A40" t="s">
        <v>110</v>
      </c>
      <c r="B40">
        <f>Data!N32</f>
        <v>2.1560814610094647E-6</v>
      </c>
    </row>
    <row r="41" spans="1:2" x14ac:dyDescent="0.3">
      <c r="A41" t="s">
        <v>111</v>
      </c>
      <c r="B41" t="e">
        <f>Data!P32</f>
        <v>#DIV/0!</v>
      </c>
    </row>
    <row r="42" spans="1:2" x14ac:dyDescent="0.3">
      <c r="A42" t="s">
        <v>112</v>
      </c>
      <c r="B42" t="e">
        <f>Data!R32</f>
        <v>#DIV/0!</v>
      </c>
    </row>
    <row r="43" spans="1:2" x14ac:dyDescent="0.3">
      <c r="A43" t="s">
        <v>113</v>
      </c>
      <c r="B43" t="e">
        <f>Data!T32</f>
        <v>#DIV/0!</v>
      </c>
    </row>
    <row r="44" spans="1:2" x14ac:dyDescent="0.3">
      <c r="A44" t="s">
        <v>114</v>
      </c>
      <c r="B44" t="e">
        <f>Data!V32</f>
        <v>#DIV/0!</v>
      </c>
    </row>
    <row r="45" spans="1:2" x14ac:dyDescent="0.3">
      <c r="A45" t="s">
        <v>115</v>
      </c>
      <c r="B45">
        <f>Data!I29</f>
        <v>49.921993433067605</v>
      </c>
    </row>
    <row r="46" spans="1:2" x14ac:dyDescent="0.3">
      <c r="A46" t="s">
        <v>116</v>
      </c>
      <c r="B46">
        <f>Data!K29</f>
        <v>983.64858002323081</v>
      </c>
    </row>
    <row r="47" spans="1:2" x14ac:dyDescent="0.3">
      <c r="A47" t="s">
        <v>117</v>
      </c>
      <c r="B47">
        <f>Data!M29</f>
        <v>20314.847095671681</v>
      </c>
    </row>
    <row r="48" spans="1:2" x14ac:dyDescent="0.3">
      <c r="A48" t="s">
        <v>118</v>
      </c>
      <c r="B48">
        <f>Data!O29</f>
        <v>393021.33105631056</v>
      </c>
    </row>
    <row r="49" spans="1:2" x14ac:dyDescent="0.3">
      <c r="A49" t="s">
        <v>119</v>
      </c>
      <c r="B49" t="e">
        <f>Data!Q29</f>
        <v>#DIV/0!</v>
      </c>
    </row>
    <row r="50" spans="1:2" x14ac:dyDescent="0.3">
      <c r="A50" t="s">
        <v>120</v>
      </c>
      <c r="B50" t="e">
        <f>Data!S29</f>
        <v>#DIV/0!</v>
      </c>
    </row>
    <row r="51" spans="1:2" x14ac:dyDescent="0.3">
      <c r="A51" t="s">
        <v>121</v>
      </c>
      <c r="B51" t="e">
        <f>Data!U29</f>
        <v>#DIV/0!</v>
      </c>
    </row>
    <row r="52" spans="1:2" x14ac:dyDescent="0.3">
      <c r="A52" t="s">
        <v>122</v>
      </c>
      <c r="B52" t="e">
        <f>Data!W29</f>
        <v>#DIV/0!</v>
      </c>
    </row>
    <row r="53" spans="1:2" x14ac:dyDescent="0.3">
      <c r="A53" t="s">
        <v>123</v>
      </c>
      <c r="B53">
        <f>Data!I26</f>
        <v>49.923577714964367</v>
      </c>
    </row>
    <row r="54" spans="1:2" x14ac:dyDescent="0.3">
      <c r="A54" t="s">
        <v>124</v>
      </c>
      <c r="B54">
        <f>Data!K26</f>
        <v>983.82258831895001</v>
      </c>
    </row>
    <row r="55" spans="1:2" x14ac:dyDescent="0.3">
      <c r="A55" t="s">
        <v>125</v>
      </c>
      <c r="B55">
        <f>Data!M26</f>
        <v>20311.078825652447</v>
      </c>
    </row>
    <row r="56" spans="1:2" x14ac:dyDescent="0.3">
      <c r="A56" t="s">
        <v>126</v>
      </c>
      <c r="B56">
        <f>Data!O26</f>
        <v>393062.36461369455</v>
      </c>
    </row>
    <row r="57" spans="1:2" x14ac:dyDescent="0.3">
      <c r="A57" t="s">
        <v>127</v>
      </c>
      <c r="B57" t="e">
        <f>Data!Q26</f>
        <v>#DIV/0!</v>
      </c>
    </row>
    <row r="58" spans="1:2" x14ac:dyDescent="0.3">
      <c r="A58" t="s">
        <v>128</v>
      </c>
      <c r="B58" t="e">
        <f>Data!S26</f>
        <v>#DIV/0!</v>
      </c>
    </row>
    <row r="59" spans="1:2" x14ac:dyDescent="0.3">
      <c r="A59" t="s">
        <v>129</v>
      </c>
      <c r="B59" t="e">
        <f>Data!U26</f>
        <v>#DIV/0!</v>
      </c>
    </row>
    <row r="60" spans="1:2" x14ac:dyDescent="0.3">
      <c r="A60" t="s">
        <v>130</v>
      </c>
      <c r="B60" t="e">
        <f>Data!W26</f>
        <v>#DIV/0!</v>
      </c>
    </row>
    <row r="61" spans="1:2" x14ac:dyDescent="0.3">
      <c r="A61" t="s">
        <v>131</v>
      </c>
      <c r="B61">
        <f>Data!I32</f>
        <v>-14.573400276966209</v>
      </c>
    </row>
    <row r="62" spans="1:2" x14ac:dyDescent="0.3">
      <c r="A62" t="s">
        <v>132</v>
      </c>
      <c r="B62">
        <f>Data!K32</f>
        <v>-12.010038669323468</v>
      </c>
    </row>
    <row r="63" spans="1:2" x14ac:dyDescent="0.3">
      <c r="A63" t="s">
        <v>133</v>
      </c>
      <c r="B63">
        <f>Data!M32</f>
        <v>-11.718155223641734</v>
      </c>
    </row>
    <row r="64" spans="1:2" x14ac:dyDescent="0.3">
      <c r="A64" t="s">
        <v>134</v>
      </c>
      <c r="B64">
        <f>Data!O32</f>
        <v>-9.0990887137077525</v>
      </c>
    </row>
    <row r="65" spans="1:2" x14ac:dyDescent="0.3">
      <c r="A65" t="s">
        <v>135</v>
      </c>
      <c r="B65" t="e">
        <f>Data!Q32</f>
        <v>#DIV/0!</v>
      </c>
    </row>
    <row r="66" spans="1:2" x14ac:dyDescent="0.3">
      <c r="A66" t="s">
        <v>136</v>
      </c>
      <c r="B66" t="e">
        <f>Data!S32</f>
        <v>#DIV/0!</v>
      </c>
    </row>
    <row r="67" spans="1:2" x14ac:dyDescent="0.3">
      <c r="A67" t="s">
        <v>137</v>
      </c>
      <c r="B67" t="e">
        <f>Data!U32</f>
        <v>#DIV/0!</v>
      </c>
    </row>
    <row r="68" spans="1:2" x14ac:dyDescent="0.3">
      <c r="A68" t="s">
        <v>138</v>
      </c>
      <c r="B68" t="e">
        <f>Data!W32</f>
        <v>#DIV/0!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B802-58FC-4019-B2F5-E2E4833F523F}">
  <sheetPr codeName="Sheet2"/>
  <dimension ref="A1:W40"/>
  <sheetViews>
    <sheetView workbookViewId="0">
      <selection activeCell="F32" sqref="F32"/>
    </sheetView>
  </sheetViews>
  <sheetFormatPr defaultColWidth="12.21875" defaultRowHeight="14.4" x14ac:dyDescent="0.3"/>
  <cols>
    <col min="1" max="1" width="2.77734375" style="11" bestFit="1" customWidth="1"/>
    <col min="2" max="2" width="11.5546875" style="11" bestFit="1" customWidth="1"/>
    <col min="3" max="3" width="9.5546875" style="55" bestFit="1" customWidth="1"/>
    <col min="4" max="5" width="12.21875" style="12"/>
    <col min="6" max="6" width="12.44140625" style="12" bestFit="1" customWidth="1"/>
    <col min="7" max="7" width="12.21875" style="12"/>
    <col min="8" max="9" width="12.21875" style="13"/>
    <col min="10" max="11" width="12.21875" style="14"/>
    <col min="12" max="13" width="12.21875" style="13"/>
    <col min="14" max="15" width="12.21875" style="14"/>
    <col min="16" max="17" width="12.21875" style="13"/>
    <col min="18" max="19" width="12.21875" style="14"/>
    <col min="20" max="21" width="12.21875" style="13"/>
    <col min="22" max="23" width="12.21875" style="14"/>
    <col min="24" max="16384" width="12.21875" style="16"/>
  </cols>
  <sheetData>
    <row r="1" spans="1:23" s="10" customFormat="1" ht="15" thickBot="1" x14ac:dyDescent="0.35">
      <c r="A1" s="6" t="s">
        <v>23</v>
      </c>
      <c r="B1" s="58" t="s">
        <v>89</v>
      </c>
      <c r="C1" s="58" t="s">
        <v>87</v>
      </c>
      <c r="D1" s="7" t="s">
        <v>51</v>
      </c>
      <c r="E1" s="7" t="s">
        <v>31</v>
      </c>
      <c r="F1" s="7" t="s">
        <v>32</v>
      </c>
      <c r="G1" s="7" t="s">
        <v>33</v>
      </c>
      <c r="H1" s="8" t="s">
        <v>53</v>
      </c>
      <c r="I1" s="8" t="s">
        <v>46</v>
      </c>
      <c r="J1" s="9" t="s">
        <v>54</v>
      </c>
      <c r="K1" s="9" t="s">
        <v>16</v>
      </c>
      <c r="L1" s="8" t="s">
        <v>55</v>
      </c>
      <c r="M1" s="8" t="s">
        <v>17</v>
      </c>
      <c r="N1" s="9" t="s">
        <v>56</v>
      </c>
      <c r="O1" s="9" t="s">
        <v>18</v>
      </c>
      <c r="P1" s="8" t="s">
        <v>57</v>
      </c>
      <c r="Q1" s="8" t="s">
        <v>19</v>
      </c>
      <c r="R1" s="9" t="s">
        <v>58</v>
      </c>
      <c r="S1" s="9" t="s">
        <v>20</v>
      </c>
      <c r="T1" s="8" t="s">
        <v>59</v>
      </c>
      <c r="U1" s="8" t="s">
        <v>21</v>
      </c>
      <c r="V1" s="9" t="s">
        <v>60</v>
      </c>
      <c r="W1" s="9" t="s">
        <v>22</v>
      </c>
    </row>
    <row r="2" spans="1:23" x14ac:dyDescent="0.3">
      <c r="A2" s="11">
        <v>1</v>
      </c>
      <c r="B2" s="11">
        <v>-5000</v>
      </c>
      <c r="C2" s="60">
        <v>-29475</v>
      </c>
      <c r="D2" s="12">
        <f>Voltage!L2</f>
        <v>-8.9915848</v>
      </c>
      <c r="E2" s="12">
        <f>Voltage!M2</f>
        <v>0</v>
      </c>
      <c r="F2" s="12">
        <f>Voltage!N2</f>
        <v>-29463</v>
      </c>
      <c r="G2" s="12">
        <f>Voltage!O2</f>
        <v>-29459</v>
      </c>
      <c r="H2" s="63">
        <f>'Range 0'!L2*1000</f>
        <v>-99.855026999999993</v>
      </c>
      <c r="I2" s="13">
        <f>'Range 0'!M2</f>
        <v>-27369</v>
      </c>
      <c r="J2" s="15">
        <f>'Range 1'!L2*1000</f>
        <v>-5.0696787999999993</v>
      </c>
      <c r="K2" s="14">
        <f>'Range 1'!M2</f>
        <v>-27587</v>
      </c>
      <c r="L2" s="63">
        <f>'Range 2'!L2*1000</f>
        <v>-0.24560000000000001</v>
      </c>
      <c r="M2" s="13">
        <f>'Range 2'!M2</f>
        <v>-27606</v>
      </c>
      <c r="N2" s="15">
        <f>'Range 3'!L2*1000</f>
        <v>-1.2696000000000001E-2</v>
      </c>
      <c r="O2" s="14">
        <f>'Range 3'!M2</f>
        <v>-27615</v>
      </c>
    </row>
    <row r="3" spans="1:23" x14ac:dyDescent="0.3">
      <c r="A3" s="11">
        <v>2</v>
      </c>
      <c r="B3" s="11">
        <v>-4500</v>
      </c>
      <c r="C3" s="60">
        <v>-26200</v>
      </c>
      <c r="D3" s="12">
        <f>Voltage!L3</f>
        <v>-7.9914358999999999</v>
      </c>
      <c r="E3" s="12">
        <f>Voltage!M3</f>
        <v>0</v>
      </c>
      <c r="F3" s="12">
        <f>Voltage!N3</f>
        <v>-26187</v>
      </c>
      <c r="G3" s="12">
        <f>Voltage!O3</f>
        <v>-26182</v>
      </c>
      <c r="H3" s="13">
        <f>'Range 0'!L3*1000</f>
        <v>-89.847321999999991</v>
      </c>
      <c r="I3" s="13">
        <f>'Range 0'!M3</f>
        <v>-24663</v>
      </c>
      <c r="J3" s="14">
        <f>'Range 1'!L3*1000</f>
        <v>-4.5618784000000003</v>
      </c>
      <c r="K3" s="14">
        <f>'Range 1'!M3</f>
        <v>-24870</v>
      </c>
      <c r="L3" s="13">
        <f>'Range 2'!L3*1000</f>
        <v>-0.221</v>
      </c>
      <c r="M3" s="13">
        <f>'Range 2'!M3</f>
        <v>-24882</v>
      </c>
      <c r="N3" s="14">
        <f>'Range 3'!L3*1000</f>
        <v>-1.1424999999999999E-2</v>
      </c>
      <c r="O3" s="14">
        <f>'Range 3'!M3</f>
        <v>-24896</v>
      </c>
    </row>
    <row r="4" spans="1:23" x14ac:dyDescent="0.3">
      <c r="A4" s="11">
        <v>3</v>
      </c>
      <c r="B4" s="11">
        <v>-4000</v>
      </c>
      <c r="C4" s="60">
        <v>-22925</v>
      </c>
      <c r="D4" s="12">
        <f>Voltage!L4</f>
        <v>-6.9915829</v>
      </c>
      <c r="E4" s="12">
        <f>Voltage!M4</f>
        <v>0</v>
      </c>
      <c r="F4" s="12">
        <f>Voltage!N4</f>
        <v>-22912</v>
      </c>
      <c r="G4" s="12">
        <f>Voltage!O4</f>
        <v>-22907</v>
      </c>
      <c r="H4" s="13">
        <f>'Range 0'!L4*1000</f>
        <v>-79.825468999999998</v>
      </c>
      <c r="I4" s="13">
        <f>'Range 0'!M4</f>
        <v>-21917</v>
      </c>
      <c r="J4" s="14">
        <f>'Range 1'!L4*1000</f>
        <v>-4.0534508000000002</v>
      </c>
      <c r="K4" s="14">
        <f>'Range 1'!M4</f>
        <v>-22104</v>
      </c>
      <c r="L4" s="13">
        <f>'Range 2'!L4*1000</f>
        <v>-0.1963</v>
      </c>
      <c r="M4" s="13">
        <f>'Range 2'!M4</f>
        <v>-22114</v>
      </c>
      <c r="N4" s="14">
        <f>'Range 3'!L4*1000</f>
        <v>-1.0152999999999999E-2</v>
      </c>
      <c r="O4" s="14">
        <f>'Range 3'!M4</f>
        <v>-22129</v>
      </c>
    </row>
    <row r="5" spans="1:23" x14ac:dyDescent="0.3">
      <c r="A5" s="11">
        <v>4</v>
      </c>
      <c r="B5" s="11">
        <v>-3500</v>
      </c>
      <c r="C5" s="60">
        <v>-19650</v>
      </c>
      <c r="D5" s="12">
        <f>Voltage!L5</f>
        <v>-5.9925682</v>
      </c>
      <c r="E5" s="12">
        <f>Voltage!M5</f>
        <v>0</v>
      </c>
      <c r="F5" s="12">
        <f>Voltage!N5</f>
        <v>-19640</v>
      </c>
      <c r="G5" s="12">
        <f>Voltage!O5</f>
        <v>-19634</v>
      </c>
      <c r="H5" s="13">
        <f>'Range 0'!L5*1000</f>
        <v>-69.816164000000001</v>
      </c>
      <c r="I5" s="13">
        <f>'Range 0'!M5</f>
        <v>-19170</v>
      </c>
      <c r="J5" s="14">
        <f>'Range 1'!L5*1000</f>
        <v>-3.5454569</v>
      </c>
      <c r="K5" s="14">
        <f>'Range 1'!M5</f>
        <v>-19336</v>
      </c>
      <c r="L5" s="13">
        <f>'Range 2'!L5*1000</f>
        <v>-0.17169000000000001</v>
      </c>
      <c r="M5" s="13">
        <f>'Range 2'!M5</f>
        <v>-19344</v>
      </c>
      <c r="N5" s="14">
        <f>'Range 3'!L5*1000</f>
        <v>-8.881E-3</v>
      </c>
      <c r="O5" s="14">
        <f>'Range 3'!M5</f>
        <v>-19359</v>
      </c>
    </row>
    <row r="6" spans="1:23" x14ac:dyDescent="0.3">
      <c r="A6" s="11">
        <v>5</v>
      </c>
      <c r="B6" s="11">
        <v>-3000</v>
      </c>
      <c r="C6" s="60">
        <v>-16375</v>
      </c>
      <c r="D6" s="12">
        <f>Voltage!L6</f>
        <v>-4.9928583</v>
      </c>
      <c r="E6" s="12">
        <f>Voltage!M6</f>
        <v>0</v>
      </c>
      <c r="F6" s="12">
        <f>Voltage!N6</f>
        <v>-16365</v>
      </c>
      <c r="G6" s="12">
        <f>Voltage!O6</f>
        <v>-16359</v>
      </c>
      <c r="H6" s="13">
        <f>'Range 0'!L6*1000</f>
        <v>-59.796496999999995</v>
      </c>
      <c r="I6" s="13">
        <f>'Range 0'!M6</f>
        <v>-16418</v>
      </c>
      <c r="J6" s="14">
        <f>'Range 1'!L6*1000</f>
        <v>-3.0369171000000001</v>
      </c>
      <c r="K6" s="14">
        <f>'Range 1'!M6</f>
        <v>-16562</v>
      </c>
      <c r="L6" s="13">
        <f>'Range 2'!L6*1000</f>
        <v>-0.14710999999999999</v>
      </c>
      <c r="M6" s="13">
        <f>'Range 2'!M6</f>
        <v>-16570</v>
      </c>
      <c r="N6" s="14">
        <f>'Range 3'!L6*1000</f>
        <v>-7.6080000000000002E-3</v>
      </c>
      <c r="O6" s="14">
        <f>'Range 3'!M6</f>
        <v>-16585</v>
      </c>
    </row>
    <row r="7" spans="1:23" x14ac:dyDescent="0.3">
      <c r="A7" s="11">
        <v>6</v>
      </c>
      <c r="B7" s="11">
        <v>-2500</v>
      </c>
      <c r="C7" s="60">
        <v>-13100</v>
      </c>
      <c r="D7" s="12">
        <f>Voltage!L7</f>
        <v>-3.9929657999999999</v>
      </c>
      <c r="E7" s="12">
        <f>Voltage!M7</f>
        <v>0</v>
      </c>
      <c r="F7" s="12">
        <f>Voltage!N7</f>
        <v>-13089</v>
      </c>
      <c r="G7" s="12">
        <f>Voltage!O7</f>
        <v>-13083</v>
      </c>
      <c r="H7" s="13">
        <f>'Range 0'!L7*1000</f>
        <v>-49.789608000000001</v>
      </c>
      <c r="I7" s="13">
        <f>'Range 0'!M7</f>
        <v>-13671</v>
      </c>
      <c r="J7" s="14">
        <f>'Range 1'!L7*1000</f>
        <v>-2.5291690999999998</v>
      </c>
      <c r="K7" s="14">
        <f>'Range 1'!M7</f>
        <v>-13793</v>
      </c>
      <c r="L7" s="13">
        <f>'Range 2'!L7*1000</f>
        <v>-0.12252000000000002</v>
      </c>
      <c r="M7" s="13">
        <f>'Range 2'!M7</f>
        <v>-13799</v>
      </c>
      <c r="N7" s="14">
        <f>'Range 3'!L7*1000</f>
        <v>-6.3369999999999998E-3</v>
      </c>
      <c r="O7" s="14">
        <f>'Range 3'!M7</f>
        <v>-13814</v>
      </c>
    </row>
    <row r="8" spans="1:23" x14ac:dyDescent="0.3">
      <c r="A8" s="11">
        <v>7</v>
      </c>
      <c r="B8" s="11">
        <v>-2000</v>
      </c>
      <c r="C8" s="60">
        <v>-9825</v>
      </c>
      <c r="D8" s="12">
        <f>Voltage!L8</f>
        <v>-2.9927697000000002</v>
      </c>
      <c r="E8" s="12">
        <f>Voltage!M8</f>
        <v>0</v>
      </c>
      <c r="F8" s="12">
        <f>Voltage!N8</f>
        <v>-9813</v>
      </c>
      <c r="G8" s="12">
        <f>Voltage!O8</f>
        <v>-9806</v>
      </c>
      <c r="H8" s="13">
        <f>'Range 0'!L8*1000</f>
        <v>-39.768527999999996</v>
      </c>
      <c r="I8" s="13">
        <f>'Range 0'!M8</f>
        <v>-10920</v>
      </c>
      <c r="J8" s="14">
        <f>'Range 1'!L8*1000</f>
        <v>-2.0207077</v>
      </c>
      <c r="K8" s="14">
        <f>'Range 1'!M8</f>
        <v>-11021</v>
      </c>
      <c r="L8" s="13">
        <f>'Range 2'!L8*1000</f>
        <v>-9.7880000000000009E-2</v>
      </c>
      <c r="M8" s="13">
        <f>'Range 2'!M8</f>
        <v>-11026</v>
      </c>
      <c r="N8" s="14">
        <f>'Range 3'!L8*1000</f>
        <v>-5.0650000000000001E-3</v>
      </c>
      <c r="O8" s="14">
        <f>'Range 3'!M8</f>
        <v>-11041</v>
      </c>
    </row>
    <row r="9" spans="1:23" x14ac:dyDescent="0.3">
      <c r="A9" s="11">
        <v>8</v>
      </c>
      <c r="B9" s="11">
        <v>-1500</v>
      </c>
      <c r="C9" s="60">
        <v>-6550</v>
      </c>
      <c r="D9" s="12">
        <f>Voltage!L9</f>
        <v>-1.9932061000000001</v>
      </c>
      <c r="E9" s="12">
        <f>Voltage!M9</f>
        <v>0</v>
      </c>
      <c r="F9" s="12">
        <f>Voltage!N9</f>
        <v>-6539</v>
      </c>
      <c r="G9" s="12">
        <f>Voltage!O9</f>
        <v>-6533</v>
      </c>
      <c r="H9" s="13">
        <f>'Range 0'!L9*1000</f>
        <v>-29.745282000000003</v>
      </c>
      <c r="I9" s="13">
        <f>'Range 0'!M9</f>
        <v>-8169</v>
      </c>
      <c r="J9" s="14">
        <f>'Range 1'!L9*1000</f>
        <v>-1.5119666</v>
      </c>
      <c r="K9" s="14">
        <f>'Range 1'!M9</f>
        <v>-8248</v>
      </c>
      <c r="L9" s="13">
        <f>'Range 2'!L9*1000</f>
        <v>-7.325000000000001E-2</v>
      </c>
      <c r="M9" s="13">
        <f>'Range 2'!M9</f>
        <v>-8251</v>
      </c>
      <c r="N9" s="14">
        <f>'Range 3'!L9*1000</f>
        <v>-3.7910000000000001E-3</v>
      </c>
      <c r="O9" s="14">
        <f>'Range 3'!M9</f>
        <v>-8267</v>
      </c>
    </row>
    <row r="10" spans="1:23" x14ac:dyDescent="0.3">
      <c r="A10" s="11">
        <v>9</v>
      </c>
      <c r="B10" s="11">
        <v>-1000</v>
      </c>
      <c r="C10" s="60">
        <v>-3275</v>
      </c>
      <c r="D10" s="12">
        <f>Voltage!L10</f>
        <v>-0.99367035000000004</v>
      </c>
      <c r="E10" s="12">
        <f>Voltage!M10</f>
        <v>0</v>
      </c>
      <c r="F10" s="12">
        <f>Voltage!N10</f>
        <v>-3264</v>
      </c>
      <c r="G10" s="12">
        <f>Voltage!O10</f>
        <v>-3258</v>
      </c>
      <c r="H10" s="13">
        <f>'Range 0'!L10*1000</f>
        <v>-19.727074999999999</v>
      </c>
      <c r="I10" s="13">
        <f>'Range 0'!M10</f>
        <v>-5420</v>
      </c>
      <c r="J10" s="14">
        <f>'Range 1'!L10*1000</f>
        <v>-1.0037052</v>
      </c>
      <c r="K10" s="14">
        <f>'Range 1'!M10</f>
        <v>-5476</v>
      </c>
      <c r="L10" s="13">
        <f>'Range 2'!L10*1000</f>
        <v>-4.863E-2</v>
      </c>
      <c r="M10" s="13">
        <f>'Range 2'!M10</f>
        <v>-5479</v>
      </c>
      <c r="N10" s="14">
        <f>'Range 3'!L10*1000</f>
        <v>-2.519E-3</v>
      </c>
      <c r="O10" s="14">
        <f>'Range 3'!M10</f>
        <v>-5494</v>
      </c>
    </row>
    <row r="11" spans="1:23" x14ac:dyDescent="0.3">
      <c r="A11" s="11">
        <v>10</v>
      </c>
      <c r="B11" s="11">
        <v>-500</v>
      </c>
      <c r="C11" s="60">
        <v>-1500</v>
      </c>
      <c r="D11" s="12">
        <f>Voltage!L11</f>
        <v>-0.45188149999999999</v>
      </c>
      <c r="E11" s="12">
        <f>Voltage!M11</f>
        <v>0</v>
      </c>
      <c r="F11" s="12">
        <f>Voltage!N11</f>
        <v>-1490</v>
      </c>
      <c r="G11" s="12">
        <f>Voltage!O11</f>
        <v>-1483</v>
      </c>
      <c r="H11" s="13">
        <f>'Range 0'!L11*1000</f>
        <v>-9.7281293000000009</v>
      </c>
      <c r="I11" s="13">
        <f>'Range 0'!M11</f>
        <v>-2675</v>
      </c>
      <c r="J11" s="14">
        <f>'Range 1'!L11*1000</f>
        <v>-0.4963398</v>
      </c>
      <c r="K11" s="14">
        <f>'Range 1'!M11</f>
        <v>-2711</v>
      </c>
      <c r="L11" s="13">
        <f>'Range 2'!L11*1000</f>
        <v>-2.4039999999999999E-2</v>
      </c>
      <c r="M11" s="13">
        <f>'Range 2'!M11</f>
        <v>-2713</v>
      </c>
      <c r="N11" s="14">
        <f>'Range 3'!L11*1000</f>
        <v>-1.2489000000000001E-3</v>
      </c>
      <c r="O11" s="14">
        <f>'Range 3'!M11</f>
        <v>-2727</v>
      </c>
    </row>
    <row r="12" spans="1:23" s="21" customFormat="1" x14ac:dyDescent="0.3">
      <c r="A12" s="17">
        <v>11</v>
      </c>
      <c r="B12" s="17">
        <v>0</v>
      </c>
      <c r="C12" s="61">
        <v>0</v>
      </c>
      <c r="D12" s="18">
        <f>Voltage!L12</f>
        <v>5.7891210000000004E-3</v>
      </c>
      <c r="E12" s="18">
        <f>Voltage!M12</f>
        <v>0</v>
      </c>
      <c r="F12" s="18">
        <f>Voltage!N12</f>
        <v>10</v>
      </c>
      <c r="G12" s="18">
        <f>Voltage!O12</f>
        <v>16</v>
      </c>
      <c r="H12" s="19">
        <f>'Range 0'!L12*1000</f>
        <v>0.29340300000000002</v>
      </c>
      <c r="I12" s="19">
        <f>'Range 0'!M12</f>
        <v>80</v>
      </c>
      <c r="J12" s="20">
        <f>'Range 1'!L12*1000</f>
        <v>1.2282299999999999E-2</v>
      </c>
      <c r="K12" s="20">
        <f>'Range 1'!M12</f>
        <v>66</v>
      </c>
      <c r="L12" s="19">
        <f>'Range 2'!L12*1000</f>
        <v>5.8429999999999995E-4</v>
      </c>
      <c r="M12" s="19">
        <f>'Range 2'!M12</f>
        <v>65</v>
      </c>
      <c r="N12" s="20">
        <f>'Range 3'!L12*1000</f>
        <v>2.3499999999999999E-5</v>
      </c>
      <c r="O12" s="20">
        <f>'Range 3'!M12</f>
        <v>51</v>
      </c>
      <c r="P12" s="19"/>
      <c r="Q12" s="19"/>
      <c r="R12" s="20"/>
      <c r="S12" s="20"/>
      <c r="T12" s="19"/>
      <c r="U12" s="19"/>
      <c r="V12" s="20"/>
      <c r="W12" s="20"/>
    </row>
    <row r="13" spans="1:23" x14ac:dyDescent="0.3">
      <c r="A13" s="11">
        <v>12</v>
      </c>
      <c r="B13" s="11">
        <v>500</v>
      </c>
      <c r="C13" s="60">
        <v>1500</v>
      </c>
      <c r="D13" s="12">
        <f>Voltage!L13</f>
        <v>0.46346092</v>
      </c>
      <c r="E13" s="12">
        <f>Voltage!M13</f>
        <v>0</v>
      </c>
      <c r="F13" s="12">
        <f>Voltage!N13</f>
        <v>1509</v>
      </c>
      <c r="G13" s="12">
        <f>Voltage!O13</f>
        <v>1515</v>
      </c>
      <c r="H13" s="13">
        <f>'Range 0'!L13*1000</f>
        <v>10.3027</v>
      </c>
      <c r="I13" s="13">
        <f>'Range 0'!M13</f>
        <v>2826</v>
      </c>
      <c r="J13" s="14">
        <f>'Range 1'!L13*1000</f>
        <v>0.52005919999999994</v>
      </c>
      <c r="K13" s="14">
        <f>'Range 1'!M13</f>
        <v>2834</v>
      </c>
      <c r="L13" s="13">
        <f>'Range 2'!L13*1000</f>
        <v>2.5180000000000001E-2</v>
      </c>
      <c r="M13" s="13">
        <f>'Range 2'!M13</f>
        <v>2835</v>
      </c>
      <c r="N13" s="14">
        <f>'Range 3'!L13*1000</f>
        <v>1.2955E-3</v>
      </c>
      <c r="O13" s="14">
        <f>'Range 3'!M13</f>
        <v>2820</v>
      </c>
    </row>
    <row r="14" spans="1:23" x14ac:dyDescent="0.3">
      <c r="A14" s="11">
        <v>13</v>
      </c>
      <c r="B14" s="11">
        <v>1000</v>
      </c>
      <c r="C14" s="60">
        <v>3275</v>
      </c>
      <c r="D14" s="12">
        <f>Voltage!L14</f>
        <v>1.0053319999999999</v>
      </c>
      <c r="E14" s="12">
        <f>Voltage!M14</f>
        <v>0</v>
      </c>
      <c r="F14" s="12">
        <f>Voltage!N14</f>
        <v>3285</v>
      </c>
      <c r="G14" s="12">
        <f>Voltage!O14</f>
        <v>3291</v>
      </c>
      <c r="H14" s="13">
        <f>'Range 0'!L14*1000</f>
        <v>20.303523000000002</v>
      </c>
      <c r="I14" s="13">
        <f>'Range 0'!M14</f>
        <v>5572</v>
      </c>
      <c r="J14" s="14">
        <f>'Range 1'!L14*1000</f>
        <v>1.0275569999999998</v>
      </c>
      <c r="K14" s="14">
        <f>'Range 1'!M14</f>
        <v>5600</v>
      </c>
      <c r="L14" s="13">
        <f>'Range 2'!L14*1000</f>
        <v>4.9770000000000002E-2</v>
      </c>
      <c r="M14" s="13">
        <f>'Range 2'!M14</f>
        <v>5602</v>
      </c>
      <c r="N14" s="14">
        <f>'Range 3'!L14*1000</f>
        <v>2.5629999999999997E-3</v>
      </c>
      <c r="O14" s="14">
        <f>'Range 3'!M14</f>
        <v>5588</v>
      </c>
    </row>
    <row r="15" spans="1:23" x14ac:dyDescent="0.3">
      <c r="A15" s="11">
        <v>14</v>
      </c>
      <c r="B15" s="11">
        <v>1500</v>
      </c>
      <c r="C15" s="60">
        <v>6550</v>
      </c>
      <c r="D15" s="12">
        <f>Voltage!L15</f>
        <v>2.0046689999999998</v>
      </c>
      <c r="E15" s="12">
        <f>Voltage!M15</f>
        <v>0</v>
      </c>
      <c r="F15" s="12">
        <f>Voltage!N15</f>
        <v>6558</v>
      </c>
      <c r="G15" s="12">
        <f>Voltage!O15</f>
        <v>6565</v>
      </c>
      <c r="H15" s="13">
        <f>'Range 0'!L15*1000</f>
        <v>30.333552999999998</v>
      </c>
      <c r="I15" s="13">
        <f>'Range 0'!M15</f>
        <v>8325</v>
      </c>
      <c r="J15" s="14">
        <f>'Range 1'!L15*1000</f>
        <v>1.5365400999999999</v>
      </c>
      <c r="K15" s="14">
        <f>'Range 1'!M15</f>
        <v>8375</v>
      </c>
      <c r="L15" s="13">
        <f>'Range 2'!L15*1000</f>
        <v>7.442E-2</v>
      </c>
      <c r="M15" s="13">
        <f>'Range 2'!M15</f>
        <v>8378</v>
      </c>
      <c r="N15" s="14">
        <f>'Range 3'!L15*1000</f>
        <v>3.8380000000000003E-3</v>
      </c>
      <c r="O15" s="14">
        <f>'Range 3'!M15</f>
        <v>8363</v>
      </c>
    </row>
    <row r="16" spans="1:23" x14ac:dyDescent="0.3">
      <c r="A16" s="11">
        <v>15</v>
      </c>
      <c r="B16" s="11">
        <v>2000</v>
      </c>
      <c r="C16" s="60">
        <v>9825</v>
      </c>
      <c r="D16" s="12">
        <f>Voltage!L16</f>
        <v>3.0047796999999998</v>
      </c>
      <c r="E16" s="12">
        <f>Voltage!M16</f>
        <v>0</v>
      </c>
      <c r="F16" s="12">
        <f>Voltage!N16</f>
        <v>9834</v>
      </c>
      <c r="G16" s="12">
        <f>Voltage!O16</f>
        <v>9840</v>
      </c>
      <c r="H16" s="13">
        <f>'Range 0'!L16*1000</f>
        <v>40.352425999999994</v>
      </c>
      <c r="I16" s="13">
        <f>'Range 0'!M16</f>
        <v>11075</v>
      </c>
      <c r="J16" s="14">
        <f>'Range 1'!L16*1000</f>
        <v>2.0449318000000001</v>
      </c>
      <c r="K16" s="14">
        <f>'Range 1'!M16</f>
        <v>11147</v>
      </c>
      <c r="L16" s="13">
        <f>'Range 2'!L16*1000</f>
        <v>9.9049999999999999E-2</v>
      </c>
      <c r="M16" s="13">
        <f>'Range 2'!M16</f>
        <v>11150</v>
      </c>
      <c r="N16" s="14">
        <f>'Range 3'!L16*1000</f>
        <v>5.11E-3</v>
      </c>
      <c r="O16" s="14">
        <f>'Range 3'!M16</f>
        <v>11136</v>
      </c>
    </row>
    <row r="17" spans="1:23" x14ac:dyDescent="0.3">
      <c r="A17" s="11">
        <v>16</v>
      </c>
      <c r="B17" s="11">
        <v>2500</v>
      </c>
      <c r="C17" s="60">
        <v>13100</v>
      </c>
      <c r="D17" s="12">
        <f>Voltage!L17</f>
        <v>4.0049283999999998</v>
      </c>
      <c r="E17" s="12">
        <f>Voltage!M17</f>
        <v>0</v>
      </c>
      <c r="F17" s="12">
        <f>Voltage!N17</f>
        <v>13110</v>
      </c>
      <c r="G17" s="12">
        <f>Voltage!O17</f>
        <v>13117</v>
      </c>
      <c r="H17" s="13">
        <f>'Range 0'!L17*1000</f>
        <v>50.364049000000001</v>
      </c>
      <c r="I17" s="13">
        <f>'Range 0'!M17</f>
        <v>13823</v>
      </c>
      <c r="J17" s="14">
        <f>'Range 1'!L17*1000</f>
        <v>2.5528845999999996</v>
      </c>
      <c r="K17" s="14">
        <f>'Range 1'!M17</f>
        <v>13915</v>
      </c>
      <c r="L17" s="13">
        <f>'Range 2'!L17*1000</f>
        <v>0.12365</v>
      </c>
      <c r="M17" s="13">
        <f>'Range 2'!M17</f>
        <v>13920</v>
      </c>
      <c r="N17" s="14">
        <f>'Range 3'!L17*1000</f>
        <v>6.3819999999999997E-3</v>
      </c>
      <c r="O17" s="14">
        <f>'Range 3'!M17</f>
        <v>13906</v>
      </c>
    </row>
    <row r="18" spans="1:23" x14ac:dyDescent="0.3">
      <c r="A18" s="11">
        <v>17</v>
      </c>
      <c r="B18" s="11">
        <v>3000</v>
      </c>
      <c r="C18" s="60">
        <v>16375</v>
      </c>
      <c r="D18" s="12">
        <f>Voltage!L18</f>
        <v>5.0049982000000002</v>
      </c>
      <c r="E18" s="12">
        <f>Voltage!M18</f>
        <v>0</v>
      </c>
      <c r="F18" s="12">
        <f>Voltage!N18</f>
        <v>16386</v>
      </c>
      <c r="G18" s="12">
        <f>Voltage!O18</f>
        <v>16393</v>
      </c>
      <c r="H18" s="13">
        <f>'Range 0'!L18*1000</f>
        <v>60.385565</v>
      </c>
      <c r="I18" s="13">
        <f>'Range 0'!M18</f>
        <v>16571</v>
      </c>
      <c r="J18" s="14">
        <f>'Range 1'!L18*1000</f>
        <v>3.0614796000000002</v>
      </c>
      <c r="K18" s="14">
        <f>'Range 1'!M18</f>
        <v>16685</v>
      </c>
      <c r="L18" s="13">
        <f>'Range 2'!L18*1000</f>
        <v>0.14829000000000001</v>
      </c>
      <c r="M18" s="13">
        <f>'Range 2'!M18</f>
        <v>16691</v>
      </c>
      <c r="N18" s="14">
        <f>'Range 3'!L18*1000</f>
        <v>7.6550000000000003E-3</v>
      </c>
      <c r="O18" s="14">
        <f>'Range 3'!M18</f>
        <v>16677</v>
      </c>
    </row>
    <row r="19" spans="1:23" x14ac:dyDescent="0.3">
      <c r="A19" s="11">
        <v>18</v>
      </c>
      <c r="B19" s="11">
        <v>3500</v>
      </c>
      <c r="C19" s="60">
        <v>19650</v>
      </c>
      <c r="D19" s="12">
        <f>Voltage!L19</f>
        <v>6.0044651</v>
      </c>
      <c r="E19" s="12">
        <f>Voltage!M19</f>
        <v>0</v>
      </c>
      <c r="F19" s="12">
        <f>Voltage!N19</f>
        <v>19660</v>
      </c>
      <c r="G19" s="12">
        <f>Voltage!O19</f>
        <v>19667</v>
      </c>
      <c r="H19" s="13">
        <f>'Range 0'!L19*1000</f>
        <v>70.414341000000007</v>
      </c>
      <c r="I19" s="13">
        <f>'Range 0'!M19</f>
        <v>19323</v>
      </c>
      <c r="J19" s="14">
        <f>'Range 1'!L19*1000</f>
        <v>3.5703665999999998</v>
      </c>
      <c r="K19" s="14">
        <f>'Range 1'!M19</f>
        <v>19458</v>
      </c>
      <c r="L19" s="13">
        <f>'Range 2'!L19*1000</f>
        <v>0.17294000000000001</v>
      </c>
      <c r="M19" s="13">
        <f>'Range 2'!M19</f>
        <v>19465</v>
      </c>
      <c r="N19" s="14">
        <f>'Range 3'!L19*1000</f>
        <v>8.9280000000000002E-3</v>
      </c>
      <c r="O19" s="14">
        <f>'Range 3'!M19</f>
        <v>19451</v>
      </c>
    </row>
    <row r="20" spans="1:23" x14ac:dyDescent="0.3">
      <c r="A20" s="11">
        <v>19</v>
      </c>
      <c r="B20" s="11">
        <v>4000</v>
      </c>
      <c r="C20" s="60">
        <v>22925</v>
      </c>
      <c r="D20" s="12">
        <f>Voltage!L20</f>
        <v>7.0041000000000002</v>
      </c>
      <c r="E20" s="12">
        <f>Voltage!M20</f>
        <v>0</v>
      </c>
      <c r="F20" s="12">
        <f>Voltage!N20</f>
        <v>22935</v>
      </c>
      <c r="G20" s="12">
        <f>Voltage!O20</f>
        <v>22942</v>
      </c>
      <c r="H20" s="13">
        <f>'Range 0'!L20*1000</f>
        <v>80.422214000000011</v>
      </c>
      <c r="I20" s="13">
        <f>'Range 0'!M20</f>
        <v>22068</v>
      </c>
      <c r="J20" s="14">
        <f>'Range 1'!L20*1000</f>
        <v>4.0783141999999994</v>
      </c>
      <c r="K20" s="14">
        <f>'Range 1'!M20</f>
        <v>22225</v>
      </c>
      <c r="L20" s="13">
        <f>'Range 2'!L20*1000</f>
        <v>0.19755</v>
      </c>
      <c r="M20" s="13">
        <f>'Range 2'!M20</f>
        <v>22233</v>
      </c>
      <c r="N20" s="14">
        <f>'Range 3'!L20*1000</f>
        <v>1.0199E-2</v>
      </c>
      <c r="O20" s="14">
        <f>'Range 3'!M20</f>
        <v>22218</v>
      </c>
    </row>
    <row r="21" spans="1:23" x14ac:dyDescent="0.3">
      <c r="A21" s="11">
        <v>20</v>
      </c>
      <c r="B21" s="11">
        <v>4500</v>
      </c>
      <c r="C21" s="60">
        <v>26200</v>
      </c>
      <c r="D21" s="12">
        <f>Voltage!L21</f>
        <v>8.0039417000000004</v>
      </c>
      <c r="E21" s="12">
        <f>Voltage!M21</f>
        <v>0</v>
      </c>
      <c r="F21" s="12">
        <f>Voltage!N21</f>
        <v>26209</v>
      </c>
      <c r="G21" s="12">
        <f>Voltage!O21</f>
        <v>26217</v>
      </c>
      <c r="H21" s="13">
        <f>'Range 0'!L21*1000</f>
        <v>90.441097999999997</v>
      </c>
      <c r="I21" s="13">
        <f>'Range 0'!M21</f>
        <v>24810</v>
      </c>
      <c r="J21" s="14">
        <f>'Range 1'!L21*1000</f>
        <v>4.5866175</v>
      </c>
      <c r="K21" s="14">
        <f>'Range 1'!M21</f>
        <v>24987</v>
      </c>
      <c r="L21" s="13">
        <f>'Range 2'!L21*1000</f>
        <v>0.22209999999999999</v>
      </c>
      <c r="M21" s="13">
        <f>'Range 2'!M21</f>
        <v>24997</v>
      </c>
      <c r="N21" s="14">
        <f>'Range 3'!L21*1000</f>
        <v>1.1472E-2</v>
      </c>
      <c r="O21" s="14">
        <f>'Range 3'!M21</f>
        <v>24982</v>
      </c>
    </row>
    <row r="22" spans="1:23" s="26" customFormat="1" x14ac:dyDescent="0.3">
      <c r="A22" s="22">
        <v>21</v>
      </c>
      <c r="B22" s="22">
        <v>5000</v>
      </c>
      <c r="C22" s="62">
        <v>29475</v>
      </c>
      <c r="D22" s="23">
        <f>Voltage!L22</f>
        <v>9.0035120000000006</v>
      </c>
      <c r="E22" s="23">
        <f>Voltage!M22</f>
        <v>0</v>
      </c>
      <c r="F22" s="23">
        <f>Voltage!N22</f>
        <v>29484</v>
      </c>
      <c r="G22" s="23">
        <f>Voltage!O22</f>
        <v>29492</v>
      </c>
      <c r="H22" s="24">
        <f>'Range 0'!L22*1000</f>
        <v>100.41625999999999</v>
      </c>
      <c r="I22" s="24">
        <f>'Range 0'!M22</f>
        <v>27509</v>
      </c>
      <c r="J22" s="25">
        <f>'Range 1'!L22*1000</f>
        <v>5.0945961999999998</v>
      </c>
      <c r="K22" s="25">
        <f>'Range 1'!M22</f>
        <v>27697</v>
      </c>
      <c r="L22" s="24">
        <f>'Range 2'!L22*1000</f>
        <v>0.24659999999999999</v>
      </c>
      <c r="M22" s="24">
        <f>'Range 2'!M22</f>
        <v>27712</v>
      </c>
      <c r="N22" s="25">
        <f>'Range 3'!L22*1000</f>
        <v>1.2744E-2</v>
      </c>
      <c r="O22" s="25">
        <f>'Range 3'!M22</f>
        <v>27695</v>
      </c>
      <c r="P22" s="24"/>
      <c r="Q22" s="24"/>
      <c r="R22" s="25"/>
      <c r="S22" s="25"/>
      <c r="T22" s="24"/>
      <c r="U22" s="24"/>
      <c r="V22" s="25"/>
      <c r="W22" s="25"/>
    </row>
    <row r="23" spans="1:23" s="30" customFormat="1" x14ac:dyDescent="0.3">
      <c r="A23" s="11"/>
      <c r="B23" s="11"/>
      <c r="C23" s="55"/>
      <c r="D23" s="27" t="str">
        <f>Voltage!B1</f>
        <v>hp34401a</v>
      </c>
      <c r="E23" s="27"/>
      <c r="F23" s="27"/>
      <c r="G23" s="27"/>
      <c r="H23" s="28" t="str">
        <f>'Range 0'!B1</f>
        <v>hp34401a</v>
      </c>
      <c r="I23" s="28"/>
      <c r="J23" s="29" t="str">
        <f>'Range 1'!B1</f>
        <v>hp34401a</v>
      </c>
      <c r="K23" s="29"/>
      <c r="L23" s="28" t="str">
        <f>'Range 2'!$B$1</f>
        <v>keithley485</v>
      </c>
      <c r="M23" s="28"/>
      <c r="N23" s="29" t="str">
        <f>'Range 3'!$B$1</f>
        <v>keithley485</v>
      </c>
      <c r="O23" s="29"/>
      <c r="P23" s="28" t="str">
        <f>'Range 4'!$B$1</f>
        <v>hp34401a</v>
      </c>
      <c r="Q23" s="28"/>
      <c r="R23" s="29" t="str">
        <f>'Range 5'!$B$1</f>
        <v>hp34401a</v>
      </c>
      <c r="S23" s="29"/>
      <c r="T23" s="28" t="str">
        <f>'Range 6'!$B$1</f>
        <v>hp34401a</v>
      </c>
      <c r="U23" s="28"/>
      <c r="V23" s="29" t="str">
        <f>'Range 7'!$B$1</f>
        <v>hp34401a</v>
      </c>
      <c r="W23" s="29"/>
    </row>
    <row r="24" spans="1:23" s="30" customFormat="1" x14ac:dyDescent="0.3">
      <c r="A24" s="11"/>
      <c r="B24" s="11"/>
      <c r="C24" s="55"/>
      <c r="D24" s="27"/>
      <c r="E24" s="27"/>
      <c r="F24" s="27"/>
      <c r="G24" s="27"/>
      <c r="H24" s="28"/>
      <c r="I24" s="28"/>
      <c r="J24" s="29"/>
      <c r="K24" s="29"/>
      <c r="L24" s="28"/>
      <c r="M24" s="28"/>
      <c r="N24" s="29"/>
      <c r="O24" s="29"/>
      <c r="P24" s="28"/>
      <c r="Q24" s="28"/>
      <c r="R24" s="29"/>
      <c r="S24" s="29"/>
      <c r="T24" s="28"/>
      <c r="U24" s="28"/>
      <c r="V24" s="29"/>
      <c r="W24" s="29"/>
    </row>
    <row r="25" spans="1:23" s="35" customFormat="1" x14ac:dyDescent="0.3">
      <c r="A25" s="31"/>
      <c r="B25" s="31"/>
      <c r="C25" s="56"/>
      <c r="D25" s="32" t="s">
        <v>26</v>
      </c>
      <c r="E25" s="32" t="s">
        <v>35</v>
      </c>
      <c r="F25" s="32" t="s">
        <v>38</v>
      </c>
      <c r="G25" s="32" t="s">
        <v>41</v>
      </c>
      <c r="H25" s="33" t="s">
        <v>44</v>
      </c>
      <c r="I25" s="33" t="s">
        <v>29</v>
      </c>
      <c r="J25" s="34" t="s">
        <v>44</v>
      </c>
      <c r="K25" s="34" t="s">
        <v>29</v>
      </c>
      <c r="L25" s="33" t="s">
        <v>44</v>
      </c>
      <c r="M25" s="33" t="s">
        <v>29</v>
      </c>
      <c r="N25" s="34" t="s">
        <v>44</v>
      </c>
      <c r="O25" s="34" t="s">
        <v>29</v>
      </c>
      <c r="P25" s="33" t="s">
        <v>44</v>
      </c>
      <c r="Q25" s="33" t="s">
        <v>29</v>
      </c>
      <c r="R25" s="34" t="s">
        <v>44</v>
      </c>
      <c r="S25" s="34" t="s">
        <v>29</v>
      </c>
      <c r="T25" s="33" t="s">
        <v>44</v>
      </c>
      <c r="U25" s="33" t="s">
        <v>29</v>
      </c>
      <c r="V25" s="34" t="s">
        <v>44</v>
      </c>
      <c r="W25" s="34" t="s">
        <v>29</v>
      </c>
    </row>
    <row r="26" spans="1:23" s="30" customFormat="1" x14ac:dyDescent="0.3">
      <c r="A26" s="11"/>
      <c r="B26" s="11"/>
      <c r="C26" s="55"/>
      <c r="D26" s="27">
        <f>SLOPE($C2:$C12,D2:D12)</f>
        <v>3275.9553593593982</v>
      </c>
      <c r="E26" s="27" t="e">
        <f>SLOPE($D2:$D12,E2:E12)</f>
        <v>#DIV/0!</v>
      </c>
      <c r="F26" s="27">
        <f>SLOPE($D2:$D12,F2:F12)</f>
        <v>3.0527579222606527E-4</v>
      </c>
      <c r="G26" s="27">
        <f t="shared" ref="G26" si="0">SLOPE($D2:$D12,G2:G12)</f>
        <v>3.0525541948566104E-4</v>
      </c>
      <c r="H26" s="28">
        <f>SLOPE(H2:H12,I2:I12)</f>
        <v>3.6456839110547874E-3</v>
      </c>
      <c r="I26" s="28">
        <f>SLOPE($B2:$B12,H2:H12)</f>
        <v>49.923577714964367</v>
      </c>
      <c r="J26" s="29">
        <f>SLOPE(J2:J12,K2:K12)</f>
        <v>1.8359234514095922E-4</v>
      </c>
      <c r="K26" s="29">
        <f>SLOPE($B2:$B12,J2:J12)</f>
        <v>983.82258831895001</v>
      </c>
      <c r="L26" s="28">
        <f>SLOPE(L2:L12,M2:M12)</f>
        <v>8.8880121707401376E-6</v>
      </c>
      <c r="M26" s="28">
        <f>SLOPE($B2:$B12,L2:L12)</f>
        <v>20311.078825652447</v>
      </c>
      <c r="N26" s="29">
        <f>SLOPE(N2:N12,O2:O12)</f>
        <v>4.5931917913562384E-7</v>
      </c>
      <c r="O26" s="29">
        <f>SLOPE($B2:$B12,N2:N12)</f>
        <v>393062.36461369455</v>
      </c>
      <c r="P26" s="28" t="e">
        <f>SLOPE(P2:P12,Q2:Q12)</f>
        <v>#DIV/0!</v>
      </c>
      <c r="Q26" s="28" t="e">
        <f t="shared" ref="Q26" si="1">SLOPE($B2:$B12,Q2:Q12)</f>
        <v>#DIV/0!</v>
      </c>
      <c r="R26" s="29" t="e">
        <f>SLOPE(R2:R12,S2:S12)</f>
        <v>#DIV/0!</v>
      </c>
      <c r="S26" s="29" t="e">
        <f t="shared" ref="S26" si="2">SLOPE($B2:$B12,S2:S12)</f>
        <v>#DIV/0!</v>
      </c>
      <c r="T26" s="28" t="e">
        <f>SLOPE(T2:T12,U2:U12)</f>
        <v>#DIV/0!</v>
      </c>
      <c r="U26" s="28" t="e">
        <f t="shared" ref="U26" si="3">SLOPE($B2:$B12,U2:U12)</f>
        <v>#DIV/0!</v>
      </c>
      <c r="V26" s="29" t="e">
        <f>SLOPE(V2:V12,W2:W12)</f>
        <v>#DIV/0!</v>
      </c>
      <c r="W26" s="29" t="e">
        <f t="shared" ref="W26" si="4">SLOPE($B2:$B12,W2:W12)</f>
        <v>#DIV/0!</v>
      </c>
    </row>
    <row r="27" spans="1:23" s="30" customFormat="1" x14ac:dyDescent="0.3">
      <c r="A27" s="11"/>
      <c r="B27" s="11"/>
      <c r="C27" s="55"/>
      <c r="D27" s="27"/>
      <c r="E27" s="27"/>
      <c r="F27" s="27"/>
      <c r="G27" s="27"/>
      <c r="H27" s="28"/>
      <c r="I27" s="28"/>
      <c r="J27" s="29"/>
      <c r="K27" s="29"/>
      <c r="L27" s="28"/>
      <c r="M27" s="28"/>
      <c r="N27" s="29"/>
      <c r="O27" s="29"/>
      <c r="P27" s="28"/>
      <c r="Q27" s="28"/>
      <c r="R27" s="29"/>
      <c r="S27" s="29"/>
      <c r="T27" s="28"/>
      <c r="U27" s="28"/>
      <c r="V27" s="29"/>
      <c r="W27" s="29"/>
    </row>
    <row r="28" spans="1:23" s="35" customFormat="1" x14ac:dyDescent="0.3">
      <c r="A28" s="31"/>
      <c r="B28" s="31"/>
      <c r="C28" s="56"/>
      <c r="D28" s="32" t="s">
        <v>25</v>
      </c>
      <c r="E28" s="32" t="s">
        <v>34</v>
      </c>
      <c r="F28" s="32" t="s">
        <v>37</v>
      </c>
      <c r="G28" s="32" t="s">
        <v>40</v>
      </c>
      <c r="H28" s="33" t="s">
        <v>43</v>
      </c>
      <c r="I28" s="33" t="s">
        <v>28</v>
      </c>
      <c r="J28" s="34" t="s">
        <v>43</v>
      </c>
      <c r="K28" s="34" t="s">
        <v>28</v>
      </c>
      <c r="L28" s="33" t="s">
        <v>43</v>
      </c>
      <c r="M28" s="33" t="s">
        <v>28</v>
      </c>
      <c r="N28" s="34" t="s">
        <v>43</v>
      </c>
      <c r="O28" s="34" t="s">
        <v>28</v>
      </c>
      <c r="P28" s="33" t="s">
        <v>43</v>
      </c>
      <c r="Q28" s="33" t="s">
        <v>28</v>
      </c>
      <c r="R28" s="34" t="s">
        <v>43</v>
      </c>
      <c r="S28" s="34" t="s">
        <v>28</v>
      </c>
      <c r="T28" s="33" t="s">
        <v>43</v>
      </c>
      <c r="U28" s="33" t="s">
        <v>28</v>
      </c>
      <c r="V28" s="34" t="s">
        <v>43</v>
      </c>
      <c r="W28" s="34" t="s">
        <v>28</v>
      </c>
    </row>
    <row r="29" spans="1:23" s="30" customFormat="1" x14ac:dyDescent="0.3">
      <c r="A29" s="11"/>
      <c r="B29" s="11"/>
      <c r="C29" s="55"/>
      <c r="D29" s="27">
        <f>SLOPE($C12:$C22,D12:D22)</f>
        <v>3275.6692507214188</v>
      </c>
      <c r="E29" s="27" t="e">
        <f>SLOPE($D12:$D22,E12:E22)</f>
        <v>#DIV/0!</v>
      </c>
      <c r="F29" s="27">
        <f>SLOPE($D12:$D22,F12:F22)</f>
        <v>3.0527997116873315E-4</v>
      </c>
      <c r="G29" s="27">
        <f t="shared" ref="G29" si="5">SLOPE($D12:$D22,G12:G22)</f>
        <v>3.0526004984356256E-4</v>
      </c>
      <c r="H29" s="28">
        <f>SLOPE(H12:H22,I12:I22)</f>
        <v>3.6473308538140636E-3</v>
      </c>
      <c r="I29" s="28">
        <f>SLOPE($B12:$B22,H12:H22)</f>
        <v>49.921993433067605</v>
      </c>
      <c r="J29" s="29">
        <f>SLOPE(J12:J22,K12:K22)</f>
        <v>1.8371878819895056E-4</v>
      </c>
      <c r="K29" s="29">
        <f>SLOPE($B12:$B22,J12:J22)</f>
        <v>983.64858002323081</v>
      </c>
      <c r="L29" s="28">
        <f>SLOPE(L12:L22,M12:M22)</f>
        <v>8.8914701889327613E-6</v>
      </c>
      <c r="M29" s="28">
        <f>SLOPE($B12:$B22,L12:L22)</f>
        <v>20314.847095671681</v>
      </c>
      <c r="N29" s="29">
        <f>SLOPE(N12:N22,O12:O22)</f>
        <v>4.5961415538366972E-7</v>
      </c>
      <c r="O29" s="29">
        <f>SLOPE($B12:$B22,N12:N22)</f>
        <v>393021.33105631056</v>
      </c>
      <c r="P29" s="28" t="e">
        <f>SLOPE(P12:P22,Q12:Q22)</f>
        <v>#DIV/0!</v>
      </c>
      <c r="Q29" s="28" t="e">
        <f t="shared" ref="Q29" si="6">SLOPE($B12:$B22,Q12:Q22)</f>
        <v>#DIV/0!</v>
      </c>
      <c r="R29" s="29" t="e">
        <f>SLOPE(R12:R22,S12:S22)</f>
        <v>#DIV/0!</v>
      </c>
      <c r="S29" s="29" t="e">
        <f t="shared" ref="S29" si="7">SLOPE($B12:$B22,S12:S22)</f>
        <v>#DIV/0!</v>
      </c>
      <c r="T29" s="28" t="e">
        <f>SLOPE(T12:T22,U12:U22)</f>
        <v>#DIV/0!</v>
      </c>
      <c r="U29" s="28" t="e">
        <f t="shared" ref="U29" si="8">SLOPE($B12:$B22,U12:U22)</f>
        <v>#DIV/0!</v>
      </c>
      <c r="V29" s="29" t="e">
        <f>SLOPE(V12:V22,W12:W22)</f>
        <v>#DIV/0!</v>
      </c>
      <c r="W29" s="29" t="e">
        <f t="shared" ref="W29" si="9">SLOPE($B12:$B22,W12:W22)</f>
        <v>#DIV/0!</v>
      </c>
    </row>
    <row r="30" spans="1:23" s="30" customFormat="1" x14ac:dyDescent="0.3">
      <c r="A30" s="11"/>
      <c r="B30" s="11"/>
      <c r="C30" s="55"/>
      <c r="D30" s="27"/>
      <c r="E30" s="27"/>
      <c r="F30" s="27"/>
      <c r="G30" s="27"/>
      <c r="H30" s="28"/>
      <c r="I30" s="28"/>
      <c r="J30" s="29"/>
      <c r="K30" s="29"/>
      <c r="L30" s="28"/>
      <c r="M30" s="28"/>
      <c r="N30" s="29"/>
      <c r="O30" s="29"/>
      <c r="P30" s="28"/>
      <c r="Q30" s="28"/>
      <c r="R30" s="29"/>
      <c r="S30" s="29"/>
      <c r="T30" s="28"/>
      <c r="U30" s="28"/>
      <c r="V30" s="29"/>
      <c r="W30" s="29"/>
    </row>
    <row r="31" spans="1:23" s="35" customFormat="1" x14ac:dyDescent="0.3">
      <c r="A31" s="31"/>
      <c r="B31" s="31"/>
      <c r="C31" s="56"/>
      <c r="D31" s="32" t="s">
        <v>27</v>
      </c>
      <c r="E31" s="32" t="s">
        <v>36</v>
      </c>
      <c r="F31" s="32" t="s">
        <v>39</v>
      </c>
      <c r="G31" s="32" t="s">
        <v>42</v>
      </c>
      <c r="H31" s="33" t="s">
        <v>45</v>
      </c>
      <c r="I31" s="33" t="s">
        <v>30</v>
      </c>
      <c r="J31" s="34" t="s">
        <v>45</v>
      </c>
      <c r="K31" s="34" t="s">
        <v>30</v>
      </c>
      <c r="L31" s="33" t="s">
        <v>45</v>
      </c>
      <c r="M31" s="33" t="s">
        <v>30</v>
      </c>
      <c r="N31" s="34" t="s">
        <v>45</v>
      </c>
      <c r="O31" s="34" t="s">
        <v>30</v>
      </c>
      <c r="P31" s="33" t="s">
        <v>45</v>
      </c>
      <c r="Q31" s="33" t="s">
        <v>30</v>
      </c>
      <c r="R31" s="34" t="s">
        <v>45</v>
      </c>
      <c r="S31" s="34" t="s">
        <v>30</v>
      </c>
      <c r="T31" s="33" t="s">
        <v>45</v>
      </c>
      <c r="U31" s="33" t="s">
        <v>30</v>
      </c>
      <c r="V31" s="34" t="s">
        <v>45</v>
      </c>
      <c r="W31" s="34" t="s">
        <v>30</v>
      </c>
    </row>
    <row r="32" spans="1:23" s="30" customFormat="1" x14ac:dyDescent="0.3">
      <c r="A32" s="11"/>
      <c r="B32" s="11"/>
      <c r="C32" s="55"/>
      <c r="D32" s="27">
        <f>INTERCEPT($C2:$C22,D2:D22)</f>
        <v>-19.57016012004221</v>
      </c>
      <c r="E32" s="27" t="e">
        <f>INTERCEPT($D2:$D22,E2:E22)</f>
        <v>#DIV/0!</v>
      </c>
      <c r="F32" s="27">
        <f t="shared" ref="F32:G32" si="10">INTERCEPT($D2:$D22,F2:F22)</f>
        <v>2.8049101967666181E-3</v>
      </c>
      <c r="G32" s="27">
        <f t="shared" si="10"/>
        <v>8.7175471496196439E-4</v>
      </c>
      <c r="H32" s="28">
        <f>INTERCEPT(H2:H22,I2:I22)</f>
        <v>1.593566486016107E-2</v>
      </c>
      <c r="I32" s="28">
        <f>INTERCEPT($B2:$B22,H2:H22)</f>
        <v>-14.573400276966209</v>
      </c>
      <c r="J32" s="29">
        <f>INTERCEPT(J2:J22,K2:K22)</f>
        <v>1.0109442395915443E-3</v>
      </c>
      <c r="K32" s="29">
        <f>INTERCEPT($B2:$B22,J2:J22)</f>
        <v>-12.010038669323468</v>
      </c>
      <c r="L32" s="28">
        <f>INTERCEPT(L2:L22,M2:M22)</f>
        <v>4.2037789450532375E-5</v>
      </c>
      <c r="M32" s="28">
        <f>INTERCEPT($B2:$B22,L2:L22)</f>
        <v>-11.718155223641734</v>
      </c>
      <c r="N32" s="29">
        <f>INTERCEPT(N2:N22,O2:O22)</f>
        <v>2.1560814610094647E-6</v>
      </c>
      <c r="O32" s="29">
        <f>INTERCEPT($B2:$B22,N2:N22)</f>
        <v>-9.0990887137077525</v>
      </c>
      <c r="P32" s="28" t="e">
        <f>INTERCEPT(P2:P22,Q2:Q22)</f>
        <v>#DIV/0!</v>
      </c>
      <c r="Q32" s="28" t="e">
        <f t="shared" ref="Q32" si="11">INTERCEPT($B2:$B22,Q2:Q22)</f>
        <v>#DIV/0!</v>
      </c>
      <c r="R32" s="29" t="e">
        <f>INTERCEPT(R2:R22,S2:S22)</f>
        <v>#DIV/0!</v>
      </c>
      <c r="S32" s="29" t="e">
        <f t="shared" ref="S32" si="12">INTERCEPT($B2:$B22,S2:S22)</f>
        <v>#DIV/0!</v>
      </c>
      <c r="T32" s="28" t="e">
        <f>INTERCEPT(T2:T22,U2:U22)</f>
        <v>#DIV/0!</v>
      </c>
      <c r="U32" s="28" t="e">
        <f t="shared" ref="U32" si="13">INTERCEPT($B2:$B22,U2:U22)</f>
        <v>#DIV/0!</v>
      </c>
      <c r="V32" s="29" t="e">
        <f>INTERCEPT(V2:V22,W2:W22)</f>
        <v>#DIV/0!</v>
      </c>
      <c r="W32" s="29" t="e">
        <f t="shared" ref="W32" si="14">INTERCEPT($B2:$B22,W2:W22)</f>
        <v>#DIV/0!</v>
      </c>
    </row>
    <row r="33" spans="1:23" s="30" customFormat="1" x14ac:dyDescent="0.3">
      <c r="A33" s="11"/>
      <c r="B33" s="11"/>
      <c r="C33" s="55"/>
      <c r="D33" s="27"/>
      <c r="E33" s="27"/>
      <c r="F33" s="27"/>
      <c r="G33" s="27"/>
      <c r="H33" s="28"/>
      <c r="I33" s="28"/>
      <c r="J33" s="29"/>
      <c r="K33" s="29"/>
      <c r="L33" s="28"/>
      <c r="M33" s="28"/>
      <c r="N33" s="29"/>
      <c r="O33" s="29"/>
      <c r="P33" s="28"/>
      <c r="Q33" s="28"/>
      <c r="R33" s="29"/>
      <c r="S33" s="29"/>
      <c r="T33" s="28"/>
      <c r="U33" s="28"/>
      <c r="V33" s="29"/>
      <c r="W33" s="29"/>
    </row>
    <row r="34" spans="1:23" s="43" customFormat="1" x14ac:dyDescent="0.3">
      <c r="A34" s="36"/>
      <c r="B34" s="36"/>
      <c r="C34" s="57"/>
      <c r="D34" s="37" t="s">
        <v>24</v>
      </c>
      <c r="E34" s="38"/>
      <c r="F34" s="38"/>
      <c r="G34" s="38"/>
      <c r="H34" s="39"/>
      <c r="I34" s="39"/>
      <c r="J34" s="40"/>
      <c r="K34" s="40"/>
      <c r="L34" s="39"/>
      <c r="M34" s="39"/>
      <c r="N34" s="40"/>
      <c r="O34" s="40"/>
      <c r="P34" s="39"/>
      <c r="Q34" s="41"/>
      <c r="R34" s="42"/>
      <c r="S34" s="42"/>
      <c r="T34" s="41"/>
      <c r="U34" s="41"/>
      <c r="V34" s="42"/>
      <c r="W34" s="42"/>
    </row>
    <row r="35" spans="1:23" s="30" customFormat="1" x14ac:dyDescent="0.3">
      <c r="A35" s="11"/>
      <c r="B35" s="11"/>
      <c r="C35" s="55"/>
      <c r="D35" s="27">
        <v>0</v>
      </c>
      <c r="E35" s="27"/>
      <c r="F35" s="27"/>
      <c r="G35" s="27"/>
      <c r="H35" s="28"/>
      <c r="I35" s="28"/>
      <c r="J35" s="29"/>
      <c r="K35" s="29"/>
      <c r="L35" s="28"/>
      <c r="M35" s="28"/>
      <c r="N35" s="29"/>
      <c r="O35" s="29"/>
      <c r="P35" s="28"/>
      <c r="Q35" s="28"/>
      <c r="R35" s="29"/>
      <c r="S35" s="29"/>
      <c r="T35" s="28"/>
      <c r="U35" s="28"/>
      <c r="V35" s="29"/>
      <c r="W35" s="29"/>
    </row>
    <row r="36" spans="1:23" x14ac:dyDescent="0.3">
      <c r="F36" s="12">
        <f>SLOPE($D2:$D22,F2:F22)</f>
        <v>3.0527282966927148E-4</v>
      </c>
    </row>
    <row r="37" spans="1:23" x14ac:dyDescent="0.3">
      <c r="I37" s="44"/>
      <c r="J37" s="45"/>
      <c r="K37" s="45"/>
      <c r="L37" s="44"/>
      <c r="M37" s="44"/>
      <c r="N37" s="45"/>
      <c r="O37" s="45"/>
      <c r="P37" s="44"/>
    </row>
    <row r="38" spans="1:23" x14ac:dyDescent="0.3">
      <c r="D38" s="12">
        <f>AVERAGE(D26,D29)</f>
        <v>3275.8123050404083</v>
      </c>
    </row>
    <row r="40" spans="1:23" x14ac:dyDescent="0.3">
      <c r="I40" s="44"/>
      <c r="J40" s="45"/>
      <c r="K40" s="45"/>
      <c r="L40" s="44"/>
      <c r="M40" s="44"/>
      <c r="N40" s="45"/>
      <c r="O40" s="45"/>
      <c r="P40" s="44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F0009-8DD6-4C92-8ADC-5DCE21A9FC73}">
  <sheetPr codeName="Sheet3"/>
  <dimension ref="A1:U115"/>
  <sheetViews>
    <sheetView workbookViewId="0">
      <selection activeCell="B2" sqref="B2"/>
    </sheetView>
  </sheetViews>
  <sheetFormatPr defaultColWidth="8.77734375" defaultRowHeight="14.4" x14ac:dyDescent="0.3"/>
  <cols>
    <col min="1" max="4" width="8.77734375" style="2" customWidth="1"/>
    <col min="5" max="11" width="8.77734375" style="2"/>
    <col min="12" max="12" width="16.44140625" style="2" bestFit="1" customWidth="1"/>
    <col min="13" max="13" width="3.33203125" style="2" bestFit="1" customWidth="1"/>
    <col min="14" max="15" width="6.6640625" style="2" bestFit="1" customWidth="1"/>
    <col min="16" max="18" width="8.77734375" style="2"/>
    <col min="19" max="20" width="12" style="2" bestFit="1" customWidth="1"/>
    <col min="21" max="16384" width="8.77734375" style="2"/>
  </cols>
  <sheetData>
    <row r="1" spans="1:21" x14ac:dyDescent="0.3">
      <c r="A1" s="3" t="s">
        <v>47</v>
      </c>
      <c r="B1" s="2" t="s">
        <v>3</v>
      </c>
      <c r="C1" s="2" t="str">
        <f>VLOOKUP(B1,Connect!A2:D3, 4)</f>
        <v>COM26</v>
      </c>
      <c r="D1" s="3" t="s">
        <v>66</v>
      </c>
      <c r="E1" s="2" t="s">
        <v>8</v>
      </c>
      <c r="L1" s="3" t="s">
        <v>62</v>
      </c>
      <c r="M1" s="3" t="s">
        <v>48</v>
      </c>
      <c r="N1" s="3" t="s">
        <v>49</v>
      </c>
      <c r="O1" s="3" t="s">
        <v>50</v>
      </c>
      <c r="P1" s="2" t="s">
        <v>153</v>
      </c>
      <c r="Q1" s="2" t="s">
        <v>154</v>
      </c>
      <c r="S1" s="2" t="s">
        <v>37</v>
      </c>
      <c r="T1" s="2" t="s">
        <v>38</v>
      </c>
      <c r="U1" s="2" t="s">
        <v>39</v>
      </c>
    </row>
    <row r="2" spans="1:21" x14ac:dyDescent="0.3">
      <c r="A2" s="3" t="s">
        <v>140</v>
      </c>
      <c r="B2" t="str">
        <f>_xlfn.CONCAT(Connect!G1, " ", Connect!J1, " ", Connect!D1, " ", B1, " ", C1, " ", E1)</f>
        <v>v1 3 COM27 hp34401a COM26 voltage</v>
      </c>
      <c r="L2" s="46">
        <v>-8.9915848</v>
      </c>
      <c r="M2" s="2">
        <v>0</v>
      </c>
      <c r="N2" s="2">
        <v>-29463</v>
      </c>
      <c r="O2" s="2">
        <v>-29459</v>
      </c>
      <c r="P2" s="2">
        <f>(AVERAGE($S$2,$T$2)*N2+INTERCEPT($L$2:$L$22,$N$2:$N$22)-L2)*1000</f>
        <v>-1.25182537047408E-2</v>
      </c>
      <c r="S2" s="2">
        <f>SLOPE(L2:L12,N2:N12)</f>
        <v>3.0527579222606527E-4</v>
      </c>
      <c r="T2" s="2">
        <f>SLOPE(L12:L22,N12:N22)</f>
        <v>3.0527997116873315E-4</v>
      </c>
      <c r="U2" s="2">
        <f>INTERCEPT(L2:L22,N2:N22)</f>
        <v>2.8049101967666181E-3</v>
      </c>
    </row>
    <row r="3" spans="1:21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6">
        <v>-7.9914358999999999</v>
      </c>
      <c r="M3" s="2">
        <v>0</v>
      </c>
      <c r="N3" s="2">
        <v>-26187</v>
      </c>
      <c r="O3" s="2">
        <v>-26182</v>
      </c>
      <c r="P3" s="2">
        <f t="shared" ref="P3:P22" si="0">(AVERAGE($S$2,$T$2)*N3+INTERCEPT($L$2:$L$22,$N$2:$N$22)-L3)*1000</f>
        <v>-7.1077813026398928E-2</v>
      </c>
    </row>
    <row r="4" spans="1:21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6">
        <v>-6.9915829</v>
      </c>
      <c r="M4" s="2">
        <v>0</v>
      </c>
      <c r="N4" s="2">
        <v>-22912</v>
      </c>
      <c r="O4" s="2">
        <v>-22907</v>
      </c>
      <c r="P4" s="2">
        <f t="shared" si="0"/>
        <v>-0.13901525404413917</v>
      </c>
    </row>
    <row r="5" spans="1:21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6">
        <v>-5.9925682</v>
      </c>
      <c r="M5" s="2">
        <v>0</v>
      </c>
      <c r="N5" s="2">
        <v>-19640</v>
      </c>
      <c r="O5" s="2">
        <v>-19634</v>
      </c>
      <c r="P5" s="2">
        <f t="shared" si="0"/>
        <v>-0.2844863401536557</v>
      </c>
    </row>
    <row r="6" spans="1:21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6">
        <v>-4.9928583</v>
      </c>
      <c r="M6" s="2">
        <v>0</v>
      </c>
      <c r="N6" s="2">
        <v>-16365</v>
      </c>
      <c r="O6" s="2">
        <v>-16359</v>
      </c>
      <c r="P6" s="2">
        <f t="shared" si="0"/>
        <v>-0.20932378117155537</v>
      </c>
    </row>
    <row r="7" spans="1:21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6">
        <v>-3.9929657999999999</v>
      </c>
      <c r="M7" s="2">
        <v>0</v>
      </c>
      <c r="N7" s="2">
        <v>-13089</v>
      </c>
      <c r="O7" s="2">
        <v>-13083</v>
      </c>
      <c r="P7" s="2">
        <f t="shared" si="0"/>
        <v>-1.1483340491391658E-2</v>
      </c>
    </row>
    <row r="8" spans="1:21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6">
        <v>-2.9927697000000002</v>
      </c>
      <c r="M8" s="2">
        <v>0</v>
      </c>
      <c r="N8" s="2">
        <v>-9813</v>
      </c>
      <c r="O8" s="2">
        <v>-9806</v>
      </c>
      <c r="P8" s="2">
        <f t="shared" si="0"/>
        <v>-0.11724289981129843</v>
      </c>
    </row>
    <row r="9" spans="1:21" x14ac:dyDescent="0.3">
      <c r="L9" s="46">
        <v>-1.9932061000000001</v>
      </c>
      <c r="M9" s="2">
        <v>0</v>
      </c>
      <c r="N9" s="2">
        <v>-6539</v>
      </c>
      <c r="O9" s="2">
        <v>-6533</v>
      </c>
      <c r="P9" s="2">
        <f t="shared" si="0"/>
        <v>-0.20105822252647343</v>
      </c>
    </row>
    <row r="10" spans="1:21" x14ac:dyDescent="0.3">
      <c r="L10" s="46">
        <v>-0.99367035000000004</v>
      </c>
      <c r="M10" s="2">
        <v>0</v>
      </c>
      <c r="N10" s="2">
        <v>-3264</v>
      </c>
      <c r="O10" s="2">
        <v>-3258</v>
      </c>
      <c r="P10" s="2">
        <f t="shared" si="0"/>
        <v>4.8254336455721969E-2</v>
      </c>
    </row>
    <row r="11" spans="1:21" x14ac:dyDescent="0.3">
      <c r="L11" s="46">
        <v>-0.45188149999999999</v>
      </c>
      <c r="M11" s="2">
        <v>0</v>
      </c>
      <c r="N11" s="2">
        <v>-1490</v>
      </c>
      <c r="O11" s="2">
        <v>-1483</v>
      </c>
      <c r="P11" s="2">
        <f t="shared" si="0"/>
        <v>-0.17763353235822343</v>
      </c>
    </row>
    <row r="12" spans="1:21" x14ac:dyDescent="0.3">
      <c r="L12" s="46">
        <v>5.7891210000000004E-3</v>
      </c>
      <c r="M12" s="2">
        <v>0</v>
      </c>
      <c r="N12" s="2">
        <v>10</v>
      </c>
      <c r="O12" s="2">
        <v>16</v>
      </c>
      <c r="P12" s="2">
        <f t="shared" si="0"/>
        <v>6.8568013740609973E-2</v>
      </c>
    </row>
    <row r="13" spans="1:21" x14ac:dyDescent="0.3">
      <c r="L13" s="46">
        <v>0.46346092</v>
      </c>
      <c r="M13" s="2">
        <v>0</v>
      </c>
      <c r="N13" s="2">
        <v>1509</v>
      </c>
      <c r="O13" s="2">
        <v>1515</v>
      </c>
      <c r="P13" s="2">
        <f t="shared" si="0"/>
        <v>8.3136781419690386E-3</v>
      </c>
    </row>
    <row r="14" spans="1:21" x14ac:dyDescent="0.3">
      <c r="L14" s="46">
        <v>1.0053319999999999</v>
      </c>
      <c r="M14" s="2">
        <v>0</v>
      </c>
      <c r="N14" s="2">
        <v>3285</v>
      </c>
      <c r="O14" s="2">
        <v>3291</v>
      </c>
      <c r="P14" s="2">
        <f t="shared" si="0"/>
        <v>0.31075157272297815</v>
      </c>
    </row>
    <row r="15" spans="1:21" x14ac:dyDescent="0.3">
      <c r="L15" s="46">
        <v>2.0046689999999998</v>
      </c>
      <c r="M15" s="2">
        <v>0</v>
      </c>
      <c r="N15" s="2">
        <v>6558</v>
      </c>
      <c r="O15" s="2">
        <v>6565</v>
      </c>
      <c r="P15" s="2">
        <f t="shared" si="0"/>
        <v>0.14825836831056094</v>
      </c>
    </row>
    <row r="16" spans="1:21" x14ac:dyDescent="0.3">
      <c r="L16" s="46">
        <v>3.0047796999999998</v>
      </c>
      <c r="M16" s="2">
        <v>0</v>
      </c>
      <c r="N16" s="2">
        <v>9834</v>
      </c>
      <c r="O16" s="2">
        <v>9840</v>
      </c>
      <c r="P16" s="2">
        <f t="shared" si="0"/>
        <v>0.12789880899033435</v>
      </c>
    </row>
    <row r="17" spans="12:16" x14ac:dyDescent="0.3">
      <c r="L17" s="46">
        <v>4.0049283999999998</v>
      </c>
      <c r="M17" s="2">
        <v>0</v>
      </c>
      <c r="N17" s="2">
        <v>13110</v>
      </c>
      <c r="O17" s="2">
        <v>13117</v>
      </c>
      <c r="P17" s="2">
        <f t="shared" si="0"/>
        <v>6.9539249669681169E-2</v>
      </c>
    </row>
    <row r="18" spans="12:16" x14ac:dyDescent="0.3">
      <c r="L18" s="46">
        <v>5.0049982000000002</v>
      </c>
      <c r="M18" s="2">
        <v>0</v>
      </c>
      <c r="N18" s="2">
        <v>16386</v>
      </c>
      <c r="O18" s="2">
        <v>16393</v>
      </c>
      <c r="P18" s="2">
        <f t="shared" si="0"/>
        <v>9.0079690348687791E-2</v>
      </c>
    </row>
    <row r="19" spans="12:16" x14ac:dyDescent="0.3">
      <c r="L19" s="46">
        <v>6.0044651</v>
      </c>
      <c r="M19" s="2">
        <v>0</v>
      </c>
      <c r="N19" s="2">
        <v>19660</v>
      </c>
      <c r="O19" s="2">
        <v>19667</v>
      </c>
      <c r="P19" s="2">
        <f t="shared" si="0"/>
        <v>0.10296436763379546</v>
      </c>
    </row>
    <row r="20" spans="12:16" x14ac:dyDescent="0.3">
      <c r="L20" s="46">
        <v>7.0041000000000002</v>
      </c>
      <c r="M20" s="2">
        <v>0</v>
      </c>
      <c r="N20" s="2">
        <v>22935</v>
      </c>
      <c r="O20" s="2">
        <v>22942</v>
      </c>
      <c r="P20" s="2">
        <f t="shared" si="0"/>
        <v>0.25312692661660918</v>
      </c>
    </row>
    <row r="21" spans="12:16" x14ac:dyDescent="0.3">
      <c r="L21" s="46">
        <v>8.0039417000000004</v>
      </c>
      <c r="M21" s="2">
        <v>0</v>
      </c>
      <c r="N21" s="2">
        <v>26209</v>
      </c>
      <c r="O21" s="2">
        <v>26217</v>
      </c>
      <c r="P21" s="2">
        <f t="shared" si="0"/>
        <v>-0.10878839609773649</v>
      </c>
    </row>
    <row r="22" spans="12:16" x14ac:dyDescent="0.3">
      <c r="L22" s="46">
        <v>9.0035120000000006</v>
      </c>
      <c r="M22" s="2">
        <v>0</v>
      </c>
      <c r="N22" s="2">
        <v>29484</v>
      </c>
      <c r="O22" s="2">
        <v>29492</v>
      </c>
      <c r="P22" s="2">
        <f t="shared" si="0"/>
        <v>0.10597416288327111</v>
      </c>
    </row>
    <row r="23" spans="12:16" x14ac:dyDescent="0.3">
      <c r="L23" s="46"/>
    </row>
    <row r="93" spans="1:6" x14ac:dyDescent="0.3">
      <c r="A93" s="2" t="s">
        <v>143</v>
      </c>
    </row>
    <row r="94" spans="1:6" s="3" customFormat="1" x14ac:dyDescent="0.3"/>
    <row r="95" spans="1:6" x14ac:dyDescent="0.3">
      <c r="F95" s="46"/>
    </row>
    <row r="96" spans="1:6" x14ac:dyDescent="0.3">
      <c r="F96" s="46"/>
    </row>
    <row r="97" spans="6:6" x14ac:dyDescent="0.3">
      <c r="F97" s="46"/>
    </row>
    <row r="98" spans="6:6" x14ac:dyDescent="0.3">
      <c r="F98" s="46"/>
    </row>
    <row r="99" spans="6:6" x14ac:dyDescent="0.3">
      <c r="F99" s="46"/>
    </row>
    <row r="100" spans="6:6" x14ac:dyDescent="0.3">
      <c r="F100" s="46"/>
    </row>
    <row r="101" spans="6:6" x14ac:dyDescent="0.3">
      <c r="F101" s="46"/>
    </row>
    <row r="102" spans="6:6" x14ac:dyDescent="0.3">
      <c r="F102" s="46"/>
    </row>
    <row r="103" spans="6:6" x14ac:dyDescent="0.3">
      <c r="F103" s="46"/>
    </row>
    <row r="104" spans="6:6" x14ac:dyDescent="0.3">
      <c r="F104" s="46"/>
    </row>
    <row r="105" spans="6:6" x14ac:dyDescent="0.3">
      <c r="F105" s="46"/>
    </row>
    <row r="106" spans="6:6" x14ac:dyDescent="0.3">
      <c r="F106" s="46"/>
    </row>
    <row r="107" spans="6:6" x14ac:dyDescent="0.3">
      <c r="F107" s="46"/>
    </row>
    <row r="108" spans="6:6" x14ac:dyDescent="0.3">
      <c r="F108" s="46"/>
    </row>
    <row r="109" spans="6:6" x14ac:dyDescent="0.3">
      <c r="F109" s="46"/>
    </row>
    <row r="110" spans="6:6" x14ac:dyDescent="0.3">
      <c r="F110" s="46"/>
    </row>
    <row r="111" spans="6:6" x14ac:dyDescent="0.3">
      <c r="F111" s="46"/>
    </row>
    <row r="112" spans="6:6" x14ac:dyDescent="0.3">
      <c r="F112" s="46"/>
    </row>
    <row r="113" spans="6:6" x14ac:dyDescent="0.3">
      <c r="F113" s="46"/>
    </row>
    <row r="114" spans="6:6" x14ac:dyDescent="0.3">
      <c r="F114" s="46"/>
    </row>
    <row r="115" spans="6:6" x14ac:dyDescent="0.3">
      <c r="F115" s="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6C8C-69D6-409C-805D-A5B1549B4E5B}">
  <sheetPr codeName="Sheet4"/>
  <dimension ref="A1:M52"/>
  <sheetViews>
    <sheetView workbookViewId="0">
      <selection activeCell="M22" sqref="L6:M22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0</v>
      </c>
      <c r="L1" s="3" t="s">
        <v>63</v>
      </c>
      <c r="M1" s="3" t="s">
        <v>7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0</v>
      </c>
      <c r="L2" s="46">
        <v>-9.9855026999999999E-2</v>
      </c>
      <c r="M2" s="2">
        <v>-27369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6">
        <v>-8.9847321999999993E-2</v>
      </c>
      <c r="M3" s="2">
        <v>-24663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6">
        <v>-7.9825468999999996E-2</v>
      </c>
      <c r="M4" s="2">
        <v>-21917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6">
        <v>-6.9816164E-2</v>
      </c>
      <c r="M5" s="2">
        <v>-19170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6">
        <v>-5.9796496999999997E-2</v>
      </c>
      <c r="M6" s="2">
        <v>-16418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6">
        <v>-4.9789607999999999E-2</v>
      </c>
      <c r="M7" s="2">
        <v>-13671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6">
        <v>-3.9768527999999997E-2</v>
      </c>
      <c r="M8" s="2">
        <v>-10920</v>
      </c>
    </row>
    <row r="9" spans="1:13" x14ac:dyDescent="0.3">
      <c r="L9" s="46">
        <v>-2.9745282000000001E-2</v>
      </c>
      <c r="M9" s="2">
        <v>-8169</v>
      </c>
    </row>
    <row r="10" spans="1:13" x14ac:dyDescent="0.3">
      <c r="L10" s="46">
        <v>-1.9727075E-2</v>
      </c>
      <c r="M10" s="2">
        <v>-5420</v>
      </c>
    </row>
    <row r="11" spans="1:13" x14ac:dyDescent="0.3">
      <c r="L11" s="46">
        <v>-9.7281293000000008E-3</v>
      </c>
      <c r="M11" s="2">
        <v>-2675</v>
      </c>
    </row>
    <row r="12" spans="1:13" x14ac:dyDescent="0.3">
      <c r="L12" s="46">
        <v>2.9340300000000002E-4</v>
      </c>
      <c r="M12" s="2">
        <v>80</v>
      </c>
    </row>
    <row r="13" spans="1:13" x14ac:dyDescent="0.3">
      <c r="L13" s="46">
        <v>1.03027E-2</v>
      </c>
      <c r="M13" s="2">
        <v>2826</v>
      </c>
    </row>
    <row r="14" spans="1:13" x14ac:dyDescent="0.3">
      <c r="L14" s="46">
        <v>2.0303523E-2</v>
      </c>
      <c r="M14" s="2">
        <v>5572</v>
      </c>
    </row>
    <row r="15" spans="1:13" x14ac:dyDescent="0.3">
      <c r="L15" s="46">
        <v>3.0333552999999999E-2</v>
      </c>
      <c r="M15" s="2">
        <v>8325</v>
      </c>
    </row>
    <row r="16" spans="1:13" x14ac:dyDescent="0.3">
      <c r="L16" s="46">
        <v>4.0352425999999997E-2</v>
      </c>
      <c r="M16" s="2">
        <v>11075</v>
      </c>
    </row>
    <row r="17" spans="12:13" x14ac:dyDescent="0.3">
      <c r="L17" s="46">
        <v>5.0364049000000001E-2</v>
      </c>
      <c r="M17" s="2">
        <v>13823</v>
      </c>
    </row>
    <row r="18" spans="12:13" x14ac:dyDescent="0.3">
      <c r="L18" s="46">
        <v>6.0385565000000002E-2</v>
      </c>
      <c r="M18" s="2">
        <v>16571</v>
      </c>
    </row>
    <row r="19" spans="12:13" x14ac:dyDescent="0.3">
      <c r="L19" s="46">
        <v>7.0414341000000005E-2</v>
      </c>
      <c r="M19" s="2">
        <v>19323</v>
      </c>
    </row>
    <row r="20" spans="12:13" x14ac:dyDescent="0.3">
      <c r="L20" s="46">
        <v>8.0422214000000006E-2</v>
      </c>
      <c r="M20" s="2">
        <v>22068</v>
      </c>
    </row>
    <row r="21" spans="12:13" x14ac:dyDescent="0.3">
      <c r="L21" s="46">
        <v>9.0441097999999998E-2</v>
      </c>
      <c r="M21" s="2">
        <v>24810</v>
      </c>
    </row>
    <row r="22" spans="12:13" x14ac:dyDescent="0.3">
      <c r="L22" s="46">
        <v>0.10041625999999999</v>
      </c>
      <c r="M22" s="2">
        <v>27509</v>
      </c>
    </row>
    <row r="52" s="3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324CEC-83F6-4A37-B7D1-9998D698C510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7C0F-E8CD-4C85-A95B-7BD5CEAF7385}">
  <sheetPr codeName="Sheet5"/>
  <dimension ref="A1:M22"/>
  <sheetViews>
    <sheetView topLeftCell="A4" workbookViewId="0">
      <selection activeCell="D8" sqref="D8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1</v>
      </c>
      <c r="L1" s="3" t="s">
        <v>63</v>
      </c>
      <c r="M1" s="3" t="s">
        <v>7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1</v>
      </c>
      <c r="L2" s="46">
        <v>-5.0696787999999996E-3</v>
      </c>
      <c r="M2" s="2">
        <v>-27587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6">
        <v>-4.5618784000000002E-3</v>
      </c>
      <c r="M3" s="2">
        <v>-24870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6">
        <v>-4.0534508000000004E-3</v>
      </c>
      <c r="M4" s="2">
        <v>-22104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6">
        <v>-3.5454569000000001E-3</v>
      </c>
      <c r="M5" s="2">
        <v>-19336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6">
        <v>-3.0369171000000001E-3</v>
      </c>
      <c r="M6" s="2">
        <v>-16562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6">
        <v>-2.5291691E-3</v>
      </c>
      <c r="M7" s="2">
        <v>-13793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6">
        <v>-2.0207076999999999E-3</v>
      </c>
      <c r="M8" s="2">
        <v>-11021</v>
      </c>
    </row>
    <row r="9" spans="1:13" x14ac:dyDescent="0.3">
      <c r="L9" s="46">
        <v>-1.5119666E-3</v>
      </c>
      <c r="M9" s="2">
        <v>-8248</v>
      </c>
    </row>
    <row r="10" spans="1:13" x14ac:dyDescent="0.3">
      <c r="L10" s="46">
        <v>-1.0037052E-3</v>
      </c>
      <c r="M10" s="2">
        <v>-5476</v>
      </c>
    </row>
    <row r="11" spans="1:13" x14ac:dyDescent="0.3">
      <c r="L11" s="46">
        <v>-4.9633979999999999E-4</v>
      </c>
      <c r="M11" s="2">
        <v>-2711</v>
      </c>
    </row>
    <row r="12" spans="1:13" x14ac:dyDescent="0.3">
      <c r="L12" s="46">
        <v>1.2282299999999999E-5</v>
      </c>
      <c r="M12" s="2">
        <v>66</v>
      </c>
    </row>
    <row r="13" spans="1:13" x14ac:dyDescent="0.3">
      <c r="L13" s="46">
        <v>5.2005919999999998E-4</v>
      </c>
      <c r="M13" s="2">
        <v>2834</v>
      </c>
    </row>
    <row r="14" spans="1:13" x14ac:dyDescent="0.3">
      <c r="L14" s="46">
        <v>1.0275569999999999E-3</v>
      </c>
      <c r="M14" s="2">
        <v>5600</v>
      </c>
    </row>
    <row r="15" spans="1:13" x14ac:dyDescent="0.3">
      <c r="L15" s="46">
        <v>1.5365400999999999E-3</v>
      </c>
      <c r="M15" s="2">
        <v>8375</v>
      </c>
    </row>
    <row r="16" spans="1:13" x14ac:dyDescent="0.3">
      <c r="L16" s="46">
        <v>2.0449318000000001E-3</v>
      </c>
      <c r="M16" s="2">
        <v>11147</v>
      </c>
    </row>
    <row r="17" spans="12:13" x14ac:dyDescent="0.3">
      <c r="L17" s="46">
        <v>2.5528845999999998E-3</v>
      </c>
      <c r="M17" s="2">
        <v>13915</v>
      </c>
    </row>
    <row r="18" spans="12:13" x14ac:dyDescent="0.3">
      <c r="L18" s="46">
        <v>3.0614796E-3</v>
      </c>
      <c r="M18" s="2">
        <v>16685</v>
      </c>
    </row>
    <row r="19" spans="12:13" x14ac:dyDescent="0.3">
      <c r="L19" s="46">
        <v>3.5703665999999999E-3</v>
      </c>
      <c r="M19" s="2">
        <v>19458</v>
      </c>
    </row>
    <row r="20" spans="12:13" x14ac:dyDescent="0.3">
      <c r="L20" s="46">
        <v>4.0783141999999996E-3</v>
      </c>
      <c r="M20" s="2">
        <v>22225</v>
      </c>
    </row>
    <row r="21" spans="12:13" x14ac:dyDescent="0.3">
      <c r="L21" s="46">
        <v>4.5866175E-3</v>
      </c>
      <c r="M21" s="2">
        <v>24987</v>
      </c>
    </row>
    <row r="22" spans="12:13" x14ac:dyDescent="0.3">
      <c r="L22" s="46">
        <v>5.0945961999999999E-3</v>
      </c>
      <c r="M22" s="2">
        <v>27697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350465-5421-4890-80F2-643F554A38A2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D319-C387-4425-BB58-9E8D056981AE}">
  <sheetPr codeName="Sheet6"/>
  <dimension ref="A1:N22"/>
  <sheetViews>
    <sheetView workbookViewId="0">
      <selection activeCell="L2" sqref="L2:M23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4" x14ac:dyDescent="0.3">
      <c r="A1" s="3" t="s">
        <v>47</v>
      </c>
      <c r="B1" s="4" t="s">
        <v>2</v>
      </c>
      <c r="C1" s="2" t="str">
        <f>VLOOKUP(B1,Connect!A2:D3, 4)</f>
        <v>COM25</v>
      </c>
      <c r="D1" s="3" t="s">
        <v>66</v>
      </c>
      <c r="E1" s="2">
        <v>2</v>
      </c>
      <c r="L1" s="3" t="s">
        <v>63</v>
      </c>
      <c r="M1" s="3" t="s">
        <v>7</v>
      </c>
    </row>
    <row r="2" spans="1:14" x14ac:dyDescent="0.3">
      <c r="A2" s="3" t="s">
        <v>140</v>
      </c>
      <c r="B2" t="str">
        <f>_xlfn.CONCAT(Connect!G1, " ", Connect!J1, " ", Connect!D1, " ", B1, " ", C1, " ", E1)</f>
        <v>v1 3 COM27 keithley485 COM25 2</v>
      </c>
      <c r="L2" s="46">
        <v>-2.4560000000000001E-4</v>
      </c>
      <c r="M2" s="2">
        <v>-27606</v>
      </c>
      <c r="N2" s="49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6">
        <v>-2.2100000000000001E-4</v>
      </c>
      <c r="M3" s="2">
        <v>-24882</v>
      </c>
      <c r="N3" s="49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6">
        <v>-1.963E-4</v>
      </c>
      <c r="M4" s="2">
        <v>-22114</v>
      </c>
      <c r="N4" s="49"/>
    </row>
    <row r="5" spans="1:14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6">
        <v>-1.7169E-4</v>
      </c>
      <c r="M5" s="2">
        <v>-19344</v>
      </c>
      <c r="N5" s="49"/>
    </row>
    <row r="6" spans="1:14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6">
        <v>-1.4710999999999999E-4</v>
      </c>
      <c r="M6" s="2">
        <v>-16570</v>
      </c>
      <c r="N6" s="49"/>
    </row>
    <row r="7" spans="1:14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6">
        <v>-1.2252000000000001E-4</v>
      </c>
      <c r="M7" s="2">
        <v>-13799</v>
      </c>
      <c r="N7" s="49"/>
    </row>
    <row r="8" spans="1:14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6">
        <v>-9.7880000000000005E-5</v>
      </c>
      <c r="M8" s="2">
        <v>-11026</v>
      </c>
      <c r="N8" s="49"/>
    </row>
    <row r="9" spans="1:14" x14ac:dyDescent="0.3">
      <c r="L9" s="46">
        <v>-7.3250000000000005E-5</v>
      </c>
      <c r="M9" s="2">
        <v>-8251</v>
      </c>
      <c r="N9" s="49"/>
    </row>
    <row r="10" spans="1:14" x14ac:dyDescent="0.3">
      <c r="L10" s="46">
        <v>-4.863E-5</v>
      </c>
      <c r="M10" s="2">
        <v>-5479</v>
      </c>
      <c r="N10" s="49"/>
    </row>
    <row r="11" spans="1:14" x14ac:dyDescent="0.3">
      <c r="L11" s="46">
        <v>-2.404E-5</v>
      </c>
      <c r="M11" s="2">
        <v>-2713</v>
      </c>
      <c r="N11" s="49"/>
    </row>
    <row r="12" spans="1:14" x14ac:dyDescent="0.3">
      <c r="L12" s="46">
        <v>5.8429999999999996E-7</v>
      </c>
      <c r="M12" s="2">
        <v>65</v>
      </c>
      <c r="N12" s="49"/>
    </row>
    <row r="13" spans="1:14" x14ac:dyDescent="0.3">
      <c r="L13" s="46">
        <v>2.5179999999999999E-5</v>
      </c>
      <c r="M13" s="2">
        <v>2835</v>
      </c>
      <c r="N13" s="49"/>
    </row>
    <row r="14" spans="1:14" x14ac:dyDescent="0.3">
      <c r="L14" s="46">
        <v>4.977E-5</v>
      </c>
      <c r="M14" s="2">
        <v>5602</v>
      </c>
      <c r="N14" s="49"/>
    </row>
    <row r="15" spans="1:14" x14ac:dyDescent="0.3">
      <c r="L15" s="46">
        <v>7.4419999999999996E-5</v>
      </c>
      <c r="M15" s="2">
        <v>8378</v>
      </c>
      <c r="N15" s="49"/>
    </row>
    <row r="16" spans="1:14" x14ac:dyDescent="0.3">
      <c r="L16" s="46">
        <v>9.9049999999999995E-5</v>
      </c>
      <c r="M16" s="2">
        <v>11150</v>
      </c>
      <c r="N16" s="49"/>
    </row>
    <row r="17" spans="12:14" x14ac:dyDescent="0.3">
      <c r="L17" s="46">
        <v>1.2365E-4</v>
      </c>
      <c r="M17" s="2">
        <v>13920</v>
      </c>
      <c r="N17" s="49"/>
    </row>
    <row r="18" spans="12:14" x14ac:dyDescent="0.3">
      <c r="L18" s="46">
        <v>1.4829E-4</v>
      </c>
      <c r="M18" s="2">
        <v>16691</v>
      </c>
      <c r="N18" s="49"/>
    </row>
    <row r="19" spans="12:14" x14ac:dyDescent="0.3">
      <c r="L19" s="46">
        <v>1.7294000000000001E-4</v>
      </c>
      <c r="M19" s="2">
        <v>19465</v>
      </c>
      <c r="N19" s="49"/>
    </row>
    <row r="20" spans="12:14" x14ac:dyDescent="0.3">
      <c r="L20" s="46">
        <v>1.9755E-4</v>
      </c>
      <c r="M20" s="2">
        <v>22233</v>
      </c>
      <c r="N20" s="49"/>
    </row>
    <row r="21" spans="12:14" x14ac:dyDescent="0.3">
      <c r="L21" s="46">
        <v>2.221E-4</v>
      </c>
      <c r="M21" s="2">
        <v>24997</v>
      </c>
      <c r="N21" s="49"/>
    </row>
    <row r="22" spans="12:14" x14ac:dyDescent="0.3">
      <c r="L22" s="46">
        <v>2.4659999999999998E-4</v>
      </c>
      <c r="M22" s="2">
        <v>27712</v>
      </c>
      <c r="N22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76B044-F8C8-4356-B654-F21FE7206A48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9805-E82D-452D-8BE5-8CFAF6AD3DB9}">
  <sheetPr codeName="Sheet7"/>
  <dimension ref="A1:N52"/>
  <sheetViews>
    <sheetView workbookViewId="0">
      <selection activeCell="O12" sqref="O12"/>
    </sheetView>
  </sheetViews>
  <sheetFormatPr defaultColWidth="8.77734375" defaultRowHeight="14.4" x14ac:dyDescent="0.3"/>
  <cols>
    <col min="1" max="2" width="8.77734375" style="47" customWidth="1"/>
    <col min="3" max="10" width="8.77734375" style="47"/>
    <col min="11" max="11" width="8.77734375" style="47" customWidth="1"/>
    <col min="12" max="12" width="16.33203125" style="47" bestFit="1" customWidth="1"/>
    <col min="13" max="13" width="7.109375" style="47" bestFit="1" customWidth="1"/>
    <col min="14" max="16384" width="8.77734375" style="47"/>
  </cols>
  <sheetData>
    <row r="1" spans="1:14" x14ac:dyDescent="0.3">
      <c r="A1" s="48" t="s">
        <v>47</v>
      </c>
      <c r="B1" s="5" t="s">
        <v>2</v>
      </c>
      <c r="C1" s="2" t="str">
        <f>VLOOKUP(B1,Connect!A2:D3, 4)</f>
        <v>COM25</v>
      </c>
      <c r="D1" s="3" t="s">
        <v>66</v>
      </c>
      <c r="E1" s="47">
        <v>3</v>
      </c>
      <c r="L1" s="3" t="s">
        <v>63</v>
      </c>
      <c r="M1" s="3" t="s">
        <v>7</v>
      </c>
    </row>
    <row r="2" spans="1:14" x14ac:dyDescent="0.3">
      <c r="A2" s="3" t="s">
        <v>140</v>
      </c>
      <c r="B2" t="str">
        <f>_xlfn.CONCAT(Connect!G1, " ", Connect!J1, " ", Connect!D1, " ", B1, " ", C1, " ", E1)</f>
        <v>v1 3 COM27 keithley485 COM25 3</v>
      </c>
      <c r="L2" s="49">
        <v>-1.2696E-5</v>
      </c>
      <c r="M2" s="47">
        <v>-27615</v>
      </c>
      <c r="N2" s="49"/>
    </row>
    <row r="3" spans="1:14" x14ac:dyDescent="0.3">
      <c r="A3" s="5"/>
      <c r="B3" s="5"/>
      <c r="C3" s="5"/>
      <c r="D3" s="5"/>
      <c r="E3" s="5"/>
      <c r="F3" s="5"/>
      <c r="G3" s="5"/>
      <c r="H3" s="5"/>
      <c r="I3" s="5"/>
      <c r="J3" s="5"/>
      <c r="L3" s="49">
        <v>-1.1425E-5</v>
      </c>
      <c r="M3" s="47">
        <v>-24896</v>
      </c>
      <c r="N3" s="49"/>
    </row>
    <row r="4" spans="1:14" x14ac:dyDescent="0.3">
      <c r="A4" s="5"/>
      <c r="B4" s="5"/>
      <c r="C4" s="5"/>
      <c r="D4" s="5"/>
      <c r="E4" s="5"/>
      <c r="F4" s="5"/>
      <c r="G4" s="5"/>
      <c r="H4" s="5"/>
      <c r="I4" s="5"/>
      <c r="J4" s="5"/>
      <c r="L4" s="49">
        <v>-1.0152999999999999E-5</v>
      </c>
      <c r="M4" s="47">
        <v>-22129</v>
      </c>
      <c r="N4" s="49"/>
    </row>
    <row r="5" spans="1:14" x14ac:dyDescent="0.3">
      <c r="A5" s="5"/>
      <c r="B5" s="5"/>
      <c r="C5" s="5"/>
      <c r="D5" s="5"/>
      <c r="E5" s="5"/>
      <c r="F5" s="5"/>
      <c r="G5" s="5"/>
      <c r="H5" s="5"/>
      <c r="I5" s="5"/>
      <c r="J5" s="5"/>
      <c r="L5" s="49">
        <v>-8.8810000000000002E-6</v>
      </c>
      <c r="M5" s="47">
        <v>-19359</v>
      </c>
      <c r="N5" s="49"/>
    </row>
    <row r="6" spans="1:14" x14ac:dyDescent="0.3">
      <c r="A6" s="5"/>
      <c r="B6" s="5"/>
      <c r="C6" s="5"/>
      <c r="D6" s="5"/>
      <c r="E6" s="5"/>
      <c r="F6" s="5"/>
      <c r="G6" s="5"/>
      <c r="H6" s="5"/>
      <c r="I6" s="5"/>
      <c r="J6" s="5"/>
      <c r="L6" s="49">
        <v>-7.6079999999999998E-6</v>
      </c>
      <c r="M6" s="47">
        <v>-16585</v>
      </c>
      <c r="N6" s="49"/>
    </row>
    <row r="7" spans="1:14" x14ac:dyDescent="0.3">
      <c r="A7" s="5"/>
      <c r="B7" s="5"/>
      <c r="C7" s="5"/>
      <c r="D7" s="5"/>
      <c r="E7" s="5"/>
      <c r="F7" s="5"/>
      <c r="G7" s="5"/>
      <c r="H7" s="5"/>
      <c r="I7" s="5"/>
      <c r="J7" s="5"/>
      <c r="L7" s="49">
        <v>-6.3369999999999996E-6</v>
      </c>
      <c r="M7" s="47">
        <v>-13814</v>
      </c>
      <c r="N7" s="49"/>
    </row>
    <row r="8" spans="1:14" x14ac:dyDescent="0.3">
      <c r="A8" s="5"/>
      <c r="B8" s="5"/>
      <c r="C8" s="5"/>
      <c r="D8" s="5"/>
      <c r="E8" s="5"/>
      <c r="F8" s="5"/>
      <c r="G8" s="5"/>
      <c r="H8" s="5"/>
      <c r="I8" s="5"/>
      <c r="J8" s="5"/>
      <c r="L8" s="49">
        <v>-5.0649999999999998E-6</v>
      </c>
      <c r="M8" s="47">
        <v>-11041</v>
      </c>
      <c r="N8" s="49"/>
    </row>
    <row r="9" spans="1:14" x14ac:dyDescent="0.3">
      <c r="L9" s="49">
        <v>-3.7910000000000002E-6</v>
      </c>
      <c r="M9" s="47">
        <v>-8267</v>
      </c>
      <c r="N9" s="49"/>
    </row>
    <row r="10" spans="1:14" x14ac:dyDescent="0.3">
      <c r="L10" s="49">
        <v>-2.5189999999999999E-6</v>
      </c>
      <c r="M10" s="47">
        <v>-5494</v>
      </c>
      <c r="N10" s="49"/>
    </row>
    <row r="11" spans="1:14" x14ac:dyDescent="0.3">
      <c r="L11" s="49">
        <v>-1.2489E-6</v>
      </c>
      <c r="M11" s="47">
        <v>-2727</v>
      </c>
      <c r="N11" s="49"/>
    </row>
    <row r="12" spans="1:14" x14ac:dyDescent="0.3">
      <c r="L12" s="49">
        <v>2.3499999999999999E-8</v>
      </c>
      <c r="M12" s="47">
        <v>51</v>
      </c>
      <c r="N12" s="49"/>
    </row>
    <row r="13" spans="1:14" x14ac:dyDescent="0.3">
      <c r="L13" s="49">
        <v>1.2954999999999999E-6</v>
      </c>
      <c r="M13" s="47">
        <v>2820</v>
      </c>
      <c r="N13" s="49"/>
    </row>
    <row r="14" spans="1:14" x14ac:dyDescent="0.3">
      <c r="L14" s="49">
        <v>2.5629999999999999E-6</v>
      </c>
      <c r="M14" s="47">
        <v>5588</v>
      </c>
      <c r="N14" s="49"/>
    </row>
    <row r="15" spans="1:14" x14ac:dyDescent="0.3">
      <c r="L15" s="49">
        <v>3.8380000000000004E-6</v>
      </c>
      <c r="M15" s="47">
        <v>8363</v>
      </c>
      <c r="N15" s="49"/>
    </row>
    <row r="16" spans="1:14" x14ac:dyDescent="0.3">
      <c r="L16" s="49">
        <v>5.1100000000000002E-6</v>
      </c>
      <c r="M16" s="47">
        <v>11136</v>
      </c>
      <c r="N16" s="49"/>
    </row>
    <row r="17" spans="11:14" x14ac:dyDescent="0.3">
      <c r="L17" s="49">
        <v>6.3820000000000001E-6</v>
      </c>
      <c r="M17" s="47">
        <v>13906</v>
      </c>
      <c r="N17" s="49"/>
    </row>
    <row r="18" spans="11:14" x14ac:dyDescent="0.3">
      <c r="L18" s="49">
        <v>7.6550000000000004E-6</v>
      </c>
      <c r="M18" s="47">
        <v>16677</v>
      </c>
      <c r="N18" s="49"/>
    </row>
    <row r="19" spans="11:14" x14ac:dyDescent="0.3">
      <c r="L19" s="49">
        <v>8.9279999999999999E-6</v>
      </c>
      <c r="M19" s="47">
        <v>19451</v>
      </c>
      <c r="N19" s="49"/>
    </row>
    <row r="20" spans="11:14" x14ac:dyDescent="0.3">
      <c r="L20" s="49">
        <v>1.0199E-5</v>
      </c>
      <c r="M20" s="47">
        <v>22218</v>
      </c>
      <c r="N20" s="49"/>
    </row>
    <row r="21" spans="11:14" x14ac:dyDescent="0.3">
      <c r="L21" s="49">
        <v>1.1472E-5</v>
      </c>
      <c r="M21" s="47">
        <v>24982</v>
      </c>
      <c r="N21" s="49"/>
    </row>
    <row r="22" spans="11:14" x14ac:dyDescent="0.3">
      <c r="L22" s="49">
        <v>1.2744E-5</v>
      </c>
      <c r="M22" s="47">
        <v>27695</v>
      </c>
      <c r="N22" s="49"/>
    </row>
    <row r="26" spans="11:14" x14ac:dyDescent="0.3">
      <c r="K26" s="49"/>
    </row>
    <row r="27" spans="11:14" x14ac:dyDescent="0.3">
      <c r="K27" s="49"/>
    </row>
    <row r="28" spans="11:14" x14ac:dyDescent="0.3">
      <c r="K28" s="49"/>
    </row>
    <row r="29" spans="11:14" x14ac:dyDescent="0.3">
      <c r="K29" s="49"/>
    </row>
    <row r="30" spans="11:14" x14ac:dyDescent="0.3">
      <c r="K30" s="49"/>
    </row>
    <row r="31" spans="11:14" x14ac:dyDescent="0.3">
      <c r="K31" s="49"/>
    </row>
    <row r="32" spans="11:14" x14ac:dyDescent="0.3">
      <c r="K32" s="49"/>
    </row>
    <row r="33" spans="11:11" x14ac:dyDescent="0.3">
      <c r="K33" s="49"/>
    </row>
    <row r="34" spans="11:11" x14ac:dyDescent="0.3">
      <c r="K34" s="49"/>
    </row>
    <row r="35" spans="11:11" x14ac:dyDescent="0.3">
      <c r="K35" s="49"/>
    </row>
    <row r="36" spans="11:11" x14ac:dyDescent="0.3">
      <c r="K36" s="49"/>
    </row>
    <row r="37" spans="11:11" x14ac:dyDescent="0.3">
      <c r="K37" s="49"/>
    </row>
    <row r="38" spans="11:11" x14ac:dyDescent="0.3">
      <c r="K38" s="49"/>
    </row>
    <row r="39" spans="11:11" x14ac:dyDescent="0.3">
      <c r="K39" s="49"/>
    </row>
    <row r="40" spans="11:11" x14ac:dyDescent="0.3">
      <c r="K40" s="49"/>
    </row>
    <row r="41" spans="11:11" x14ac:dyDescent="0.3">
      <c r="K41" s="49"/>
    </row>
    <row r="42" spans="11:11" x14ac:dyDescent="0.3">
      <c r="K42" s="49"/>
    </row>
    <row r="43" spans="11:11" x14ac:dyDescent="0.3">
      <c r="K43" s="49"/>
    </row>
    <row r="44" spans="11:11" x14ac:dyDescent="0.3">
      <c r="K44" s="49"/>
    </row>
    <row r="45" spans="11:11" x14ac:dyDescent="0.3">
      <c r="K45" s="49"/>
    </row>
    <row r="46" spans="11:11" x14ac:dyDescent="0.3">
      <c r="K46" s="49"/>
    </row>
    <row r="52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529993-94E5-4429-86D9-BB64B06D05B8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E187E-71E0-4A29-858D-C2D6F06EFE89}">
  <sheetPr codeName="Sheet8"/>
  <dimension ref="A1:M22"/>
  <sheetViews>
    <sheetView workbookViewId="0">
      <selection activeCell="B2" sqref="B2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4</v>
      </c>
      <c r="L1" s="3" t="s">
        <v>52</v>
      </c>
      <c r="M1" s="3" t="s">
        <v>51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4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F1C580-70E7-49AF-BDB4-BF4A341CAAF9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0538-847E-4062-B887-9944E38AD5E9}">
  <sheetPr codeName="Sheet9"/>
  <dimension ref="A1:M22"/>
  <sheetViews>
    <sheetView workbookViewId="0">
      <selection activeCell="B2" sqref="B2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5</v>
      </c>
      <c r="L1" s="3" t="s">
        <v>52</v>
      </c>
      <c r="M1" s="3" t="s">
        <v>51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5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B994B9-3D65-4729-9F84-DAE3DA75B459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203D6-17A7-4ED4-97D7-A8A1A9C94AFA}">
  <sheetPr codeName="Sheet10"/>
  <dimension ref="A1:M22"/>
  <sheetViews>
    <sheetView workbookViewId="0">
      <selection activeCell="B2" sqref="B2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6</v>
      </c>
      <c r="L1" s="3" t="s">
        <v>52</v>
      </c>
      <c r="M1" s="3" t="s">
        <v>51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6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7DBA4-DA7C-48B8-AC72-C31D0AA693AD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7082F-25B7-4539-B4E7-EB66D6D85F60}">
  <sheetPr codeName="Sheet11"/>
  <dimension ref="A1:M22"/>
  <sheetViews>
    <sheetView workbookViewId="0">
      <selection activeCell="B2" sqref="B2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7</v>
      </c>
      <c r="L1" s="3" t="s">
        <v>52</v>
      </c>
      <c r="M1" s="3" t="s">
        <v>51</v>
      </c>
    </row>
    <row r="2" spans="1:13" x14ac:dyDescent="0.3">
      <c r="A2" s="3" t="s">
        <v>140</v>
      </c>
      <c r="B2" t="str">
        <f>_xlfn.CONCAT(Connect!G1, " ", Connect!J1, " ", Connect!D1, " ", B1, " ", C1, " ", E1)</f>
        <v>v1 3 COM27 hp34401a COM26 7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DA87D-1E4B-4471-97FB-8BBE2941B5E6}">
          <x14:formula1>
            <xm:f>Internal!$B$2:$B$3</xm:f>
          </x14:formula1>
          <xm:sqref>B1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1BF6-1572-4331-8CFD-7488DA7D57C5}">
  <sheetPr codeName="Sheet12"/>
  <dimension ref="A1:H33"/>
  <sheetViews>
    <sheetView workbookViewId="0">
      <selection activeCell="A2" sqref="A2:A3"/>
    </sheetView>
  </sheetViews>
  <sheetFormatPr defaultRowHeight="14.4" x14ac:dyDescent="0.3"/>
  <cols>
    <col min="1" max="1" width="16.21875" bestFit="1" customWidth="1"/>
    <col min="2" max="2" width="10.33203125" customWidth="1"/>
    <col min="3" max="3" width="6.88671875" bestFit="1" customWidth="1"/>
    <col min="5" max="5" width="18.109375" bestFit="1" customWidth="1"/>
    <col min="6" max="6" width="9.5546875" style="11" bestFit="1" customWidth="1"/>
    <col min="7" max="7" width="8.88671875" style="55" bestFit="1" customWidth="1"/>
    <col min="8" max="8" width="20.44140625" bestFit="1" customWidth="1"/>
  </cols>
  <sheetData>
    <row r="1" spans="1:8" s="1" customFormat="1" ht="15" thickBot="1" x14ac:dyDescent="0.35">
      <c r="A1" s="1" t="s">
        <v>4</v>
      </c>
      <c r="B1" s="1" t="s">
        <v>1</v>
      </c>
      <c r="C1" s="1" t="s">
        <v>66</v>
      </c>
      <c r="D1" s="1" t="s">
        <v>64</v>
      </c>
      <c r="E1" s="1" t="s">
        <v>9</v>
      </c>
      <c r="F1" s="58" t="s">
        <v>88</v>
      </c>
      <c r="G1" s="58" t="s">
        <v>87</v>
      </c>
      <c r="H1" s="1" t="s">
        <v>141</v>
      </c>
    </row>
    <row r="2" spans="1:8" x14ac:dyDescent="0.3">
      <c r="A2" t="s">
        <v>5</v>
      </c>
      <c r="B2" t="s">
        <v>2</v>
      </c>
      <c r="C2" t="s">
        <v>8</v>
      </c>
      <c r="D2">
        <v>0</v>
      </c>
      <c r="E2" t="s">
        <v>67</v>
      </c>
      <c r="F2" s="11">
        <v>-5000</v>
      </c>
      <c r="G2" s="11">
        <v>-32750</v>
      </c>
      <c r="H2" t="s">
        <v>142</v>
      </c>
    </row>
    <row r="3" spans="1:8" x14ac:dyDescent="0.3">
      <c r="A3" t="s">
        <v>6</v>
      </c>
      <c r="B3" t="s">
        <v>3</v>
      </c>
      <c r="C3">
        <v>0</v>
      </c>
      <c r="D3">
        <v>1</v>
      </c>
      <c r="E3" t="s">
        <v>68</v>
      </c>
      <c r="F3" s="11">
        <v>-4500</v>
      </c>
      <c r="G3" s="11">
        <v>-29475</v>
      </c>
    </row>
    <row r="4" spans="1:8" x14ac:dyDescent="0.3">
      <c r="B4" t="s">
        <v>65</v>
      </c>
      <c r="C4">
        <v>1</v>
      </c>
      <c r="D4">
        <v>2</v>
      </c>
      <c r="E4" t="s">
        <v>61</v>
      </c>
      <c r="F4" s="11">
        <v>-4000</v>
      </c>
      <c r="G4" s="11">
        <v>-26200</v>
      </c>
    </row>
    <row r="5" spans="1:8" x14ac:dyDescent="0.3">
      <c r="C5">
        <v>2</v>
      </c>
      <c r="D5">
        <v>3</v>
      </c>
      <c r="E5" t="s">
        <v>10</v>
      </c>
      <c r="F5" s="11">
        <v>-3500</v>
      </c>
      <c r="G5" s="11">
        <v>-22925</v>
      </c>
    </row>
    <row r="6" spans="1:8" x14ac:dyDescent="0.3">
      <c r="C6">
        <v>3</v>
      </c>
      <c r="E6" t="s">
        <v>69</v>
      </c>
      <c r="F6" s="11">
        <v>-3000</v>
      </c>
      <c r="G6" s="11">
        <v>-19650</v>
      </c>
    </row>
    <row r="7" spans="1:8" x14ac:dyDescent="0.3">
      <c r="C7">
        <v>4</v>
      </c>
      <c r="E7" t="s">
        <v>0</v>
      </c>
      <c r="F7" s="11">
        <v>-2500</v>
      </c>
      <c r="G7" s="11">
        <v>-16375</v>
      </c>
    </row>
    <row r="8" spans="1:8" x14ac:dyDescent="0.3">
      <c r="C8">
        <v>5</v>
      </c>
      <c r="E8" t="s">
        <v>70</v>
      </c>
      <c r="F8" s="11">
        <v>-2000</v>
      </c>
      <c r="G8" s="11">
        <v>-13100</v>
      </c>
    </row>
    <row r="9" spans="1:8" x14ac:dyDescent="0.3">
      <c r="C9">
        <v>6</v>
      </c>
      <c r="E9" t="s">
        <v>71</v>
      </c>
      <c r="F9" s="11">
        <v>-1500</v>
      </c>
      <c r="G9" s="11">
        <v>-9825</v>
      </c>
    </row>
    <row r="10" spans="1:8" x14ac:dyDescent="0.3">
      <c r="C10">
        <v>7</v>
      </c>
      <c r="E10" t="s">
        <v>72</v>
      </c>
      <c r="F10" s="11">
        <v>-1000</v>
      </c>
      <c r="G10" s="11">
        <v>-6550</v>
      </c>
    </row>
    <row r="11" spans="1:8" x14ac:dyDescent="0.3">
      <c r="E11" t="s">
        <v>73</v>
      </c>
      <c r="F11" s="11">
        <v>-500</v>
      </c>
      <c r="G11" s="11">
        <v>-3275</v>
      </c>
    </row>
    <row r="12" spans="1:8" x14ac:dyDescent="0.3">
      <c r="E12" t="s">
        <v>74</v>
      </c>
      <c r="F12" s="17">
        <v>0</v>
      </c>
      <c r="G12" s="17">
        <v>0</v>
      </c>
    </row>
    <row r="13" spans="1:8" x14ac:dyDescent="0.3">
      <c r="E13" t="s">
        <v>75</v>
      </c>
      <c r="F13" s="11">
        <v>500</v>
      </c>
      <c r="G13" s="11">
        <v>3275</v>
      </c>
    </row>
    <row r="14" spans="1:8" x14ac:dyDescent="0.3">
      <c r="E14" t="s">
        <v>76</v>
      </c>
      <c r="F14" s="11">
        <v>1000</v>
      </c>
      <c r="G14" s="11">
        <v>6550</v>
      </c>
    </row>
    <row r="15" spans="1:8" x14ac:dyDescent="0.3">
      <c r="E15" t="s">
        <v>77</v>
      </c>
      <c r="F15" s="11">
        <v>1500</v>
      </c>
      <c r="G15" s="11">
        <v>9825</v>
      </c>
    </row>
    <row r="16" spans="1:8" x14ac:dyDescent="0.3">
      <c r="E16" t="s">
        <v>78</v>
      </c>
      <c r="F16" s="11">
        <v>2000</v>
      </c>
      <c r="G16" s="11">
        <v>13100</v>
      </c>
    </row>
    <row r="17" spans="5:7" x14ac:dyDescent="0.3">
      <c r="E17" t="s">
        <v>79</v>
      </c>
      <c r="F17" s="11">
        <v>2500</v>
      </c>
      <c r="G17" s="11">
        <v>16375</v>
      </c>
    </row>
    <row r="18" spans="5:7" x14ac:dyDescent="0.3">
      <c r="E18" t="s">
        <v>80</v>
      </c>
      <c r="F18" s="11">
        <v>3000</v>
      </c>
      <c r="G18" s="11">
        <v>19650</v>
      </c>
    </row>
    <row r="19" spans="5:7" x14ac:dyDescent="0.3">
      <c r="E19" t="s">
        <v>81</v>
      </c>
      <c r="F19" s="11">
        <v>3500</v>
      </c>
      <c r="G19" s="11">
        <v>22925</v>
      </c>
    </row>
    <row r="20" spans="5:7" x14ac:dyDescent="0.3">
      <c r="E20" t="s">
        <v>82</v>
      </c>
      <c r="F20" s="11">
        <v>4000</v>
      </c>
      <c r="G20" s="11">
        <v>26200</v>
      </c>
    </row>
    <row r="21" spans="5:7" x14ac:dyDescent="0.3">
      <c r="E21" t="s">
        <v>83</v>
      </c>
      <c r="F21" s="11">
        <v>4500</v>
      </c>
      <c r="G21" s="11">
        <v>29475</v>
      </c>
    </row>
    <row r="22" spans="5:7" x14ac:dyDescent="0.3">
      <c r="E22" t="s">
        <v>84</v>
      </c>
      <c r="F22" s="22">
        <v>5000</v>
      </c>
      <c r="G22" s="22">
        <v>32750</v>
      </c>
    </row>
    <row r="23" spans="5:7" x14ac:dyDescent="0.3">
      <c r="E23" t="s">
        <v>85</v>
      </c>
    </row>
    <row r="24" spans="5:7" x14ac:dyDescent="0.3">
      <c r="E24" t="s">
        <v>145</v>
      </c>
      <c r="F24" s="31"/>
      <c r="G24" s="56"/>
    </row>
    <row r="25" spans="5:7" x14ac:dyDescent="0.3">
      <c r="E25" t="s">
        <v>146</v>
      </c>
    </row>
    <row r="26" spans="5:7" x14ac:dyDescent="0.3">
      <c r="E26" t="s">
        <v>147</v>
      </c>
    </row>
    <row r="27" spans="5:7" x14ac:dyDescent="0.3">
      <c r="E27" t="s">
        <v>148</v>
      </c>
      <c r="F27" s="31"/>
      <c r="G27" s="56"/>
    </row>
    <row r="28" spans="5:7" x14ac:dyDescent="0.3">
      <c r="E28" t="s">
        <v>149</v>
      </c>
    </row>
    <row r="29" spans="5:7" x14ac:dyDescent="0.3">
      <c r="E29" t="s">
        <v>150</v>
      </c>
    </row>
    <row r="30" spans="5:7" x14ac:dyDescent="0.3">
      <c r="E30" t="s">
        <v>151</v>
      </c>
      <c r="F30" s="31"/>
      <c r="G30" s="56"/>
    </row>
    <row r="31" spans="5:7" x14ac:dyDescent="0.3">
      <c r="E31" t="s">
        <v>152</v>
      </c>
    </row>
    <row r="33" spans="6:7" x14ac:dyDescent="0.3">
      <c r="F33" s="36"/>
      <c r="G33" s="5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159</vt:i4>
      </vt:variant>
    </vt:vector>
  </HeadingPairs>
  <TitlesOfParts>
    <vt:vector size="172" baseType="lpstr">
      <vt:lpstr>Connect</vt:lpstr>
      <vt:lpstr>Calibrate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Internal</vt:lpstr>
      <vt:lpstr>'Range 1'!ExternalData_1</vt:lpstr>
      <vt:lpstr>'Range 2'!ExternalData_1</vt:lpstr>
      <vt:lpstr>'Range 3'!ExternalData_1</vt:lpstr>
      <vt:lpstr>Voltage!ExternalData_1</vt:lpstr>
      <vt:lpstr>'Range 0'!ExternalData_10</vt:lpstr>
      <vt:lpstr>'Range 1'!ExternalData_10</vt:lpstr>
      <vt:lpstr>'Range 2'!ExternalData_10</vt:lpstr>
      <vt:lpstr>'Range 0'!ExternalData_11</vt:lpstr>
      <vt:lpstr>'Range 1'!ExternalData_11</vt:lpstr>
      <vt:lpstr>'Range 2'!ExternalData_11</vt:lpstr>
      <vt:lpstr>'Range 3'!ExternalData_11</vt:lpstr>
      <vt:lpstr>'Range 0'!ExternalData_12</vt:lpstr>
      <vt:lpstr>'Range 1'!ExternalData_12</vt:lpstr>
      <vt:lpstr>'Range 2'!ExternalData_12</vt:lpstr>
      <vt:lpstr>'Range 3'!ExternalData_12</vt:lpstr>
      <vt:lpstr>'Range 0'!ExternalData_13</vt:lpstr>
      <vt:lpstr>'Range 1'!ExternalData_13</vt:lpstr>
      <vt:lpstr>'Range 2'!ExternalData_13</vt:lpstr>
      <vt:lpstr>'Range 3'!ExternalData_13</vt:lpstr>
      <vt:lpstr>'Range 0'!ExternalData_14</vt:lpstr>
      <vt:lpstr>'Range 1'!ExternalData_14</vt:lpstr>
      <vt:lpstr>'Range 2'!ExternalData_14</vt:lpstr>
      <vt:lpstr>'Range 3'!ExternalData_14</vt:lpstr>
      <vt:lpstr>'Range 0'!ExternalData_15</vt:lpstr>
      <vt:lpstr>'Range 1'!ExternalData_15</vt:lpstr>
      <vt:lpstr>'Range 2'!ExternalData_15</vt:lpstr>
      <vt:lpstr>'Range 3'!ExternalData_15</vt:lpstr>
      <vt:lpstr>'Range 0'!ExternalData_16</vt:lpstr>
      <vt:lpstr>'Range 1'!ExternalData_16</vt:lpstr>
      <vt:lpstr>'Range 2'!ExternalData_16</vt:lpstr>
      <vt:lpstr>'Range 3'!ExternalData_16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'Range 0'!ExternalData_18</vt:lpstr>
      <vt:lpstr>'Range 2'!ExternalData_18</vt:lpstr>
      <vt:lpstr>'Range 3'!ExternalData_18</vt:lpstr>
      <vt:lpstr>Voltage!ExternalData_18</vt:lpstr>
      <vt:lpstr>'Range 0'!ExternalData_19</vt:lpstr>
      <vt:lpstr>'Range 2'!ExternalData_19</vt:lpstr>
      <vt:lpstr>'Range 3'!ExternalData_19</vt:lpstr>
      <vt:lpstr>Voltage!ExternalData_19</vt:lpstr>
      <vt:lpstr>'Range 0'!ExternalData_2</vt:lpstr>
      <vt:lpstr>'Range 1'!ExternalData_2</vt:lpstr>
      <vt:lpstr>'Range 2'!ExternalData_2</vt:lpstr>
      <vt:lpstr>'Range 3'!ExternalData_2</vt:lpstr>
      <vt:lpstr>Voltage!ExternalData_2</vt:lpstr>
      <vt:lpstr>'Range 0'!ExternalData_20</vt:lpstr>
      <vt:lpstr>'Range 2'!ExternalData_20</vt:lpstr>
      <vt:lpstr>'Range 3'!ExternalData_20</vt:lpstr>
      <vt:lpstr>Voltage!ExternalData_20</vt:lpstr>
      <vt:lpstr>'Range 0'!ExternalData_21</vt:lpstr>
      <vt:lpstr>'Range 2'!ExternalData_21</vt:lpstr>
      <vt:lpstr>'Range 3'!ExternalData_21</vt:lpstr>
      <vt:lpstr>Voltage!ExternalData_21</vt:lpstr>
      <vt:lpstr>'Range 0'!ExternalData_22</vt:lpstr>
      <vt:lpstr>'Range 2'!ExternalData_22</vt:lpstr>
      <vt:lpstr>'Range 3'!ExternalData_22</vt:lpstr>
      <vt:lpstr>Voltage!ExternalData_22</vt:lpstr>
      <vt:lpstr>'Range 0'!ExternalData_23</vt:lpstr>
      <vt:lpstr>'Range 3'!ExternalData_23</vt:lpstr>
      <vt:lpstr>Voltage!ExternalData_23</vt:lpstr>
      <vt:lpstr>'Range 0'!ExternalData_24</vt:lpstr>
      <vt:lpstr>'Range 3'!ExternalData_24</vt:lpstr>
      <vt:lpstr>Voltage!ExternalData_24</vt:lpstr>
      <vt:lpstr>'Range 3'!ExternalData_25</vt:lpstr>
      <vt:lpstr>Voltage!ExternalData_25</vt:lpstr>
      <vt:lpstr>'Range 3'!ExternalData_26</vt:lpstr>
      <vt:lpstr>Voltage!ExternalData_26</vt:lpstr>
      <vt:lpstr>'Range 3'!ExternalData_27</vt:lpstr>
      <vt:lpstr>Voltage!ExternalData_27</vt:lpstr>
      <vt:lpstr>'Range 3'!ExternalData_28</vt:lpstr>
      <vt:lpstr>Voltage!ExternalData_28</vt:lpstr>
      <vt:lpstr>'Range 3'!ExternalData_29</vt:lpstr>
      <vt:lpstr>Voltage!ExternalData_29</vt:lpstr>
      <vt:lpstr>'Range 0'!ExternalData_3</vt:lpstr>
      <vt:lpstr>'Range 1'!ExternalData_3</vt:lpstr>
      <vt:lpstr>'Range 2'!ExternalData_3</vt:lpstr>
      <vt:lpstr>'Range 3'!ExternalData_3</vt:lpstr>
      <vt:lpstr>Voltage!ExternalData_3</vt:lpstr>
      <vt:lpstr>'Range 3'!ExternalData_30</vt:lpstr>
      <vt:lpstr>Voltage!ExternalData_30</vt:lpstr>
      <vt:lpstr>'Range 3'!ExternalData_31</vt:lpstr>
      <vt:lpstr>Voltage!ExternalData_31</vt:lpstr>
      <vt:lpstr>'Range 3'!ExternalData_32</vt:lpstr>
      <vt:lpstr>Voltage!ExternalData_32</vt:lpstr>
      <vt:lpstr>'Range 3'!ExternalData_33</vt:lpstr>
      <vt:lpstr>Voltage!ExternalData_33</vt:lpstr>
      <vt:lpstr>'Range 3'!ExternalData_34</vt:lpstr>
      <vt:lpstr>Voltage!ExternalData_34</vt:lpstr>
      <vt:lpstr>'Range 3'!ExternalData_35</vt:lpstr>
      <vt:lpstr>Voltage!ExternalData_35</vt:lpstr>
      <vt:lpstr>'Range 3'!ExternalData_36</vt:lpstr>
      <vt:lpstr>Voltage!ExternalData_36</vt:lpstr>
      <vt:lpstr>'Range 3'!ExternalData_37</vt:lpstr>
      <vt:lpstr>Voltage!ExternalData_37</vt:lpstr>
      <vt:lpstr>'Range 3'!ExternalData_38</vt:lpstr>
      <vt:lpstr>Voltage!ExternalData_38</vt:lpstr>
      <vt:lpstr>'Range 3'!ExternalData_39</vt:lpstr>
      <vt:lpstr>Voltage!ExternalData_39</vt:lpstr>
      <vt:lpstr>'Range 0'!ExternalData_4</vt:lpstr>
      <vt:lpstr>'Range 1'!ExternalData_4</vt:lpstr>
      <vt:lpstr>'Range 2'!ExternalData_4</vt:lpstr>
      <vt:lpstr>'Range 3'!ExternalData_4</vt:lpstr>
      <vt:lpstr>Voltage!ExternalData_4</vt:lpstr>
      <vt:lpstr>'Range 3'!ExternalData_40</vt:lpstr>
      <vt:lpstr>Voltage!ExternalData_40</vt:lpstr>
      <vt:lpstr>'Range 3'!ExternalData_41</vt:lpstr>
      <vt:lpstr>Voltage!ExternalData_41</vt:lpstr>
      <vt:lpstr>'Range 3'!ExternalData_42</vt:lpstr>
      <vt:lpstr>Voltage!ExternalData_42</vt:lpstr>
      <vt:lpstr>'Range 3'!ExternalData_43</vt:lpstr>
      <vt:lpstr>Voltage!ExternalData_43</vt:lpstr>
      <vt:lpstr>Voltage!ExternalData_44</vt:lpstr>
      <vt:lpstr>Voltage!ExternalData_45</vt:lpstr>
      <vt:lpstr>Voltage!ExternalData_46</vt:lpstr>
      <vt:lpstr>Voltage!ExternalData_47</vt:lpstr>
      <vt:lpstr>Voltage!ExternalData_48</vt:lpstr>
      <vt:lpstr>Voltage!ExternalData_49</vt:lpstr>
      <vt:lpstr>'Range 0'!ExternalData_5</vt:lpstr>
      <vt:lpstr>'Range 1'!ExternalData_5</vt:lpstr>
      <vt:lpstr>'Range 2'!ExternalData_5</vt:lpstr>
      <vt:lpstr>'Range 3'!ExternalData_5</vt:lpstr>
      <vt:lpstr>Voltage!ExternalData_5</vt:lpstr>
      <vt:lpstr>Voltage!ExternalData_50</vt:lpstr>
      <vt:lpstr>Voltage!ExternalData_51</vt:lpstr>
      <vt:lpstr>Voltage!ExternalData_52</vt:lpstr>
      <vt:lpstr>Voltage!ExternalData_53</vt:lpstr>
      <vt:lpstr>Voltage!ExternalData_54</vt:lpstr>
      <vt:lpstr>Voltage!ExternalData_55</vt:lpstr>
      <vt:lpstr>Voltage!ExternalData_56</vt:lpstr>
      <vt:lpstr>Voltage!ExternalData_57</vt:lpstr>
      <vt:lpstr>Voltage!ExternalData_58</vt:lpstr>
      <vt:lpstr>Voltage!ExternalData_59</vt:lpstr>
      <vt:lpstr>'Range 0'!ExternalData_6</vt:lpstr>
      <vt:lpstr>'Range 1'!ExternalData_6</vt:lpstr>
      <vt:lpstr>'Range 2'!ExternalData_6</vt:lpstr>
      <vt:lpstr>'Range 3'!ExternalData_6</vt:lpstr>
      <vt:lpstr>Voltage!ExternalData_6</vt:lpstr>
      <vt:lpstr>Voltage!ExternalData_60</vt:lpstr>
      <vt:lpstr>Voltage!ExternalData_61</vt:lpstr>
      <vt:lpstr>Voltage!ExternalData_62</vt:lpstr>
      <vt:lpstr>Voltage!ExternalData_63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'Range 0'!ExternalData_9</vt:lpstr>
      <vt:lpstr>'Range 1'!ExternalData_9</vt:lpstr>
      <vt:lpstr>'Range 2'!ExternalData_9</vt:lpstr>
      <vt:lpstr>'Range 3'!ExternalData_9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</cp:lastModifiedBy>
  <dcterms:created xsi:type="dcterms:W3CDTF">2017-10-17T17:25:27Z</dcterms:created>
  <dcterms:modified xsi:type="dcterms:W3CDTF">2017-11-01T08:53:42Z</dcterms:modified>
</cp:coreProperties>
</file>